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秋叶文档\课程开发文档\案例文件\1104制作新案例\SZ12-三年收入(每年1-12月)趋势比较\"/>
    </mc:Choice>
  </mc:AlternateContent>
  <xr:revisionPtr revIDLastSave="0" documentId="13_ncr:1_{8297460F-C7B0-4B74-BFB5-7528C7EB6D73}" xr6:coauthVersionLast="38" xr6:coauthVersionMax="38" xr10:uidLastSave="{00000000-0000-0000-0000-000000000000}"/>
  <bookViews>
    <workbookView xWindow="90" yWindow="105" windowWidth="22050" windowHeight="9885" xr2:uid="{00000000-000D-0000-FFFF-FFFF00000000}"/>
  </bookViews>
  <sheets>
    <sheet name="X店" sheetId="3" r:id="rId1"/>
    <sheet name="Y店" sheetId="5" r:id="rId2"/>
    <sheet name="z店瀑布图" sheetId="6" r:id="rId3"/>
    <sheet name="有负值的瀑布图" sheetId="7" r:id="rId4"/>
  </sheets>
  <definedNames>
    <definedName name="adjdata1" localSheetId="2">OFFSET(z店瀑布图!#REF!,0,0,COUNTA(z店瀑布图!$B$8:$B$22),1)</definedName>
    <definedName name="adjdata1" localSheetId="3">OFFSET(有负值的瀑布图!#REF!,0,0,COUNTA(有负值的瀑布图!$B$8:$B$23),1)</definedName>
    <definedName name="adjdata1">OFFSET(#REF!,0,0,COUNTA(#REF!),1)</definedName>
    <definedName name="adjdata2" localSheetId="2">OFFSET(z店瀑布图!$G$8,0,0,COUNTA(z店瀑布图!$B$8:$B$22),1)</definedName>
    <definedName name="adjdata2" localSheetId="3">OFFSET(有负值的瀑布图!#REF!,0,0,COUNTA(有负值的瀑布图!$B$8:$B$23),1)</definedName>
    <definedName name="adjdata2">OFFSET(#REF!,0,0,COUNTA(#REF!),1)</definedName>
    <definedName name="adjitem" localSheetId="2">OFFSET(z店瀑布图!$B$8,0,0,COUNTA(z店瀑布图!$B$8:$B$22),1)</definedName>
    <definedName name="adjitem" localSheetId="3">OFFSET(有负值的瀑布图!$B$8,0,0,COUNTA(有负值的瀑布图!$B$8:$B$23),1)</definedName>
    <definedName name="adjitem">OFFSET(#REF!,0,0,COUNTA(#REF!),1)</definedName>
    <definedName name="valuevx">42.314159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5" i="3" l="1"/>
  <c r="D15" i="3"/>
  <c r="B15" i="3"/>
  <c r="F15" i="3" l="1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F10" i="7" l="1"/>
  <c r="E11" i="7" s="1"/>
  <c r="F11" i="7"/>
  <c r="F12" i="7"/>
  <c r="E13" i="7" s="1"/>
  <c r="F13" i="7"/>
  <c r="E14" i="7" s="1"/>
  <c r="F14" i="7"/>
  <c r="E15" i="7" s="1"/>
  <c r="F15" i="7"/>
  <c r="E16" i="7" s="1"/>
  <c r="F16" i="7"/>
  <c r="E17" i="7" s="1"/>
  <c r="E12" i="7"/>
  <c r="B61" i="7"/>
  <c r="C60" i="7"/>
  <c r="B60" i="7"/>
  <c r="C49" i="7"/>
  <c r="B49" i="7"/>
  <c r="C48" i="7"/>
  <c r="B48" i="7"/>
  <c r="C47" i="7"/>
  <c r="B47" i="7"/>
  <c r="C21" i="7"/>
  <c r="F20" i="7"/>
  <c r="F19" i="7"/>
  <c r="E20" i="7" s="1"/>
  <c r="F18" i="7"/>
  <c r="E19" i="7" s="1"/>
  <c r="F17" i="7"/>
  <c r="E18" i="7" s="1"/>
  <c r="F9" i="7"/>
  <c r="E10" i="7" s="1"/>
  <c r="F8" i="7"/>
  <c r="E9" i="7" s="1"/>
  <c r="G20" i="6"/>
  <c r="E20" i="6"/>
  <c r="E19" i="6"/>
  <c r="C21" i="6"/>
  <c r="G9" i="6"/>
  <c r="E11" i="6"/>
  <c r="E9" i="6"/>
  <c r="E8" i="6"/>
  <c r="I20" i="6"/>
  <c r="H13" i="6"/>
  <c r="I13" i="6"/>
  <c r="H14" i="6"/>
  <c r="I14" i="6"/>
  <c r="H15" i="6"/>
  <c r="I15" i="6"/>
  <c r="H16" i="6"/>
  <c r="I16" i="6"/>
  <c r="H17" i="6"/>
  <c r="I17" i="6"/>
  <c r="G13" i="6"/>
  <c r="G15" i="6"/>
  <c r="E13" i="6"/>
  <c r="E14" i="6"/>
  <c r="G14" i="6" s="1"/>
  <c r="E15" i="6"/>
  <c r="E16" i="6"/>
  <c r="G16" i="6" s="1"/>
  <c r="F21" i="7" l="1"/>
  <c r="G21" i="7"/>
  <c r="C61" i="7"/>
  <c r="F21" i="6" l="1"/>
  <c r="H20" i="6"/>
  <c r="I19" i="6"/>
  <c r="H19" i="6"/>
  <c r="I18" i="6"/>
  <c r="H18" i="6"/>
  <c r="E18" i="6"/>
  <c r="G18" i="6" s="1"/>
  <c r="E17" i="6"/>
  <c r="G17" i="6" s="1"/>
  <c r="I12" i="6"/>
  <c r="H12" i="6"/>
  <c r="E12" i="6"/>
  <c r="I11" i="6"/>
  <c r="H11" i="6"/>
  <c r="I10" i="6"/>
  <c r="H10" i="6"/>
  <c r="E10" i="6"/>
  <c r="I9" i="6"/>
  <c r="H9" i="6"/>
  <c r="F8" i="6"/>
  <c r="G12" i="6" l="1"/>
  <c r="G11" i="6"/>
  <c r="G10" i="6"/>
  <c r="G19" i="6"/>
  <c r="E68" i="5"/>
  <c r="E67" i="5"/>
  <c r="E66" i="5"/>
  <c r="E65" i="5"/>
  <c r="E64" i="5"/>
  <c r="D63" i="5"/>
  <c r="D62" i="5"/>
  <c r="D61" i="5"/>
  <c r="D60" i="5"/>
  <c r="D59" i="5"/>
  <c r="D58" i="5"/>
  <c r="D57" i="5"/>
  <c r="E56" i="5"/>
  <c r="D56" i="5"/>
  <c r="E55" i="5"/>
  <c r="D55" i="5"/>
  <c r="E54" i="5"/>
  <c r="D54" i="5"/>
  <c r="E53" i="5"/>
  <c r="E52" i="5"/>
  <c r="D52" i="5"/>
  <c r="C51" i="5"/>
  <c r="C50" i="5"/>
  <c r="C49" i="5"/>
  <c r="C48" i="5"/>
  <c r="C47" i="5"/>
  <c r="D53" i="5"/>
  <c r="B49" i="5" l="1"/>
  <c r="B61" i="5"/>
  <c r="D61" i="3"/>
  <c r="D49" i="3"/>
  <c r="E4" i="3"/>
  <c r="E3" i="3"/>
  <c r="E15" i="3" s="1"/>
</calcChain>
</file>

<file path=xl/sharedStrings.xml><?xml version="1.0" encoding="utf-8"?>
<sst xmlns="http://schemas.openxmlformats.org/spreadsheetml/2006/main" count="143" uniqueCount="111">
  <si>
    <t>2016年</t>
    <phoneticPr fontId="1" type="noConversion"/>
  </si>
  <si>
    <t>2017年</t>
  </si>
  <si>
    <t>2018年</t>
  </si>
  <si>
    <t>2017年</t>
    <phoneticPr fontId="1" type="noConversion"/>
  </si>
  <si>
    <t>2018年</t>
    <phoneticPr fontId="1" type="noConversion"/>
  </si>
  <si>
    <t>5月</t>
    <phoneticPr fontId="1" type="noConversion"/>
  </si>
  <si>
    <r>
      <t>2016</t>
    </r>
    <r>
      <rPr>
        <sz val="11"/>
        <color theme="1"/>
        <rFont val="宋体"/>
        <family val="2"/>
        <charset val="134"/>
      </rPr>
      <t>年</t>
    </r>
    <phoneticPr fontId="1" type="noConversion"/>
  </si>
  <si>
    <r>
      <t>2017</t>
    </r>
    <r>
      <rPr>
        <sz val="11"/>
        <color theme="1"/>
        <rFont val="宋体"/>
        <family val="2"/>
        <charset val="134"/>
      </rPr>
      <t>年</t>
    </r>
  </si>
  <si>
    <r>
      <t>2018</t>
    </r>
    <r>
      <rPr>
        <sz val="11"/>
        <color theme="1"/>
        <rFont val="宋体"/>
        <family val="2"/>
        <charset val="134"/>
      </rPr>
      <t>年</t>
    </r>
  </si>
  <si>
    <t>…</t>
    <phoneticPr fontId="1" type="noConversion"/>
  </si>
  <si>
    <r>
      <t>1</t>
    </r>
    <r>
      <rPr>
        <sz val="11"/>
        <color theme="1"/>
        <rFont val="宋体"/>
        <family val="2"/>
        <charset val="134"/>
      </rPr>
      <t>月</t>
    </r>
  </si>
  <si>
    <r>
      <t>2</t>
    </r>
    <r>
      <rPr>
        <sz val="11"/>
        <color theme="1"/>
        <rFont val="宋体"/>
        <family val="2"/>
        <charset val="134"/>
      </rPr>
      <t>月</t>
    </r>
  </si>
  <si>
    <r>
      <t>3</t>
    </r>
    <r>
      <rPr>
        <sz val="11"/>
        <color theme="1"/>
        <rFont val="宋体"/>
        <family val="2"/>
        <charset val="134"/>
      </rPr>
      <t>月</t>
    </r>
  </si>
  <si>
    <r>
      <t>4</t>
    </r>
    <r>
      <rPr>
        <sz val="11"/>
        <color theme="1"/>
        <rFont val="宋体"/>
        <family val="2"/>
        <charset val="134"/>
      </rPr>
      <t>月</t>
    </r>
  </si>
  <si>
    <r>
      <t>5</t>
    </r>
    <r>
      <rPr>
        <sz val="11"/>
        <color theme="1"/>
        <rFont val="宋体"/>
        <family val="2"/>
        <charset val="134"/>
      </rPr>
      <t>月</t>
    </r>
  </si>
  <si>
    <r>
      <t>6</t>
    </r>
    <r>
      <rPr>
        <sz val="11"/>
        <color theme="1"/>
        <rFont val="宋体"/>
        <family val="2"/>
        <charset val="134"/>
      </rPr>
      <t>月</t>
    </r>
  </si>
  <si>
    <r>
      <t>7</t>
    </r>
    <r>
      <rPr>
        <sz val="11"/>
        <color theme="1"/>
        <rFont val="宋体"/>
        <family val="2"/>
        <charset val="134"/>
      </rPr>
      <t>月</t>
    </r>
  </si>
  <si>
    <r>
      <t>8</t>
    </r>
    <r>
      <rPr>
        <sz val="11"/>
        <color theme="1"/>
        <rFont val="宋体"/>
        <family val="2"/>
        <charset val="134"/>
      </rPr>
      <t>月</t>
    </r>
  </si>
  <si>
    <r>
      <t>9</t>
    </r>
    <r>
      <rPr>
        <sz val="11"/>
        <color theme="1"/>
        <rFont val="宋体"/>
        <family val="2"/>
        <charset val="134"/>
      </rPr>
      <t>月</t>
    </r>
  </si>
  <si>
    <r>
      <t>10</t>
    </r>
    <r>
      <rPr>
        <sz val="11"/>
        <color theme="1"/>
        <rFont val="宋体"/>
        <family val="2"/>
        <charset val="134"/>
      </rPr>
      <t>月</t>
    </r>
  </si>
  <si>
    <r>
      <t>11</t>
    </r>
    <r>
      <rPr>
        <sz val="11"/>
        <color theme="1"/>
        <rFont val="宋体"/>
        <family val="2"/>
        <charset val="134"/>
      </rPr>
      <t>月</t>
    </r>
  </si>
  <si>
    <r>
      <t>12</t>
    </r>
    <r>
      <rPr>
        <sz val="11"/>
        <color theme="1"/>
        <rFont val="宋体"/>
        <family val="2"/>
        <charset val="134"/>
      </rPr>
      <t>月</t>
    </r>
  </si>
  <si>
    <r>
      <t>全年：X 万元</t>
    </r>
    <r>
      <rPr>
        <sz val="12"/>
        <color theme="1"/>
        <rFont val="宋体"/>
        <family val="3"/>
        <charset val="134"/>
        <scheme val="minor"/>
      </rPr>
      <t>?</t>
    </r>
    <phoneticPr fontId="1" type="noConversion"/>
  </si>
  <si>
    <t>月份</t>
    <phoneticPr fontId="1" type="noConversion"/>
  </si>
  <si>
    <t>全年合计</t>
    <phoneticPr fontId="1" type="noConversion"/>
  </si>
  <si>
    <t>:-)</t>
    <phoneticPr fontId="1" type="noConversion"/>
  </si>
  <si>
    <t>…</t>
    <phoneticPr fontId="1" type="noConversion"/>
  </si>
  <si>
    <t>:-(</t>
    <phoneticPr fontId="1" type="noConversion"/>
  </si>
  <si>
    <r>
      <t>8</t>
    </r>
    <r>
      <rPr>
        <sz val="11"/>
        <color theme="1"/>
        <rFont val="宋体"/>
        <family val="3"/>
        <charset val="134"/>
      </rPr>
      <t>月份开业</t>
    </r>
    <phoneticPr fontId="1" type="noConversion"/>
  </si>
  <si>
    <t>Step by step:</t>
    <phoneticPr fontId="10" type="noConversion"/>
  </si>
  <si>
    <t>柱形图式瀑布图</t>
    <phoneticPr fontId="10" type="noConversion"/>
  </si>
  <si>
    <t>横向条形图式瀑布图</t>
    <phoneticPr fontId="10" type="noConversion"/>
  </si>
  <si>
    <t>原始数据：</t>
    <phoneticPr fontId="10" type="noConversion"/>
  </si>
  <si>
    <t>准备作图数据：</t>
    <phoneticPr fontId="10" type="noConversion"/>
  </si>
  <si>
    <t>做堆积柱形图</t>
    <phoneticPr fontId="10" type="noConversion"/>
  </si>
  <si>
    <t>做堆积条形图</t>
    <phoneticPr fontId="10" type="noConversion"/>
  </si>
  <si>
    <t>项目</t>
    <phoneticPr fontId="10" type="noConversion"/>
  </si>
  <si>
    <t>金额</t>
    <phoneticPr fontId="10" type="noConversion"/>
  </si>
  <si>
    <t>累计</t>
    <phoneticPr fontId="10" type="noConversion"/>
  </si>
  <si>
    <t>起点终点值</t>
    <phoneticPr fontId="10" type="noConversion"/>
  </si>
  <si>
    <t>占位序列</t>
    <phoneticPr fontId="10" type="noConversion"/>
  </si>
  <si>
    <t>正数序列</t>
    <phoneticPr fontId="10" type="noConversion"/>
  </si>
  <si>
    <t>负数序列</t>
    <phoneticPr fontId="10" type="noConversion"/>
  </si>
  <si>
    <t>格式化，占位序列无填充色，其他相应颜色</t>
    <phoneticPr fontId="10" type="noConversion"/>
  </si>
  <si>
    <t>反转坐标轴次序</t>
    <phoneticPr fontId="10" type="noConversion"/>
  </si>
  <si>
    <t>如果想画横线连接柱子，将累计序列加入图表，类型散点图</t>
    <phoneticPr fontId="10" type="noConversion"/>
  </si>
  <si>
    <t>为散点图序列增加x误差线</t>
    <phoneticPr fontId="10" type="noConversion"/>
  </si>
  <si>
    <t>如果想使用箭头形式，采用贴入技巧</t>
    <phoneticPr fontId="10" type="noConversion"/>
  </si>
  <si>
    <t>格式化误差线</t>
    <phoneticPr fontId="10" type="noConversion"/>
  </si>
  <si>
    <t>Revenue</t>
  </si>
  <si>
    <t>Cost</t>
  </si>
  <si>
    <t>商场管理费</t>
  </si>
  <si>
    <t>Mkt</t>
  </si>
  <si>
    <t>管理費用</t>
  </si>
  <si>
    <t>物流費</t>
  </si>
  <si>
    <t>促銷成本</t>
  </si>
  <si>
    <t>物料消耗</t>
  </si>
  <si>
    <t>水電瓦斯</t>
  </si>
  <si>
    <t>攤銷/折舊</t>
  </si>
  <si>
    <t>OP</t>
  </si>
  <si>
    <t>用人</t>
  </si>
  <si>
    <t>用人</t>
    <phoneticPr fontId="10" type="noConversion"/>
  </si>
  <si>
    <t>租金</t>
  </si>
  <si>
    <t>租金</t>
    <phoneticPr fontId="10" type="noConversion"/>
  </si>
  <si>
    <t>商场管理费</t>
    <phoneticPr fontId="10" type="noConversion"/>
  </si>
  <si>
    <t>食材損耗</t>
  </si>
  <si>
    <t>食材損耗</t>
    <phoneticPr fontId="10" type="noConversion"/>
  </si>
  <si>
    <t>使用曲线图的涨跌柱做瀑布图</t>
    <phoneticPr fontId="10" type="noConversion"/>
  </si>
  <si>
    <t>Step by step:</t>
    <phoneticPr fontId="10" type="noConversion"/>
  </si>
  <si>
    <t>原始数据：</t>
    <phoneticPr fontId="10" type="noConversion"/>
  </si>
  <si>
    <t>准备作图数据：</t>
    <phoneticPr fontId="10" type="noConversion"/>
  </si>
  <si>
    <t>做曲线图</t>
    <phoneticPr fontId="10" type="noConversion"/>
  </si>
  <si>
    <t>项目</t>
    <phoneticPr fontId="10" type="noConversion"/>
  </si>
  <si>
    <t>金额</t>
    <phoneticPr fontId="10" type="noConversion"/>
  </si>
  <si>
    <t>开始</t>
    <phoneticPr fontId="10" type="noConversion"/>
  </si>
  <si>
    <t>结束</t>
    <phoneticPr fontId="10" type="noConversion"/>
  </si>
  <si>
    <t>添加涨跌柱。数据序列格式－》选项，勾选涨跌柱线</t>
    <phoneticPr fontId="10" type="noConversion"/>
  </si>
  <si>
    <t>将曲线图隐形</t>
    <phoneticPr fontId="10" type="noConversion"/>
  </si>
  <si>
    <t xml:space="preserve">   waterfall</t>
    <phoneticPr fontId="10" type="noConversion"/>
  </si>
  <si>
    <t>使用标签工具，为 结束 序列指定原数据为标签</t>
    <phoneticPr fontId="10" type="noConversion"/>
  </si>
  <si>
    <t>将结束序列（不含最后一行）再次加入图表，类型为散点图，增加x误差线，定值1，出现误差线，格式化</t>
    <phoneticPr fontId="10" type="noConversion"/>
  </si>
  <si>
    <t>横向的穿越X轴：</t>
    <phoneticPr fontId="10" type="noConversion"/>
  </si>
  <si>
    <t>如果需要做横向的，格式化后拍照，旋转拍照图片</t>
    <phoneticPr fontId="10" type="noConversion"/>
  </si>
  <si>
    <t>OP</t>
    <phoneticPr fontId="1" type="noConversion"/>
  </si>
  <si>
    <t>项目</t>
  </si>
  <si>
    <t>金额</t>
  </si>
  <si>
    <t xml:space="preserve">   waterfall</t>
  </si>
  <si>
    <t>Z店2018.1-5月合计损益</t>
    <phoneticPr fontId="10" type="noConversion"/>
  </si>
  <si>
    <r>
      <rPr>
        <sz val="10"/>
        <color theme="1"/>
        <rFont val="宋体"/>
        <family val="3"/>
        <charset val="134"/>
      </rPr>
      <t>月份</t>
    </r>
    <phoneticPr fontId="1" type="noConversion"/>
  </si>
  <si>
    <r>
      <t>2014</t>
    </r>
    <r>
      <rPr>
        <sz val="10"/>
        <color theme="1"/>
        <rFont val="Verdana"/>
        <family val="2"/>
      </rPr>
      <t>年</t>
    </r>
    <r>
      <rPr>
        <sz val="11"/>
        <color theme="1"/>
        <rFont val="宋体"/>
        <family val="2"/>
        <charset val="134"/>
      </rPr>
      <t/>
    </r>
  </si>
  <si>
    <r>
      <t>2015</t>
    </r>
    <r>
      <rPr>
        <sz val="10"/>
        <color theme="1"/>
        <rFont val="Verdana"/>
        <family val="2"/>
      </rPr>
      <t>年</t>
    </r>
    <r>
      <rPr>
        <sz val="11"/>
        <color theme="1"/>
        <rFont val="宋体"/>
        <family val="2"/>
        <charset val="134"/>
      </rPr>
      <t/>
    </r>
  </si>
  <si>
    <r>
      <t>2016</t>
    </r>
    <r>
      <rPr>
        <sz val="10"/>
        <color theme="1"/>
        <rFont val="宋体"/>
        <family val="2"/>
        <charset val="134"/>
      </rPr>
      <t>年</t>
    </r>
    <phoneticPr fontId="1" type="noConversion"/>
  </si>
  <si>
    <r>
      <t>2017</t>
    </r>
    <r>
      <rPr>
        <sz val="10"/>
        <color theme="1"/>
        <rFont val="宋体"/>
        <family val="2"/>
        <charset val="134"/>
      </rPr>
      <t>年</t>
    </r>
  </si>
  <si>
    <r>
      <t>2018</t>
    </r>
    <r>
      <rPr>
        <sz val="10"/>
        <color theme="1"/>
        <rFont val="宋体"/>
        <family val="2"/>
        <charset val="134"/>
      </rPr>
      <t>年</t>
    </r>
    <phoneticPr fontId="1" type="noConversion"/>
  </si>
  <si>
    <r>
      <t>1</t>
    </r>
    <r>
      <rPr>
        <sz val="10"/>
        <color theme="1"/>
        <rFont val="宋体"/>
        <family val="2"/>
        <charset val="134"/>
      </rPr>
      <t>月</t>
    </r>
  </si>
  <si>
    <r>
      <t>2</t>
    </r>
    <r>
      <rPr>
        <sz val="10"/>
        <color theme="1"/>
        <rFont val="宋体"/>
        <family val="2"/>
        <charset val="134"/>
      </rPr>
      <t>月</t>
    </r>
  </si>
  <si>
    <r>
      <t>3</t>
    </r>
    <r>
      <rPr>
        <sz val="10"/>
        <color theme="1"/>
        <rFont val="宋体"/>
        <family val="2"/>
        <charset val="134"/>
      </rPr>
      <t>月</t>
    </r>
  </si>
  <si>
    <r>
      <t>4</t>
    </r>
    <r>
      <rPr>
        <sz val="10"/>
        <color theme="1"/>
        <rFont val="宋体"/>
        <family val="2"/>
        <charset val="134"/>
      </rPr>
      <t>月</t>
    </r>
  </si>
  <si>
    <r>
      <t>5</t>
    </r>
    <r>
      <rPr>
        <sz val="10"/>
        <color theme="1"/>
        <rFont val="宋体"/>
        <family val="2"/>
        <charset val="134"/>
      </rPr>
      <t>月</t>
    </r>
  </si>
  <si>
    <r>
      <t>6</t>
    </r>
    <r>
      <rPr>
        <sz val="10"/>
        <color theme="1"/>
        <rFont val="宋体"/>
        <family val="2"/>
        <charset val="134"/>
      </rPr>
      <t>月</t>
    </r>
  </si>
  <si>
    <r>
      <t>7</t>
    </r>
    <r>
      <rPr>
        <sz val="10"/>
        <color theme="1"/>
        <rFont val="宋体"/>
        <family val="2"/>
        <charset val="134"/>
      </rPr>
      <t>月</t>
    </r>
  </si>
  <si>
    <r>
      <t>8</t>
    </r>
    <r>
      <rPr>
        <sz val="10"/>
        <color theme="1"/>
        <rFont val="宋体"/>
        <family val="2"/>
        <charset val="134"/>
      </rPr>
      <t>月</t>
    </r>
  </si>
  <si>
    <r>
      <t>9</t>
    </r>
    <r>
      <rPr>
        <sz val="10"/>
        <color theme="1"/>
        <rFont val="宋体"/>
        <family val="2"/>
        <charset val="134"/>
      </rPr>
      <t>月</t>
    </r>
  </si>
  <si>
    <r>
      <t>10</t>
    </r>
    <r>
      <rPr>
        <sz val="10"/>
        <color theme="1"/>
        <rFont val="宋体"/>
        <family val="2"/>
        <charset val="134"/>
      </rPr>
      <t>月</t>
    </r>
  </si>
  <si>
    <r>
      <t>11</t>
    </r>
    <r>
      <rPr>
        <sz val="10"/>
        <color theme="1"/>
        <rFont val="宋体"/>
        <family val="2"/>
        <charset val="134"/>
      </rPr>
      <t>月</t>
    </r>
  </si>
  <si>
    <r>
      <t>12</t>
    </r>
    <r>
      <rPr>
        <sz val="10"/>
        <color theme="1"/>
        <rFont val="宋体"/>
        <family val="2"/>
        <charset val="134"/>
      </rPr>
      <t>月</t>
    </r>
  </si>
  <si>
    <r>
      <rPr>
        <sz val="10"/>
        <color theme="1"/>
        <rFont val="宋体"/>
        <family val="3"/>
        <charset val="134"/>
      </rPr>
      <t>合计</t>
    </r>
    <phoneticPr fontId="1" type="noConversion"/>
  </si>
  <si>
    <r>
      <rPr>
        <sz val="10"/>
        <color theme="1"/>
        <rFont val="宋体"/>
        <family val="2"/>
        <charset val="134"/>
      </rPr>
      <t>全年合计</t>
    </r>
    <phoneticPr fontId="1" type="noConversion"/>
  </si>
  <si>
    <r>
      <t>2017</t>
    </r>
    <r>
      <rPr>
        <sz val="10"/>
        <color theme="1"/>
        <rFont val="宋体"/>
        <family val="2"/>
        <charset val="134"/>
      </rPr>
      <t>年</t>
    </r>
    <phoneticPr fontId="1" type="noConversion"/>
  </si>
  <si>
    <r>
      <t>5</t>
    </r>
    <r>
      <rPr>
        <sz val="10"/>
        <color theme="1"/>
        <rFont val="宋体"/>
        <family val="2"/>
        <charset val="134"/>
      </rPr>
      <t>月</t>
    </r>
    <phoneticPr fontId="1" type="noConversion"/>
  </si>
  <si>
    <r>
      <rPr>
        <sz val="10"/>
        <color theme="1"/>
        <rFont val="宋体"/>
        <family val="2"/>
        <charset val="134"/>
      </rPr>
      <t>全年：</t>
    </r>
    <r>
      <rPr>
        <sz val="10"/>
        <color theme="1"/>
        <rFont val="Arial"/>
        <family val="2"/>
      </rPr>
      <t xml:space="preserve">X </t>
    </r>
    <r>
      <rPr>
        <sz val="10"/>
        <color theme="1"/>
        <rFont val="宋体"/>
        <family val="2"/>
        <charset val="134"/>
      </rPr>
      <t>万元</t>
    </r>
    <r>
      <rPr>
        <sz val="10"/>
        <color theme="1"/>
        <rFont val="Arial"/>
        <family val="2"/>
      </rPr>
      <t>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</si>
</sst>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_ * #,##0_ ;_ * \-#,##0_ ;_ * &quot;-&quot;??_ ;_ @_ "/>
    <numFmt numFmtId="177" formatCode="#,##0_ &quot;万&quot;&quot;元&quot;"/>
    <numFmt numFmtId="178" formatCode="0_ "/>
    <numFmt numFmtId="179" formatCode="#,000&quot;万&quot;&quot;元&quot;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Verdan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name val="黑体"/>
      <family val="3"/>
      <charset val="134"/>
    </font>
    <font>
      <sz val="10"/>
      <name val="微软雅黑"/>
      <family val="1"/>
      <charset val="134"/>
    </font>
    <font>
      <sz val="10"/>
      <color indexed="10"/>
      <name val="微软雅黑"/>
      <family val="1"/>
      <charset val="134"/>
    </font>
    <font>
      <sz val="9"/>
      <name val="黑体"/>
      <family val="3"/>
      <charset val="134"/>
    </font>
    <font>
      <sz val="10"/>
      <name val="Arial"/>
      <family val="2"/>
    </font>
    <font>
      <sz val="10"/>
      <color indexed="60"/>
      <name val="微软雅黑"/>
      <family val="1"/>
      <charset val="134"/>
    </font>
    <font>
      <b/>
      <sz val="10"/>
      <color indexed="48"/>
      <name val="Tahoma"/>
      <family val="2"/>
    </font>
    <font>
      <b/>
      <sz val="10"/>
      <color rgb="FFFF0000"/>
      <name val="Tahoma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Verdana"/>
      <family val="2"/>
    </font>
    <font>
      <sz val="10"/>
      <color theme="1"/>
      <name val="宋体"/>
      <family val="2"/>
      <charset val="134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medium">
        <color indexed="55"/>
      </top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n">
        <color indexed="2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176" fontId="0" fillId="0" borderId="5" xfId="1" applyNumberFormat="1" applyFont="1" applyBorder="1">
      <alignment vertical="center"/>
    </xf>
    <xf numFmtId="176" fontId="0" fillId="2" borderId="5" xfId="1" applyNumberFormat="1" applyFont="1" applyFill="1" applyBorder="1">
      <alignment vertical="center"/>
    </xf>
    <xf numFmtId="176" fontId="0" fillId="2" borderId="8" xfId="1" applyNumberFormat="1" applyFont="1" applyFill="1" applyBorder="1">
      <alignment vertical="center"/>
    </xf>
    <xf numFmtId="176" fontId="0" fillId="0" borderId="5" xfId="1" applyNumberFormat="1" applyFont="1" applyFill="1" applyBorder="1">
      <alignment vertical="center"/>
    </xf>
    <xf numFmtId="0" fontId="0" fillId="0" borderId="3" xfId="0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5" xfId="1" applyNumberFormat="1" applyFont="1" applyBorder="1" applyAlignment="1">
      <alignment horizontal="center" vertical="center"/>
    </xf>
    <xf numFmtId="176" fontId="4" fillId="0" borderId="6" xfId="1" applyNumberFormat="1" applyFont="1" applyBorder="1" applyAlignment="1">
      <alignment horizontal="center" vertical="center"/>
    </xf>
    <xf numFmtId="176" fontId="4" fillId="0" borderId="7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76" fontId="0" fillId="0" borderId="7" xfId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76" fontId="4" fillId="3" borderId="5" xfId="1" applyNumberFormat="1" applyFont="1" applyFill="1" applyBorder="1" applyAlignment="1">
      <alignment horizontal="center" vertical="center"/>
    </xf>
    <xf numFmtId="176" fontId="4" fillId="3" borderId="8" xfId="1" applyNumberFormat="1" applyFont="1" applyFill="1" applyBorder="1" applyAlignment="1">
      <alignment horizontal="center" vertical="center"/>
    </xf>
    <xf numFmtId="176" fontId="4" fillId="3" borderId="4" xfId="1" applyNumberFormat="1" applyFont="1" applyFill="1" applyBorder="1" applyAlignment="1">
      <alignment horizontal="center" vertical="center"/>
    </xf>
    <xf numFmtId="0" fontId="8" fillId="0" borderId="0" xfId="2" applyFont="1">
      <alignment vertical="center"/>
    </xf>
    <xf numFmtId="0" fontId="9" fillId="0" borderId="0" xfId="2" applyFont="1">
      <alignment vertical="center"/>
    </xf>
    <xf numFmtId="0" fontId="8" fillId="0" borderId="0" xfId="2" applyFont="1" applyFill="1">
      <alignment vertical="center"/>
    </xf>
    <xf numFmtId="0" fontId="7" fillId="0" borderId="0" xfId="2">
      <alignment vertical="center"/>
    </xf>
    <xf numFmtId="0" fontId="8" fillId="4" borderId="0" xfId="2" applyFont="1" applyFill="1">
      <alignment vertical="center"/>
    </xf>
    <xf numFmtId="0" fontId="8" fillId="0" borderId="9" xfId="2" applyFont="1" applyFill="1" applyBorder="1">
      <alignment vertical="center"/>
    </xf>
    <xf numFmtId="43" fontId="8" fillId="0" borderId="9" xfId="3" applyFont="1" applyFill="1" applyBorder="1" applyAlignment="1">
      <alignment horizontal="right"/>
    </xf>
    <xf numFmtId="43" fontId="11" fillId="0" borderId="0" xfId="3" applyFont="1" applyFill="1" applyAlignment="1"/>
    <xf numFmtId="0" fontId="12" fillId="0" borderId="0" xfId="2" applyFont="1">
      <alignment vertical="center"/>
    </xf>
    <xf numFmtId="0" fontId="12" fillId="4" borderId="0" xfId="2" applyFont="1" applyFill="1">
      <alignment vertical="center"/>
    </xf>
    <xf numFmtId="0" fontId="11" fillId="0" borderId="0" xfId="2" applyFont="1" applyFill="1" applyBorder="1" applyAlignment="1">
      <alignment vertical="center" wrapText="1"/>
    </xf>
    <xf numFmtId="176" fontId="11" fillId="0" borderId="0" xfId="3" applyNumberFormat="1" applyFont="1" applyFill="1" applyBorder="1" applyAlignment="1"/>
    <xf numFmtId="43" fontId="11" fillId="0" borderId="0" xfId="3" applyFont="1" applyFill="1" applyBorder="1" applyAlignment="1"/>
    <xf numFmtId="176" fontId="11" fillId="0" borderId="0" xfId="3" applyNumberFormat="1" applyFont="1" applyFill="1" applyAlignment="1"/>
    <xf numFmtId="0" fontId="8" fillId="0" borderId="0" xfId="2" applyFont="1" applyFill="1" applyAlignment="1">
      <alignment horizontal="left" vertical="center" wrapText="1" indent="1"/>
    </xf>
    <xf numFmtId="0" fontId="8" fillId="0" borderId="9" xfId="2" applyFont="1" applyFill="1" applyBorder="1" applyAlignment="1">
      <alignment horizontal="left" vertical="center" wrapText="1" indent="1"/>
    </xf>
    <xf numFmtId="176" fontId="11" fillId="0" borderId="9" xfId="3" applyNumberFormat="1" applyFont="1" applyFill="1" applyBorder="1" applyAlignment="1"/>
    <xf numFmtId="0" fontId="11" fillId="0" borderId="0" xfId="2" applyFont="1" applyFill="1" applyAlignment="1">
      <alignment vertical="center" wrapText="1"/>
    </xf>
    <xf numFmtId="43" fontId="8" fillId="0" borderId="0" xfId="3" applyFont="1" applyAlignment="1"/>
    <xf numFmtId="43" fontId="8" fillId="0" borderId="0" xfId="3" applyFont="1" applyFill="1" applyAlignment="1"/>
    <xf numFmtId="176" fontId="8" fillId="0" borderId="0" xfId="3" applyNumberFormat="1" applyFont="1" applyAlignment="1"/>
    <xf numFmtId="176" fontId="11" fillId="0" borderId="0" xfId="3" applyNumberFormat="1" applyFont="1" applyFill="1" applyBorder="1" applyAlignment="1">
      <alignment vertical="center"/>
    </xf>
    <xf numFmtId="43" fontId="11" fillId="0" borderId="0" xfId="3" applyFont="1" applyFill="1" applyBorder="1" applyAlignment="1">
      <alignment vertical="center"/>
    </xf>
    <xf numFmtId="176" fontId="11" fillId="0" borderId="0" xfId="3" applyNumberFormat="1" applyFont="1" applyFill="1" applyAlignment="1">
      <alignment vertical="center"/>
    </xf>
    <xf numFmtId="0" fontId="12" fillId="0" borderId="0" xfId="2" applyFont="1" applyAlignment="1">
      <alignment vertical="center"/>
    </xf>
    <xf numFmtId="43" fontId="11" fillId="0" borderId="0" xfId="3" applyFont="1" applyFill="1" applyAlignment="1">
      <alignment vertical="center"/>
    </xf>
    <xf numFmtId="0" fontId="11" fillId="0" borderId="10" xfId="2" applyFont="1" applyFill="1" applyBorder="1" applyAlignment="1">
      <alignment vertical="center" wrapText="1"/>
    </xf>
    <xf numFmtId="176" fontId="11" fillId="0" borderId="10" xfId="3" applyNumberFormat="1" applyFont="1" applyFill="1" applyBorder="1" applyAlignment="1"/>
    <xf numFmtId="43" fontId="11" fillId="0" borderId="10" xfId="3" applyFont="1" applyFill="1" applyBorder="1" applyAlignment="1"/>
    <xf numFmtId="176" fontId="11" fillId="0" borderId="10" xfId="3" applyNumberFormat="1" applyFont="1" applyFill="1" applyBorder="1">
      <alignment vertical="center"/>
    </xf>
    <xf numFmtId="0" fontId="8" fillId="0" borderId="9" xfId="2" applyFont="1" applyBorder="1">
      <alignment vertical="center"/>
    </xf>
    <xf numFmtId="0" fontId="8" fillId="0" borderId="0" xfId="2" applyFont="1" applyBorder="1">
      <alignment vertical="center"/>
    </xf>
    <xf numFmtId="178" fontId="11" fillId="0" borderId="0" xfId="2" applyNumberFormat="1" applyFont="1">
      <alignment vertical="center"/>
    </xf>
    <xf numFmtId="178" fontId="11" fillId="0" borderId="9" xfId="2" applyNumberFormat="1" applyFont="1" applyBorder="1">
      <alignment vertical="center"/>
    </xf>
    <xf numFmtId="0" fontId="8" fillId="0" borderId="11" xfId="2" applyFont="1" applyBorder="1">
      <alignment vertical="center"/>
    </xf>
    <xf numFmtId="176" fontId="13" fillId="0" borderId="11" xfId="3" applyNumberFormat="1" applyFont="1" applyBorder="1">
      <alignment vertical="center"/>
    </xf>
    <xf numFmtId="0" fontId="8" fillId="0" borderId="11" xfId="2" applyFont="1" applyFill="1" applyBorder="1">
      <alignment vertical="center"/>
    </xf>
    <xf numFmtId="0" fontId="8" fillId="0" borderId="11" xfId="2" applyFont="1" applyBorder="1" applyAlignment="1">
      <alignment horizontal="left" vertical="center" indent="1"/>
    </xf>
    <xf numFmtId="0" fontId="8" fillId="5" borderId="0" xfId="2" applyFont="1" applyFill="1">
      <alignment vertical="center"/>
    </xf>
    <xf numFmtId="0" fontId="9" fillId="5" borderId="0" xfId="2" applyFont="1" applyFill="1">
      <alignment vertical="center"/>
    </xf>
    <xf numFmtId="0" fontId="8" fillId="0" borderId="12" xfId="2" applyFont="1" applyBorder="1">
      <alignment vertical="center"/>
    </xf>
    <xf numFmtId="0" fontId="8" fillId="0" borderId="12" xfId="2" applyFont="1" applyBorder="1" applyAlignment="1">
      <alignment horizontal="right" vertical="center"/>
    </xf>
    <xf numFmtId="0" fontId="8" fillId="0" borderId="0" xfId="2" applyFont="1" applyFill="1" applyBorder="1">
      <alignment vertical="center"/>
    </xf>
    <xf numFmtId="176" fontId="14" fillId="0" borderId="11" xfId="3" applyNumberFormat="1" applyFont="1" applyBorder="1">
      <alignment vertical="center"/>
    </xf>
    <xf numFmtId="0" fontId="8" fillId="0" borderId="14" xfId="2" applyFont="1" applyBorder="1">
      <alignment vertical="center"/>
    </xf>
    <xf numFmtId="176" fontId="13" fillId="0" borderId="14" xfId="3" applyNumberFormat="1" applyFont="1" applyBorder="1">
      <alignment vertical="center"/>
    </xf>
    <xf numFmtId="0" fontId="8" fillId="0" borderId="14" xfId="2" applyFont="1" applyFill="1" applyBorder="1">
      <alignment vertical="center"/>
    </xf>
    <xf numFmtId="0" fontId="8" fillId="0" borderId="13" xfId="2" applyFont="1" applyBorder="1">
      <alignment vertical="center"/>
    </xf>
    <xf numFmtId="0" fontId="8" fillId="0" borderId="13" xfId="2" applyFont="1" applyBorder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8" fillId="0" borderId="16" xfId="2" applyFont="1" applyBorder="1" applyAlignment="1">
      <alignment horizontal="left" vertical="center" indent="1"/>
    </xf>
    <xf numFmtId="176" fontId="13" fillId="0" borderId="16" xfId="3" applyNumberFormat="1" applyFont="1" applyBorder="1">
      <alignment vertical="center"/>
    </xf>
    <xf numFmtId="0" fontId="8" fillId="0" borderId="16" xfId="2" applyFont="1" applyFill="1" applyBorder="1">
      <alignment vertical="center"/>
    </xf>
    <xf numFmtId="0" fontId="8" fillId="0" borderId="16" xfId="2" applyFont="1" applyBorder="1">
      <alignment vertical="center"/>
    </xf>
    <xf numFmtId="0" fontId="8" fillId="0" borderId="15" xfId="2" applyFont="1" applyBorder="1">
      <alignment vertical="center"/>
    </xf>
    <xf numFmtId="176" fontId="14" fillId="0" borderId="15" xfId="3" applyNumberFormat="1" applyFont="1" applyBorder="1">
      <alignment vertical="center"/>
    </xf>
    <xf numFmtId="0" fontId="8" fillId="0" borderId="15" xfId="2" applyFont="1" applyFill="1" applyBorder="1">
      <alignment vertical="center"/>
    </xf>
    <xf numFmtId="0" fontId="15" fillId="0" borderId="0" xfId="0" applyFont="1" applyBorder="1" applyAlignment="1">
      <alignment horizontal="right" vertical="center"/>
    </xf>
    <xf numFmtId="0" fontId="15" fillId="0" borderId="0" xfId="0" applyFont="1">
      <alignment vertical="center"/>
    </xf>
    <xf numFmtId="0" fontId="15" fillId="0" borderId="0" xfId="0" quotePrefix="1" applyFont="1">
      <alignment vertical="center"/>
    </xf>
    <xf numFmtId="0" fontId="15" fillId="0" borderId="3" xfId="0" applyFont="1" applyBorder="1" applyAlignment="1">
      <alignment horizontal="left" vertical="center"/>
    </xf>
    <xf numFmtId="176" fontId="15" fillId="0" borderId="5" xfId="1" applyNumberFormat="1" applyFont="1" applyFill="1" applyBorder="1">
      <alignment vertical="center"/>
    </xf>
    <xf numFmtId="176" fontId="15" fillId="0" borderId="5" xfId="1" applyNumberFormat="1" applyFont="1" applyBorder="1">
      <alignment vertical="center"/>
    </xf>
    <xf numFmtId="176" fontId="15" fillId="2" borderId="5" xfId="1" applyNumberFormat="1" applyFont="1" applyFill="1" applyBorder="1">
      <alignment vertical="center"/>
    </xf>
    <xf numFmtId="176" fontId="15" fillId="2" borderId="8" xfId="1" applyNumberFormat="1" applyFont="1" applyFill="1" applyBorder="1">
      <alignment vertical="center"/>
    </xf>
    <xf numFmtId="49" fontId="15" fillId="0" borderId="0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3" borderId="17" xfId="0" applyFont="1" applyFill="1" applyBorder="1" applyAlignment="1">
      <alignment horizontal="right" vertical="center"/>
    </xf>
    <xf numFmtId="0" fontId="15" fillId="6" borderId="17" xfId="0" applyFont="1" applyFill="1" applyBorder="1" applyAlignment="1">
      <alignment horizontal="right" vertical="center"/>
    </xf>
    <xf numFmtId="176" fontId="15" fillId="3" borderId="18" xfId="1" applyNumberFormat="1" applyFont="1" applyFill="1" applyBorder="1" applyAlignment="1">
      <alignment horizontal="right" vertical="center"/>
    </xf>
    <xf numFmtId="176" fontId="15" fillId="6" borderId="18" xfId="1" applyNumberFormat="1" applyFont="1" applyFill="1" applyBorder="1" applyAlignment="1">
      <alignment horizontal="right" vertical="center"/>
    </xf>
    <xf numFmtId="176" fontId="15" fillId="3" borderId="19" xfId="1" applyNumberFormat="1" applyFont="1" applyFill="1" applyBorder="1" applyAlignment="1">
      <alignment horizontal="right" vertical="center"/>
    </xf>
    <xf numFmtId="176" fontId="15" fillId="6" borderId="19" xfId="1" applyNumberFormat="1" applyFont="1" applyFill="1" applyBorder="1" applyAlignment="1">
      <alignment horizontal="right" vertical="center"/>
    </xf>
    <xf numFmtId="179" fontId="19" fillId="0" borderId="2" xfId="1" applyNumberFormat="1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49" fontId="15" fillId="0" borderId="4" xfId="0" applyNumberFormat="1" applyFont="1" applyBorder="1" applyAlignment="1">
      <alignment horizontal="right" vertical="center"/>
    </xf>
    <xf numFmtId="176" fontId="15" fillId="0" borderId="0" xfId="1" applyNumberFormat="1" applyFont="1" applyBorder="1" applyAlignment="1">
      <alignment horizontal="right" vertical="center"/>
    </xf>
    <xf numFmtId="176" fontId="15" fillId="0" borderId="0" xfId="1" applyNumberFormat="1" applyFont="1" applyFill="1" applyBorder="1" applyAlignment="1">
      <alignment horizontal="right" vertical="center"/>
    </xf>
    <xf numFmtId="177" fontId="15" fillId="0" borderId="4" xfId="0" applyNumberFormat="1" applyFont="1" applyBorder="1" applyAlignment="1">
      <alignment horizontal="right" vertical="center"/>
    </xf>
    <xf numFmtId="49" fontId="15" fillId="0" borderId="6" xfId="0" applyNumberFormat="1" applyFont="1" applyBorder="1" applyAlignment="1">
      <alignment horizontal="right" vertical="center"/>
    </xf>
    <xf numFmtId="176" fontId="15" fillId="0" borderId="7" xfId="1" applyNumberFormat="1" applyFont="1" applyBorder="1" applyAlignment="1">
      <alignment horizontal="right" vertical="center"/>
    </xf>
  </cellXfs>
  <cellStyles count="4">
    <cellStyle name="常规" xfId="0" builtinId="0"/>
    <cellStyle name="常规 2" xfId="2" xr:uid="{00000000-0005-0000-0000-000001000000}"/>
    <cellStyle name="千位分隔" xfId="1" builtinId="3"/>
    <cellStyle name="千位分隔 2" xfId="3" xr:uid="{00000000-0005-0000-0000-000003000000}"/>
  </cellStyles>
  <dxfs count="6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ont>
        <condense val="0"/>
        <extend val="0"/>
        <color indexed="52"/>
      </font>
    </dxf>
    <dxf>
      <font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1" defaultTableStyle="TableStyleMedium2" defaultPivotStyle="PivotStyleLight16">
    <tableStyle name="MySqlDefault" pivot="0" table="0" count="2" xr9:uid="{0E569066-8C0A-40F3-AC0F-3CC5333352C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9443653139843"/>
          <c:y val="0.10010897227868208"/>
          <c:w val="0.82798419523526667"/>
          <c:h val="0.81171548784167702"/>
        </c:manualLayout>
      </c:layout>
      <c:areaChart>
        <c:grouping val="standard"/>
        <c:varyColors val="0"/>
        <c:ser>
          <c:idx val="3"/>
          <c:order val="3"/>
          <c:tx>
            <c:strRef>
              <c:f>X店!$D$2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X店!$D$41:$D$74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0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0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:-(</c:v>
                </c:pt>
                <c:pt idx="33">
                  <c:v>全年：X 万元?</c:v>
                </c:pt>
              </c:strCache>
            </c:strRef>
          </c:cat>
          <c:val>
            <c:numRef>
              <c:f>(X店!$D$3:$D$14,X店!$B$21:$B$32,X店!$B$21:$B$32)</c:f>
              <c:numCache>
                <c:formatCode>_ * #,##0_ ;_ * \-#,##0_ ;_ * "-"??_ ;_ @_ </c:formatCode>
                <c:ptCount val="36"/>
                <c:pt idx="0">
                  <c:v>2773537</c:v>
                </c:pt>
                <c:pt idx="1">
                  <c:v>2497376.37</c:v>
                </c:pt>
                <c:pt idx="2">
                  <c:v>3396600</c:v>
                </c:pt>
                <c:pt idx="3">
                  <c:v>3709273.7799999993</c:v>
                </c:pt>
                <c:pt idx="4">
                  <c:v>3514232.67</c:v>
                </c:pt>
                <c:pt idx="5">
                  <c:v>3509514.27</c:v>
                </c:pt>
                <c:pt idx="6">
                  <c:v>2934605.2828291319</c:v>
                </c:pt>
                <c:pt idx="7">
                  <c:v>2900456.4799999995</c:v>
                </c:pt>
                <c:pt idx="8">
                  <c:v>2787310.8014780004</c:v>
                </c:pt>
                <c:pt idx="9">
                  <c:v>2774722.37</c:v>
                </c:pt>
                <c:pt idx="10">
                  <c:v>3068056.9447909999</c:v>
                </c:pt>
                <c:pt idx="11">
                  <c:v>2968341.68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20-456B-A8A0-BC43F19B2886}"/>
            </c:ext>
          </c:extLst>
        </c:ser>
        <c:ser>
          <c:idx val="4"/>
          <c:order val="4"/>
          <c:tx>
            <c:strRef>
              <c:f>X店!$E$2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X店!$D$41:$D$74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0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0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:-(</c:v>
                </c:pt>
                <c:pt idx="33">
                  <c:v>全年：X 万元?</c:v>
                </c:pt>
              </c:strCache>
            </c:strRef>
          </c:cat>
          <c:val>
            <c:numRef>
              <c:f>(X店!$B$21:$B$32,X店!$E$3:$E$14)</c:f>
              <c:numCache>
                <c:formatCode>@</c:formatCode>
                <c:ptCount val="24"/>
                <c:pt idx="12" formatCode="_ * #,##0_ ;_ * \-#,##0_ ;_ * &quot;-&quot;??_ ;_ @_ ">
                  <c:v>2476016.5699999998</c:v>
                </c:pt>
                <c:pt idx="13" formatCode="_ * #,##0_ ;_ * \-#,##0_ ;_ * &quot;-&quot;??_ ;_ @_ ">
                  <c:v>3419950.6</c:v>
                </c:pt>
                <c:pt idx="14" formatCode="_ * #,##0_ ;_ * \-#,##0_ ;_ * &quot;-&quot;??_ ;_ @_ ">
                  <c:v>3135720.74</c:v>
                </c:pt>
                <c:pt idx="15" formatCode="_ * #,##0_ ;_ * \-#,##0_ ;_ * &quot;-&quot;??_ ;_ @_ ">
                  <c:v>3705985.4958500001</c:v>
                </c:pt>
                <c:pt idx="16" formatCode="_ * #,##0_ ;_ * \-#,##0_ ;_ * &quot;-&quot;??_ ;_ @_ ">
                  <c:v>3275120.5</c:v>
                </c:pt>
                <c:pt idx="17" formatCode="_ * #,##0_ ;_ * \-#,##0_ ;_ * &quot;-&quot;??_ ;_ @_ ">
                  <c:v>3354056.47</c:v>
                </c:pt>
                <c:pt idx="18" formatCode="_ * #,##0_ ;_ * \-#,##0_ ;_ * &quot;-&quot;??_ ;_ @_ ">
                  <c:v>2711689.42215</c:v>
                </c:pt>
                <c:pt idx="19" formatCode="_ * #,##0_ ;_ * \-#,##0_ ;_ * &quot;-&quot;??_ ;_ @_ ">
                  <c:v>2716733.6300000004</c:v>
                </c:pt>
                <c:pt idx="20" formatCode="_ * #,##0_ ;_ * \-#,##0_ ;_ * &quot;-&quot;??_ ;_ @_ ">
                  <c:v>2776223.67</c:v>
                </c:pt>
                <c:pt idx="21" formatCode="_ * #,##0_ ;_ * \-#,##0_ ;_ * &quot;-&quot;??_ ;_ @_ ">
                  <c:v>2559798.1599999997</c:v>
                </c:pt>
                <c:pt idx="22" formatCode="_ * #,##0_ ;_ * \-#,##0_ ;_ * &quot;-&quot;??_ ;_ @_ ">
                  <c:v>2787192.44</c:v>
                </c:pt>
                <c:pt idx="23" formatCode="_ * #,##0_ ;_ * \-#,##0_ ;_ * &quot;-&quot;??_ ;_ @_ ">
                  <c:v>2803636.02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720-456B-A8A0-BC43F19B2886}"/>
            </c:ext>
          </c:extLst>
        </c:ser>
        <c:ser>
          <c:idx val="5"/>
          <c:order val="5"/>
          <c:tx>
            <c:strRef>
              <c:f>X店!$F$2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X店!$D$41:$D$74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0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0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:-(</c:v>
                </c:pt>
                <c:pt idx="33">
                  <c:v>全年：X 万元?</c:v>
                </c:pt>
              </c:strCache>
            </c:strRef>
          </c:cat>
          <c:val>
            <c:numRef>
              <c:f>(X店!$B$21:$B$32,X店!$B$21:$B$32,X店!$F$3:$F$14)</c:f>
              <c:numCache>
                <c:formatCode>@</c:formatCode>
                <c:ptCount val="36"/>
                <c:pt idx="24" formatCode="_ * #,##0_ ;_ * \-#,##0_ ;_ * &quot;-&quot;??_ ;_ @_ ">
                  <c:v>2536691.62</c:v>
                </c:pt>
                <c:pt idx="25" formatCode="_ * #,##0_ ;_ * \-#,##0_ ;_ * &quot;-&quot;??_ ;_ @_ ">
                  <c:v>2660935.9</c:v>
                </c:pt>
                <c:pt idx="26" formatCode="_ * #,##0_ ;_ * \-#,##0_ ;_ * &quot;-&quot;??_ ;_ @_ ">
                  <c:v>2762300.58</c:v>
                </c:pt>
                <c:pt idx="27" formatCode="_ * #,##0_ ;_ * \-#,##0_ ;_ * &quot;-&quot;??_ ;_ @_ ">
                  <c:v>3245625.8400000008</c:v>
                </c:pt>
                <c:pt idx="28" formatCode="_ * #,##0_ ;_ * \-#,##0_ ;_ * &quot;-&quot;??_ ;_ @_ ">
                  <c:v>3233886.858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720-456B-A8A0-BC43F19B2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24736"/>
        <c:axId val="362723752"/>
      </c:areaChart>
      <c:lineChart>
        <c:grouping val="standard"/>
        <c:varyColors val="0"/>
        <c:ser>
          <c:idx val="0"/>
          <c:order val="0"/>
          <c:tx>
            <c:strRef>
              <c:f>X店!$D$2</c:f>
              <c:strCache>
                <c:ptCount val="1"/>
                <c:pt idx="0">
                  <c:v>2016年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720-456B-A8A0-BC43F19B2886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720-456B-A8A0-BC43F19B2886}"/>
              </c:ext>
            </c:extLst>
          </c:dPt>
          <c:dLbls>
            <c:dLbl>
              <c:idx val="1"/>
              <c:layout>
                <c:manualLayout>
                  <c:x val="-2.0063836607697866E-2"/>
                  <c:y val="7.146075555908718E-2"/>
                </c:manualLayout>
              </c:layout>
              <c:numFmt formatCode="#,##0_ \(&quot;低点&quot;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20-456B-A8A0-BC43F19B2886}"/>
                </c:ext>
              </c:extLst>
            </c:dLbl>
            <c:dLbl>
              <c:idx val="3"/>
              <c:layout>
                <c:manualLayout>
                  <c:x val="-6.5663465261556614E-2"/>
                  <c:y val="-6.0185185185185182E-2"/>
                </c:manualLayout>
              </c:layout>
              <c:numFmt formatCode="#,##0_ \(&quot;高&quot;&quot;点&quot;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20-456B-A8A0-BC43F19B28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(X店!$D$3:$D$14,X店!$B$21:$B$32,X店!$B$21:$B$32)</c:f>
              <c:numCache>
                <c:formatCode>_ * #,##0_ ;_ * \-#,##0_ ;_ * "-"??_ ;_ @_ </c:formatCode>
                <c:ptCount val="36"/>
                <c:pt idx="0">
                  <c:v>2773537</c:v>
                </c:pt>
                <c:pt idx="1">
                  <c:v>2497376.37</c:v>
                </c:pt>
                <c:pt idx="2">
                  <c:v>3396600</c:v>
                </c:pt>
                <c:pt idx="3">
                  <c:v>3709273.7799999993</c:v>
                </c:pt>
                <c:pt idx="4">
                  <c:v>3514232.67</c:v>
                </c:pt>
                <c:pt idx="5">
                  <c:v>3509514.27</c:v>
                </c:pt>
                <c:pt idx="6">
                  <c:v>2934605.2828291319</c:v>
                </c:pt>
                <c:pt idx="7">
                  <c:v>2900456.4799999995</c:v>
                </c:pt>
                <c:pt idx="8">
                  <c:v>2787310.8014780004</c:v>
                </c:pt>
                <c:pt idx="9">
                  <c:v>2774722.37</c:v>
                </c:pt>
                <c:pt idx="10">
                  <c:v>3068056.9447909999</c:v>
                </c:pt>
                <c:pt idx="11">
                  <c:v>2968341.68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0-456B-A8A0-BC43F19B2886}"/>
            </c:ext>
          </c:extLst>
        </c:ser>
        <c:ser>
          <c:idx val="1"/>
          <c:order val="1"/>
          <c:tx>
            <c:strRef>
              <c:f>X店!$E$2</c:f>
              <c:strCache>
                <c:ptCount val="1"/>
                <c:pt idx="0">
                  <c:v>2017年</c:v>
                </c:pt>
              </c:strCache>
            </c:strRef>
          </c:tx>
          <c:spPr>
            <a:ln w="508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9"/>
              <c:spPr>
                <a:solidFill>
                  <a:schemeClr val="bg1"/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720-456B-A8A0-BC43F19B2886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bg1"/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720-456B-A8A0-BC43F19B2886}"/>
              </c:ext>
            </c:extLst>
          </c:dPt>
          <c:dLbls>
            <c:dLbl>
              <c:idx val="12"/>
              <c:layout>
                <c:manualLayout>
                  <c:x val="-2.0063836607697848E-2"/>
                  <c:y val="7.5082247100431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20-456B-A8A0-BC43F19B2886}"/>
                </c:ext>
              </c:extLst>
            </c:dLbl>
            <c:dLbl>
              <c:idx val="15"/>
              <c:layout>
                <c:manualLayout>
                  <c:x val="-6.0191509823093549E-2"/>
                  <c:y val="-5.5555555555555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20-456B-A8A0-BC43F19B28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(X店!$B$21:$B$32,X店!$E$3:$E$14,X店!$B$21:$B$32)</c:f>
              <c:numCache>
                <c:formatCode>@</c:formatCode>
                <c:ptCount val="36"/>
                <c:pt idx="12" formatCode="_ * #,##0_ ;_ * \-#,##0_ ;_ * &quot;-&quot;??_ ;_ @_ ">
                  <c:v>2476016.5699999998</c:v>
                </c:pt>
                <c:pt idx="13" formatCode="_ * #,##0_ ;_ * \-#,##0_ ;_ * &quot;-&quot;??_ ;_ @_ ">
                  <c:v>3419950.6</c:v>
                </c:pt>
                <c:pt idx="14" formatCode="_ * #,##0_ ;_ * \-#,##0_ ;_ * &quot;-&quot;??_ ;_ @_ ">
                  <c:v>3135720.74</c:v>
                </c:pt>
                <c:pt idx="15" formatCode="_ * #,##0_ ;_ * \-#,##0_ ;_ * &quot;-&quot;??_ ;_ @_ ">
                  <c:v>3705985.4958500001</c:v>
                </c:pt>
                <c:pt idx="16" formatCode="_ * #,##0_ ;_ * \-#,##0_ ;_ * &quot;-&quot;??_ ;_ @_ ">
                  <c:v>3275120.5</c:v>
                </c:pt>
                <c:pt idx="17" formatCode="_ * #,##0_ ;_ * \-#,##0_ ;_ * &quot;-&quot;??_ ;_ @_ ">
                  <c:v>3354056.47</c:v>
                </c:pt>
                <c:pt idx="18" formatCode="_ * #,##0_ ;_ * \-#,##0_ ;_ * &quot;-&quot;??_ ;_ @_ ">
                  <c:v>2711689.42215</c:v>
                </c:pt>
                <c:pt idx="19" formatCode="_ * #,##0_ ;_ * \-#,##0_ ;_ * &quot;-&quot;??_ ;_ @_ ">
                  <c:v>2716733.6300000004</c:v>
                </c:pt>
                <c:pt idx="20" formatCode="_ * #,##0_ ;_ * \-#,##0_ ;_ * &quot;-&quot;??_ ;_ @_ ">
                  <c:v>2776223.67</c:v>
                </c:pt>
                <c:pt idx="21" formatCode="_ * #,##0_ ;_ * \-#,##0_ ;_ * &quot;-&quot;??_ ;_ @_ ">
                  <c:v>2559798.1599999997</c:v>
                </c:pt>
                <c:pt idx="22" formatCode="_ * #,##0_ ;_ * \-#,##0_ ;_ * &quot;-&quot;??_ ;_ @_ ">
                  <c:v>2787192.44</c:v>
                </c:pt>
                <c:pt idx="23" formatCode="_ * #,##0_ ;_ * \-#,##0_ ;_ * &quot;-&quot;??_ ;_ @_ ">
                  <c:v>2803636.02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0-456B-A8A0-BC43F19B2886}"/>
            </c:ext>
          </c:extLst>
        </c:ser>
        <c:ser>
          <c:idx val="2"/>
          <c:order val="2"/>
          <c:tx>
            <c:strRef>
              <c:f>X店!$F$2</c:f>
              <c:strCache>
                <c:ptCount val="1"/>
                <c:pt idx="0">
                  <c:v>2018年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24"/>
              <c:layout>
                <c:manualLayout>
                  <c:x val="-1.8239851461543499E-2"/>
                  <c:y val="7.4074074074073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20-456B-A8A0-BC43F19B2886}"/>
                </c:ext>
              </c:extLst>
            </c:dLbl>
            <c:dLbl>
              <c:idx val="27"/>
              <c:layout>
                <c:manualLayout>
                  <c:x val="-5.654353953078485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20-456B-A8A0-BC43F19B28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(X店!$B$21:$B$32,X店!$B$21:$B$32,X店!$F$3:$F$14)</c:f>
              <c:numCache>
                <c:formatCode>@</c:formatCode>
                <c:ptCount val="36"/>
                <c:pt idx="24" formatCode="_ * #,##0_ ;_ * \-#,##0_ ;_ * &quot;-&quot;??_ ;_ @_ ">
                  <c:v>2536691.62</c:v>
                </c:pt>
                <c:pt idx="25" formatCode="_ * #,##0_ ;_ * \-#,##0_ ;_ * &quot;-&quot;??_ ;_ @_ ">
                  <c:v>2660935.9</c:v>
                </c:pt>
                <c:pt idx="26" formatCode="_ * #,##0_ ;_ * \-#,##0_ ;_ * &quot;-&quot;??_ ;_ @_ ">
                  <c:v>2762300.58</c:v>
                </c:pt>
                <c:pt idx="27" formatCode="_ * #,##0_ ;_ * \-#,##0_ ;_ * &quot;-&quot;??_ ;_ @_ ">
                  <c:v>3245625.8400000008</c:v>
                </c:pt>
                <c:pt idx="28" formatCode="_ * #,##0_ ;_ * \-#,##0_ ;_ * &quot;-&quot;??_ ;_ @_ ">
                  <c:v>3233886.858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0-456B-A8A0-BC43F19B2886}"/>
            </c:ext>
          </c:extLst>
        </c:ser>
        <c:ser>
          <c:idx val="6"/>
          <c:order val="6"/>
          <c:tx>
            <c:v>2018VS2017</c:v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(X店!$B$21:$B$32,X店!$F$3:$F$14,X店!$B$21:$B$32)</c:f>
              <c:numCache>
                <c:formatCode>@</c:formatCode>
                <c:ptCount val="36"/>
                <c:pt idx="12" formatCode="_ * #,##0_ ;_ * \-#,##0_ ;_ * &quot;-&quot;??_ ;_ @_ ">
                  <c:v>2536691.62</c:v>
                </c:pt>
                <c:pt idx="13" formatCode="_ * #,##0_ ;_ * \-#,##0_ ;_ * &quot;-&quot;??_ ;_ @_ ">
                  <c:v>2660935.9</c:v>
                </c:pt>
                <c:pt idx="14" formatCode="_ * #,##0_ ;_ * \-#,##0_ ;_ * &quot;-&quot;??_ ;_ @_ ">
                  <c:v>2762300.58</c:v>
                </c:pt>
                <c:pt idx="15" formatCode="_ * #,##0_ ;_ * \-#,##0_ ;_ * &quot;-&quot;??_ ;_ @_ ">
                  <c:v>3245625.8400000008</c:v>
                </c:pt>
                <c:pt idx="16" formatCode="_ * #,##0_ ;_ * \-#,##0_ ;_ * &quot;-&quot;??_ ;_ @_ ">
                  <c:v>3233886.858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9-4113-B37A-C7B5C6C1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724736"/>
        <c:axId val="362723752"/>
      </c:lineChart>
      <c:catAx>
        <c:axId val="3627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62723752"/>
        <c:crosses val="autoZero"/>
        <c:auto val="1"/>
        <c:lblAlgn val="ctr"/>
        <c:lblOffset val="100"/>
        <c:noMultiLvlLbl val="0"/>
      </c:catAx>
      <c:valAx>
        <c:axId val="362723752"/>
        <c:scaling>
          <c:orientation val="minMax"/>
          <c:min val="20000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62724736"/>
        <c:crosses val="autoZero"/>
        <c:crossBetween val="between"/>
        <c:majorUnit val="1000000"/>
        <c:minorUnit val="100000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.12004894658437966"/>
          <c:w val="0.98644067796610169"/>
          <c:h val="0.77222210399375757"/>
        </c:manualLayout>
      </c:layout>
      <c:barChart>
        <c:barDir val="col"/>
        <c:grouping val="clustered"/>
        <c:varyColors val="0"/>
        <c:ser>
          <c:idx val="5"/>
          <c:order val="5"/>
          <c:spPr>
            <a:solidFill>
              <a:schemeClr val="accent6"/>
            </a:solidFill>
            <a:ln w="2540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F6E-424D-9382-02887A139C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F6E-424D-9382-02887A139C4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F6E-424D-9382-02887A139C4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F6E-424D-9382-02887A139C4A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2540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F6E-424D-9382-02887A139C4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677E4F5-AFA3-4AD4-A35C-AC434096B0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F6E-424D-9382-02887A139C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5054B1-1326-402C-A8AB-FA8C3CDE30F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F6E-424D-9382-02887A139C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03341F-C369-4A77-BC68-ABB67E35CE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F6E-424D-9382-02887A139C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BC6CCE-65BF-475A-9555-0820F4676A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F6E-424D-9382-02887A139C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6BF28DE-5E2C-45D9-B6D4-88EB663BE1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F6E-424D-9382-02887A139C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5"/>
              <c:pt idx="0">
                <c:v>2014年</c:v>
              </c:pt>
              <c:pt idx="1">
                <c:v>2015年</c:v>
              </c:pt>
              <c:pt idx="2">
                <c:v>2016年</c:v>
              </c:pt>
              <c:pt idx="3">
                <c:v>2017年</c:v>
              </c:pt>
              <c:pt idx="4">
                <c:v>2018年</c:v>
              </c:pt>
            </c:strLit>
          </c:cat>
          <c:val>
            <c:numLit>
              <c:formatCode>General</c:formatCode>
              <c:ptCount val="5"/>
              <c:pt idx="0">
                <c:v>4000000</c:v>
              </c:pt>
              <c:pt idx="1">
                <c:v>4000000</c:v>
              </c:pt>
              <c:pt idx="2">
                <c:v>4000000</c:v>
              </c:pt>
              <c:pt idx="3">
                <c:v>4000000</c:v>
              </c:pt>
              <c:pt idx="4">
                <c:v>4000000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X店!$B$15:$F$15</c15:f>
                <c15:dlblRangeCache>
                  <c:ptCount val="5"/>
                  <c:pt idx="0">
                    <c:v>2,510万元</c:v>
                  </c:pt>
                  <c:pt idx="1">
                    <c:v>2,762万元</c:v>
                  </c:pt>
                  <c:pt idx="2">
                    <c:v>3,683万元</c:v>
                  </c:pt>
                  <c:pt idx="3">
                    <c:v>3,572万元</c:v>
                  </c:pt>
                  <c:pt idx="4">
                    <c:v>1,444万元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EF6E-424D-9382-02887A13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4059984"/>
        <c:axId val="501659392"/>
      </c:barChart>
      <c:lineChart>
        <c:grouping val="standard"/>
        <c:varyColors val="0"/>
        <c:ser>
          <c:idx val="0"/>
          <c:order val="0"/>
          <c:tx>
            <c:strRef>
              <c:f>X店!$B$2</c:f>
              <c:strCache>
                <c:ptCount val="1"/>
                <c:pt idx="0">
                  <c:v>2014年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F645-4000-B629-E7163DD18A2A}"/>
              </c:ext>
            </c:extLst>
          </c:dPt>
          <c:dLbls>
            <c:dLbl>
              <c:idx val="10"/>
              <c:layout>
                <c:manualLayout>
                  <c:x val="-9.7790314997649272E-2"/>
                  <c:y val="-6.30630630630630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45-4000-B629-E7163DD18A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(X店!$B$3:$B$14,X店!$B$21:$B$32,X店!$B$21:$B$32,X店!$B$21:$B$32,X店!$B$21:$B$32)</c:f>
              <c:numCache>
                <c:formatCode>_ * #,##0_ ;_ * \-#,##0_ ;_ * "-"??_ ;_ @_ </c:formatCode>
                <c:ptCount val="60"/>
                <c:pt idx="0">
                  <c:v>1563046.3999999997</c:v>
                </c:pt>
                <c:pt idx="1">
                  <c:v>1559995.5</c:v>
                </c:pt>
                <c:pt idx="2">
                  <c:v>1897602.8000000003</c:v>
                </c:pt>
                <c:pt idx="3">
                  <c:v>2168515.7999999998</c:v>
                </c:pt>
                <c:pt idx="4">
                  <c:v>2295266.0999999996</c:v>
                </c:pt>
                <c:pt idx="5">
                  <c:v>2314160.5</c:v>
                </c:pt>
                <c:pt idx="6">
                  <c:v>1941568.5199999996</c:v>
                </c:pt>
                <c:pt idx="7">
                  <c:v>2278972.3000000007</c:v>
                </c:pt>
                <c:pt idx="8">
                  <c:v>2273486.2000000002</c:v>
                </c:pt>
                <c:pt idx="9">
                  <c:v>2282786.8999999994</c:v>
                </c:pt>
                <c:pt idx="10">
                  <c:v>2404995.1500000004</c:v>
                </c:pt>
                <c:pt idx="11">
                  <c:v>2120267.65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E-424D-9382-02887A139C4A}"/>
            </c:ext>
          </c:extLst>
        </c:ser>
        <c:ser>
          <c:idx val="1"/>
          <c:order val="1"/>
          <c:tx>
            <c:strRef>
              <c:f>X店!$C$2</c:f>
              <c:strCache>
                <c:ptCount val="1"/>
                <c:pt idx="0">
                  <c:v>2015年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dPt>
            <c:idx val="23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645-4000-B629-E7163DD18A2A}"/>
              </c:ext>
            </c:extLst>
          </c:dPt>
          <c:dLbls>
            <c:dLbl>
              <c:idx val="23"/>
              <c:layout>
                <c:manualLayout>
                  <c:x val="-0.10719322990126939"/>
                  <c:y val="-5.40540540540541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45-4000-B629-E7163DD18A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(X店!$B$21:$B$32,X店!$C$3:$C$14,X店!$B$21:$B$32,X店!$B$21:$B$32,X店!$B$21:$B$32)</c:f>
              <c:numCache>
                <c:formatCode>@</c:formatCode>
                <c:ptCount val="60"/>
                <c:pt idx="12" formatCode="_ * #,##0_ ;_ * \-#,##0_ ;_ * &quot;-&quot;??_ ;_ @_ ">
                  <c:v>2162404.1500000004</c:v>
                </c:pt>
                <c:pt idx="13" formatCode="_ * #,##0_ ;_ * \-#,##0_ ;_ * &quot;-&quot;??_ ;_ @_ ">
                  <c:v>2115318.1</c:v>
                </c:pt>
                <c:pt idx="14" formatCode="_ * #,##0_ ;_ * \-#,##0_ ;_ * &quot;-&quot;??_ ;_ @_ ">
                  <c:v>2065056.2000000004</c:v>
                </c:pt>
                <c:pt idx="15" formatCode="_ * #,##0_ ;_ * \-#,##0_ ;_ * &quot;-&quot;??_ ;_ @_ ">
                  <c:v>2609919.4499999997</c:v>
                </c:pt>
                <c:pt idx="16" formatCode="_ * #,##0_ ;_ * \-#,##0_ ;_ * &quot;-&quot;??_ ;_ @_ ">
                  <c:v>2558559.7999999998</c:v>
                </c:pt>
                <c:pt idx="17" formatCode="_ * #,##0_ ;_ * \-#,##0_ ;_ * &quot;-&quot;??_ ;_ @_ ">
                  <c:v>2393058</c:v>
                </c:pt>
                <c:pt idx="18" formatCode="_ * #,##0_ ;_ * \-#,##0_ ;_ * &quot;-&quot;??_ ;_ @_ ">
                  <c:v>2192797.009999</c:v>
                </c:pt>
                <c:pt idx="19" formatCode="_ * #,##0_ ;_ * \-#,##0_ ;_ * &quot;-&quot;??_ ;_ @_ ">
                  <c:v>2288607.6500000004</c:v>
                </c:pt>
                <c:pt idx="20" formatCode="_ * #,##0_ ;_ * \-#,##0_ ;_ * &quot;-&quot;??_ ;_ @_ ">
                  <c:v>2355344.0499999998</c:v>
                </c:pt>
                <c:pt idx="21" formatCode="_ * #,##0_ ;_ * \-#,##0_ ;_ * &quot;-&quot;??_ ;_ @_ ">
                  <c:v>2128126.52</c:v>
                </c:pt>
                <c:pt idx="22" formatCode="_ * #,##0_ ;_ * \-#,##0_ ;_ * &quot;-&quot;??_ ;_ @_ ">
                  <c:v>2041434.9</c:v>
                </c:pt>
                <c:pt idx="23" formatCode="_ * #,##0_ ;_ * \-#,##0_ ;_ * &quot;-&quot;??_ ;_ @_ ">
                  <c:v>2707259.6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6E-424D-9382-02887A139C4A}"/>
            </c:ext>
          </c:extLst>
        </c:ser>
        <c:ser>
          <c:idx val="2"/>
          <c:order val="2"/>
          <c:tx>
            <c:strRef>
              <c:f>X店!$D$2</c:f>
              <c:strCache>
                <c:ptCount val="1"/>
                <c:pt idx="0">
                  <c:v>2016年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C83-499C-87FF-FDCA52DC30A4}"/>
              </c:ext>
            </c:extLst>
          </c:dPt>
          <c:dLbls>
            <c:dLbl>
              <c:idx val="27"/>
              <c:layout>
                <c:manualLayout>
                  <c:x val="-3.1969910672308414E-2"/>
                  <c:y val="-4.5045045045045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83-499C-87FF-FDCA52DC30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(X店!$B$21:$B$32,X店!$B$21:$B$32,X店!$D$3:$D$14,X店!$B$21:$B$32,X店!$B$21:$B$32)</c:f>
              <c:numCache>
                <c:formatCode>@</c:formatCode>
                <c:ptCount val="60"/>
                <c:pt idx="24" formatCode="_ * #,##0_ ;_ * \-#,##0_ ;_ * &quot;-&quot;??_ ;_ @_ ">
                  <c:v>2773537</c:v>
                </c:pt>
                <c:pt idx="25" formatCode="_ * #,##0_ ;_ * \-#,##0_ ;_ * &quot;-&quot;??_ ;_ @_ ">
                  <c:v>2497376.37</c:v>
                </c:pt>
                <c:pt idx="26" formatCode="_ * #,##0_ ;_ * \-#,##0_ ;_ * &quot;-&quot;??_ ;_ @_ ">
                  <c:v>3396600</c:v>
                </c:pt>
                <c:pt idx="27" formatCode="_ * #,##0_ ;_ * \-#,##0_ ;_ * &quot;-&quot;??_ ;_ @_ ">
                  <c:v>3709273.7799999993</c:v>
                </c:pt>
                <c:pt idx="28" formatCode="_ * #,##0_ ;_ * \-#,##0_ ;_ * &quot;-&quot;??_ ;_ @_ ">
                  <c:v>3514232.67</c:v>
                </c:pt>
                <c:pt idx="29" formatCode="_ * #,##0_ ;_ * \-#,##0_ ;_ * &quot;-&quot;??_ ;_ @_ ">
                  <c:v>3509514.27</c:v>
                </c:pt>
                <c:pt idx="30" formatCode="_ * #,##0_ ;_ * \-#,##0_ ;_ * &quot;-&quot;??_ ;_ @_ ">
                  <c:v>2934605.2828291319</c:v>
                </c:pt>
                <c:pt idx="31" formatCode="_ * #,##0_ ;_ * \-#,##0_ ;_ * &quot;-&quot;??_ ;_ @_ ">
                  <c:v>2900456.4799999995</c:v>
                </c:pt>
                <c:pt idx="32" formatCode="_ * #,##0_ ;_ * \-#,##0_ ;_ * &quot;-&quot;??_ ;_ @_ ">
                  <c:v>2787310.8014780004</c:v>
                </c:pt>
                <c:pt idx="33" formatCode="_ * #,##0_ ;_ * \-#,##0_ ;_ * &quot;-&quot;??_ ;_ @_ ">
                  <c:v>2774722.37</c:v>
                </c:pt>
                <c:pt idx="34" formatCode="_ * #,##0_ ;_ * \-#,##0_ ;_ * &quot;-&quot;??_ ;_ @_ ">
                  <c:v>3068056.9447909999</c:v>
                </c:pt>
                <c:pt idx="35" formatCode="_ * #,##0_ ;_ * \-#,##0_ ;_ * &quot;-&quot;??_ ;_ @_ ">
                  <c:v>2968341.68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6E-424D-9382-02887A139C4A}"/>
            </c:ext>
          </c:extLst>
        </c:ser>
        <c:ser>
          <c:idx val="3"/>
          <c:order val="3"/>
          <c:tx>
            <c:strRef>
              <c:f>X店!$E$2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39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C83-499C-87FF-FDCA52DC30A4}"/>
              </c:ext>
            </c:extLst>
          </c:dPt>
          <c:dLbls>
            <c:dLbl>
              <c:idx val="39"/>
              <c:layout>
                <c:manualLayout>
                  <c:x val="-5.0775740479548727E-2"/>
                  <c:y val="-4.954954954954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83-499C-87FF-FDCA52DC30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(X店!$B$21:$B$32,X店!$B$21:$B$32,X店!$B$21:$B$32,X店!$E$3:$E$14,X店!$B$21:$B$32)</c:f>
              <c:numCache>
                <c:formatCode>@</c:formatCode>
                <c:ptCount val="60"/>
                <c:pt idx="36" formatCode="_ * #,##0_ ;_ * \-#,##0_ ;_ * &quot;-&quot;??_ ;_ @_ ">
                  <c:v>2476016.5699999998</c:v>
                </c:pt>
                <c:pt idx="37" formatCode="_ * #,##0_ ;_ * \-#,##0_ ;_ * &quot;-&quot;??_ ;_ @_ ">
                  <c:v>3419950.6</c:v>
                </c:pt>
                <c:pt idx="38" formatCode="_ * #,##0_ ;_ * \-#,##0_ ;_ * &quot;-&quot;??_ ;_ @_ ">
                  <c:v>3135720.74</c:v>
                </c:pt>
                <c:pt idx="39" formatCode="_ * #,##0_ ;_ * \-#,##0_ ;_ * &quot;-&quot;??_ ;_ @_ ">
                  <c:v>3705985.4958500001</c:v>
                </c:pt>
                <c:pt idx="40" formatCode="_ * #,##0_ ;_ * \-#,##0_ ;_ * &quot;-&quot;??_ ;_ @_ ">
                  <c:v>3275120.5</c:v>
                </c:pt>
                <c:pt idx="41" formatCode="_ * #,##0_ ;_ * \-#,##0_ ;_ * &quot;-&quot;??_ ;_ @_ ">
                  <c:v>3354056.47</c:v>
                </c:pt>
                <c:pt idx="42" formatCode="_ * #,##0_ ;_ * \-#,##0_ ;_ * &quot;-&quot;??_ ;_ @_ ">
                  <c:v>2711689.42215</c:v>
                </c:pt>
                <c:pt idx="43" formatCode="_ * #,##0_ ;_ * \-#,##0_ ;_ * &quot;-&quot;??_ ;_ @_ ">
                  <c:v>2716733.6300000004</c:v>
                </c:pt>
                <c:pt idx="44" formatCode="_ * #,##0_ ;_ * \-#,##0_ ;_ * &quot;-&quot;??_ ;_ @_ ">
                  <c:v>2776223.67</c:v>
                </c:pt>
                <c:pt idx="45" formatCode="_ * #,##0_ ;_ * \-#,##0_ ;_ * &quot;-&quot;??_ ;_ @_ ">
                  <c:v>2559798.1599999997</c:v>
                </c:pt>
                <c:pt idx="46" formatCode="_ * #,##0_ ;_ * \-#,##0_ ;_ * &quot;-&quot;??_ ;_ @_ ">
                  <c:v>2787192.44</c:v>
                </c:pt>
                <c:pt idx="47" formatCode="_ * #,##0_ ;_ * \-#,##0_ ;_ * &quot;-&quot;??_ ;_ @_ ">
                  <c:v>2803636.02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6E-424D-9382-02887A139C4A}"/>
            </c:ext>
          </c:extLst>
        </c:ser>
        <c:ser>
          <c:idx val="4"/>
          <c:order val="4"/>
          <c:tx>
            <c:strRef>
              <c:f>X店!$F$2</c:f>
              <c:strCache>
                <c:ptCount val="1"/>
                <c:pt idx="0">
                  <c:v>2018年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51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C83-499C-87FF-FDCA52DC30A4}"/>
              </c:ext>
            </c:extLst>
          </c:dPt>
          <c:dLbls>
            <c:dLbl>
              <c:idx val="51"/>
              <c:layout>
                <c:manualLayout>
                  <c:x val="-5.4536906440996707E-2"/>
                  <c:y val="-6.75675675675676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83-499C-87FF-FDCA52DC30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(X店!$B$21:$B$32,X店!$B$21:$B$32,X店!$B$21:$B$32,X店!$B$21:$B$32,X店!$F$3:$F$14)</c:f>
              <c:numCache>
                <c:formatCode>@</c:formatCode>
                <c:ptCount val="60"/>
                <c:pt idx="48" formatCode="_ * #,##0_ ;_ * \-#,##0_ ;_ * &quot;-&quot;??_ ;_ @_ ">
                  <c:v>2536691.62</c:v>
                </c:pt>
                <c:pt idx="49" formatCode="_ * #,##0_ ;_ * \-#,##0_ ;_ * &quot;-&quot;??_ ;_ @_ ">
                  <c:v>2660935.9</c:v>
                </c:pt>
                <c:pt idx="50" formatCode="_ * #,##0_ ;_ * \-#,##0_ ;_ * &quot;-&quot;??_ ;_ @_ ">
                  <c:v>2762300.58</c:v>
                </c:pt>
                <c:pt idx="51" formatCode="_ * #,##0_ ;_ * \-#,##0_ ;_ * &quot;-&quot;??_ ;_ @_ ">
                  <c:v>3245625.8400000008</c:v>
                </c:pt>
                <c:pt idx="52" formatCode="_ * #,##0_ ;_ * \-#,##0_ ;_ * &quot;-&quot;??_ ;_ @_ ">
                  <c:v>3233886.858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6E-424D-9382-02887A139C4A}"/>
            </c:ext>
          </c:extLst>
        </c:ser>
        <c:ser>
          <c:idx val="6"/>
          <c:order val="6"/>
          <c:tx>
            <c:v>2018VS2017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(X店!$B$21:$B$32,X店!$B$21:$B$32,X店!$B$21:$B$32,X店!$F$3:$F$14,X店!$B$21:$B$32)</c:f>
              <c:numCache>
                <c:formatCode>@</c:formatCode>
                <c:ptCount val="60"/>
                <c:pt idx="36" formatCode="_ * #,##0_ ;_ * \-#,##0_ ;_ * &quot;-&quot;??_ ;_ @_ ">
                  <c:v>2536691.62</c:v>
                </c:pt>
                <c:pt idx="37" formatCode="_ * #,##0_ ;_ * \-#,##0_ ;_ * &quot;-&quot;??_ ;_ @_ ">
                  <c:v>2660935.9</c:v>
                </c:pt>
                <c:pt idx="38" formatCode="_ * #,##0_ ;_ * \-#,##0_ ;_ * &quot;-&quot;??_ ;_ @_ ">
                  <c:v>2762300.58</c:v>
                </c:pt>
                <c:pt idx="39" formatCode="_ * #,##0_ ;_ * \-#,##0_ ;_ * &quot;-&quot;??_ ;_ @_ ">
                  <c:v>3245625.8400000008</c:v>
                </c:pt>
                <c:pt idx="40" formatCode="_ * #,##0_ ;_ * \-#,##0_ ;_ * &quot;-&quot;??_ ;_ @_ ">
                  <c:v>3233886.858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83-499C-87FF-FDCA52DC3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408432"/>
        <c:axId val="493410096"/>
      </c:lineChart>
      <c:catAx>
        <c:axId val="49340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3410096"/>
        <c:crosses val="autoZero"/>
        <c:auto val="1"/>
        <c:lblAlgn val="ctr"/>
        <c:lblOffset val="100"/>
        <c:noMultiLvlLbl val="0"/>
      </c:catAx>
      <c:valAx>
        <c:axId val="493410096"/>
        <c:scaling>
          <c:orientation val="minMax"/>
          <c:max val="4000000"/>
          <c:min val="1000000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493408432"/>
        <c:crosses val="autoZero"/>
        <c:crossBetween val="between"/>
        <c:majorUnit val="1000000"/>
      </c:valAx>
      <c:valAx>
        <c:axId val="501659392"/>
        <c:scaling>
          <c:orientation val="minMax"/>
          <c:max val="4000000"/>
          <c:min val="1000000"/>
        </c:scaling>
        <c:delete val="1"/>
        <c:axPos val="r"/>
        <c:numFmt formatCode="General" sourceLinked="1"/>
        <c:majorTickMark val="out"/>
        <c:minorTickMark val="none"/>
        <c:tickLblPos val="nextTo"/>
        <c:crossAx val="544059984"/>
        <c:crosses val="max"/>
        <c:crossBetween val="between"/>
        <c:majorUnit val="1000000"/>
      </c:valAx>
      <c:catAx>
        <c:axId val="54405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659392"/>
        <c:crosses val="autoZero"/>
        <c:auto val="1"/>
        <c:lblAlgn val="ctr"/>
        <c:lblOffset val="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strRef>
              <c:f>Y店!$C$39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Y店!$B$41:$B$74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1,552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4,373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:-)</c:v>
                </c:pt>
                <c:pt idx="33">
                  <c:v>全年：X 万元?</c:v>
                </c:pt>
              </c:strCache>
            </c:strRef>
          </c:cat>
          <c:val>
            <c:numRef>
              <c:f>Y店!$C$40:$C$75</c:f>
              <c:numCache>
                <c:formatCode>_ * #,##0_ ;_ * \-#,##0_ ;_ * "-"??_ ;_ @_ </c:formatCode>
                <c:ptCount val="36"/>
                <c:pt idx="7">
                  <c:v>3148946.17</c:v>
                </c:pt>
                <c:pt idx="8">
                  <c:v>3434166.18</c:v>
                </c:pt>
                <c:pt idx="9">
                  <c:v>2875724.88</c:v>
                </c:pt>
                <c:pt idx="10">
                  <c:v>3035476.97</c:v>
                </c:pt>
                <c:pt idx="11">
                  <c:v>3025599.08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4-4146-BFE7-A8CB42EAA18F}"/>
            </c:ext>
          </c:extLst>
        </c:ser>
        <c:ser>
          <c:idx val="5"/>
          <c:order val="4"/>
          <c:tx>
            <c:strRef>
              <c:f>Y店!$E$39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rgbClr val="FF0000"/>
              </a:solidFill>
            </a:ln>
            <a:effectLst/>
          </c:spPr>
          <c:cat>
            <c:strRef>
              <c:f>Y店!$B$41:$B$74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1,552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4,373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:-)</c:v>
                </c:pt>
                <c:pt idx="33">
                  <c:v>全年：X 万元?</c:v>
                </c:pt>
              </c:strCache>
            </c:strRef>
          </c:cat>
          <c:val>
            <c:numRef>
              <c:f>Y店!$E$40:$E$75</c:f>
              <c:numCache>
                <c:formatCode>_ * #,##0_ ;_ * \-#,##0_ ;_ * "-"??_ ;_ @_ </c:formatCode>
                <c:ptCount val="36"/>
                <c:pt idx="12">
                  <c:v>4080137.47</c:v>
                </c:pt>
                <c:pt idx="13">
                  <c:v>3995704.67</c:v>
                </c:pt>
                <c:pt idx="14">
                  <c:v>3560076.3200000003</c:v>
                </c:pt>
                <c:pt idx="15">
                  <c:v>4544794.57</c:v>
                </c:pt>
                <c:pt idx="16">
                  <c:v>4411956.7420000006</c:v>
                </c:pt>
                <c:pt idx="24">
                  <c:v>4080137.47</c:v>
                </c:pt>
                <c:pt idx="25">
                  <c:v>3995704.67</c:v>
                </c:pt>
                <c:pt idx="26">
                  <c:v>3560076.3200000003</c:v>
                </c:pt>
                <c:pt idx="27">
                  <c:v>4544794.57</c:v>
                </c:pt>
                <c:pt idx="28">
                  <c:v>4411956.7420000006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4-4146-BFE7-A8CB42EAA18F}"/>
            </c:ext>
          </c:extLst>
        </c:ser>
        <c:ser>
          <c:idx val="4"/>
          <c:order val="5"/>
          <c:tx>
            <c:strRef>
              <c:f>Y店!$D$39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Y店!$B$41:$B$74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1,552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4,373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:-)</c:v>
                </c:pt>
                <c:pt idx="33">
                  <c:v>全年：X 万元?</c:v>
                </c:pt>
              </c:strCache>
            </c:strRef>
          </c:cat>
          <c:val>
            <c:numRef>
              <c:f>Y店!$D$40:$D$75</c:f>
              <c:numCache>
                <c:formatCode>_ * #,##0_ ;_ * \-#,##0_ ;_ * "-"??_ ;_ @_ </c:formatCode>
                <c:ptCount val="36"/>
                <c:pt idx="12">
                  <c:v>2535068.38</c:v>
                </c:pt>
                <c:pt idx="13">
                  <c:v>3579521.9499999997</c:v>
                </c:pt>
                <c:pt idx="14">
                  <c:v>3179745.99</c:v>
                </c:pt>
                <c:pt idx="15">
                  <c:v>3795427.13</c:v>
                </c:pt>
                <c:pt idx="16">
                  <c:v>3871838.56</c:v>
                </c:pt>
                <c:pt idx="17">
                  <c:v>3826417.43</c:v>
                </c:pt>
                <c:pt idx="18">
                  <c:v>3634433.85</c:v>
                </c:pt>
                <c:pt idx="19">
                  <c:v>3714397.5100000007</c:v>
                </c:pt>
                <c:pt idx="20">
                  <c:v>3594021.5</c:v>
                </c:pt>
                <c:pt idx="21">
                  <c:v>3843983.75</c:v>
                </c:pt>
                <c:pt idx="22">
                  <c:v>4084951.82</c:v>
                </c:pt>
                <c:pt idx="23">
                  <c:v>4071148.31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4-4146-BFE7-A8CB42EA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24736"/>
        <c:axId val="362723752"/>
      </c:areaChart>
      <c:lineChart>
        <c:grouping val="standard"/>
        <c:varyColors val="0"/>
        <c:ser>
          <c:idx val="0"/>
          <c:order val="0"/>
          <c:tx>
            <c:strRef>
              <c:f>Y店!$C$39</c:f>
              <c:strCache>
                <c:ptCount val="1"/>
                <c:pt idx="0">
                  <c:v>2016年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0063836607697866E-2"/>
                  <c:y val="7.146075555908718E-2"/>
                </c:manualLayout>
              </c:layout>
              <c:numFmt formatCode="#,##0_ \(&quot;低点&quot;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Verdana" panose="020B0604030504040204" pitchFamily="34" charset="0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94-4146-BFE7-A8CB42EAA18F}"/>
                </c:ext>
              </c:extLst>
            </c:dLbl>
            <c:dLbl>
              <c:idx val="3"/>
              <c:layout>
                <c:manualLayout>
                  <c:x val="-6.5663465261556614E-2"/>
                  <c:y val="-6.0185185185185182E-2"/>
                </c:manualLayout>
              </c:layout>
              <c:numFmt formatCode="#,##0_ \(&quot;高&quot;&quot;点&quot;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Verdana" panose="020B0604030504040204" pitchFamily="34" charset="0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94-4146-BFE7-A8CB42EAA1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Y店!$B$41:$B$74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1,552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4,373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:-)</c:v>
                </c:pt>
                <c:pt idx="33">
                  <c:v>全年：X 万元?</c:v>
                </c:pt>
              </c:strCache>
            </c:strRef>
          </c:cat>
          <c:val>
            <c:numRef>
              <c:f>Y店!$C$40:$C$75</c:f>
              <c:numCache>
                <c:formatCode>_ * #,##0_ ;_ * \-#,##0_ ;_ * "-"??_ ;_ @_ </c:formatCode>
                <c:ptCount val="36"/>
                <c:pt idx="7">
                  <c:v>3148946.17</c:v>
                </c:pt>
                <c:pt idx="8">
                  <c:v>3434166.18</c:v>
                </c:pt>
                <c:pt idx="9">
                  <c:v>2875724.88</c:v>
                </c:pt>
                <c:pt idx="10">
                  <c:v>3035476.97</c:v>
                </c:pt>
                <c:pt idx="11">
                  <c:v>3025599.08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94-4146-BFE7-A8CB42EAA18F}"/>
            </c:ext>
          </c:extLst>
        </c:ser>
        <c:ser>
          <c:idx val="1"/>
          <c:order val="1"/>
          <c:tx>
            <c:strRef>
              <c:f>Y店!$D$39</c:f>
              <c:strCache>
                <c:ptCount val="1"/>
                <c:pt idx="0">
                  <c:v>2017年</c:v>
                </c:pt>
              </c:strCache>
            </c:strRef>
          </c:tx>
          <c:spPr>
            <a:ln w="508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9"/>
              <c:spPr>
                <a:solidFill>
                  <a:schemeClr val="bg1"/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194-4146-BFE7-A8CB42EAA18F}"/>
              </c:ext>
            </c:extLst>
          </c:dPt>
          <c:dPt>
            <c:idx val="22"/>
            <c:marker>
              <c:symbol val="circle"/>
              <c:size val="11"/>
              <c:spPr>
                <a:solidFill>
                  <a:schemeClr val="bg1"/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B194-4146-BFE7-A8CB42EAA18F}"/>
              </c:ext>
            </c:extLst>
          </c:dPt>
          <c:dLbls>
            <c:dLbl>
              <c:idx val="12"/>
              <c:layout>
                <c:manualLayout>
                  <c:x val="-2.0063890868807381E-2"/>
                  <c:y val="5.8953094572855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94-4146-BFE7-A8CB42EAA18F}"/>
                </c:ext>
              </c:extLst>
            </c:dLbl>
            <c:dLbl>
              <c:idx val="22"/>
              <c:layout>
                <c:manualLayout>
                  <c:x val="-0.13636361828738597"/>
                  <c:y val="-8.0645161290322578E-2"/>
                </c:manualLayout>
              </c:layout>
              <c:numFmt formatCode="#,##0_ \(&quot;高点&quot;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Verdana" panose="020B0604030504040204" pitchFamily="34" charset="0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194-4146-BFE7-A8CB42EAA18F}"/>
                </c:ext>
              </c:extLst>
            </c:dLbl>
            <c:numFmt formatCode="#,##0_ \(&quot;低点&quot;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Y店!$B$41:$B$74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1,552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4,373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:-)</c:v>
                </c:pt>
                <c:pt idx="33">
                  <c:v>全年：X 万元?</c:v>
                </c:pt>
              </c:strCache>
            </c:strRef>
          </c:cat>
          <c:val>
            <c:numRef>
              <c:f>Y店!$D$40:$D$75</c:f>
              <c:numCache>
                <c:formatCode>_ * #,##0_ ;_ * \-#,##0_ ;_ * "-"??_ ;_ @_ </c:formatCode>
                <c:ptCount val="36"/>
                <c:pt idx="12">
                  <c:v>2535068.38</c:v>
                </c:pt>
                <c:pt idx="13">
                  <c:v>3579521.9499999997</c:v>
                </c:pt>
                <c:pt idx="14">
                  <c:v>3179745.99</c:v>
                </c:pt>
                <c:pt idx="15">
                  <c:v>3795427.13</c:v>
                </c:pt>
                <c:pt idx="16">
                  <c:v>3871838.56</c:v>
                </c:pt>
                <c:pt idx="17">
                  <c:v>3826417.43</c:v>
                </c:pt>
                <c:pt idx="18">
                  <c:v>3634433.85</c:v>
                </c:pt>
                <c:pt idx="19">
                  <c:v>3714397.5100000007</c:v>
                </c:pt>
                <c:pt idx="20">
                  <c:v>3594021.5</c:v>
                </c:pt>
                <c:pt idx="21">
                  <c:v>3843983.75</c:v>
                </c:pt>
                <c:pt idx="22">
                  <c:v>4084951.82</c:v>
                </c:pt>
                <c:pt idx="23">
                  <c:v>4071148.31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94-4146-BFE7-A8CB42EAA18F}"/>
            </c:ext>
          </c:extLst>
        </c:ser>
        <c:ser>
          <c:idx val="2"/>
          <c:order val="2"/>
          <c:tx>
            <c:strRef>
              <c:f>Y店!$E$39</c:f>
              <c:strCache>
                <c:ptCount val="1"/>
                <c:pt idx="0">
                  <c:v>2018年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24"/>
              <c:layout>
                <c:manualLayout>
                  <c:x val="-2.3290381069172018E-2"/>
                  <c:y val="0.170848361696723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94-4146-BFE7-A8CB42EAA18F}"/>
                </c:ext>
              </c:extLst>
            </c:dLbl>
            <c:dLbl>
              <c:idx val="27"/>
              <c:layout>
                <c:manualLayout>
                  <c:x val="-5.654353953078485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194-4146-BFE7-A8CB42EAA1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Y店!$B$41:$B$74</c:f>
              <c:strCache>
                <c:ptCount val="34"/>
                <c:pt idx="2">
                  <c:v>2016年</c:v>
                </c:pt>
                <c:pt idx="5">
                  <c:v>全年合计</c:v>
                </c:pt>
                <c:pt idx="8">
                  <c:v>1,552 万元</c:v>
                </c:pt>
                <c:pt idx="14">
                  <c:v>2017年</c:v>
                </c:pt>
                <c:pt idx="17">
                  <c:v>全年合计</c:v>
                </c:pt>
                <c:pt idx="20">
                  <c:v>4,373 万元</c:v>
                </c:pt>
                <c:pt idx="25">
                  <c:v>2018年</c:v>
                </c:pt>
                <c:pt idx="26">
                  <c:v>…</c:v>
                </c:pt>
                <c:pt idx="28">
                  <c:v>5月</c:v>
                </c:pt>
                <c:pt idx="30">
                  <c:v>:-)</c:v>
                </c:pt>
                <c:pt idx="33">
                  <c:v>全年：X 万元?</c:v>
                </c:pt>
              </c:strCache>
            </c:strRef>
          </c:cat>
          <c:val>
            <c:numRef>
              <c:f>Y店!$E$40:$E$75</c:f>
              <c:numCache>
                <c:formatCode>_ * #,##0_ ;_ * \-#,##0_ ;_ * "-"??_ ;_ @_ </c:formatCode>
                <c:ptCount val="36"/>
                <c:pt idx="12">
                  <c:v>4080137.47</c:v>
                </c:pt>
                <c:pt idx="13">
                  <c:v>3995704.67</c:v>
                </c:pt>
                <c:pt idx="14">
                  <c:v>3560076.3200000003</c:v>
                </c:pt>
                <c:pt idx="15">
                  <c:v>4544794.57</c:v>
                </c:pt>
                <c:pt idx="16">
                  <c:v>4411956.7420000006</c:v>
                </c:pt>
                <c:pt idx="24">
                  <c:v>4080137.47</c:v>
                </c:pt>
                <c:pt idx="25">
                  <c:v>3995704.67</c:v>
                </c:pt>
                <c:pt idx="26">
                  <c:v>3560076.3200000003</c:v>
                </c:pt>
                <c:pt idx="27">
                  <c:v>4544794.57</c:v>
                </c:pt>
                <c:pt idx="28">
                  <c:v>4411956.7420000006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94-4146-BFE7-A8CB42EA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724736"/>
        <c:axId val="362723752"/>
      </c:lineChart>
      <c:catAx>
        <c:axId val="36272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362723752"/>
        <c:crosses val="autoZero"/>
        <c:auto val="1"/>
        <c:lblAlgn val="ctr"/>
        <c:lblOffset val="100"/>
        <c:noMultiLvlLbl val="0"/>
      </c:catAx>
      <c:valAx>
        <c:axId val="362723752"/>
        <c:scaling>
          <c:orientation val="minMax"/>
          <c:min val="20000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2724736"/>
        <c:crosses val="autoZero"/>
        <c:crossBetween val="between"/>
        <c:majorUnit val="1000000"/>
        <c:minorUnit val="100000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23524532514691"/>
          <c:y val="3.4803907962243648E-2"/>
          <c:w val="0.53580461994881368"/>
          <c:h val="0.860816656932826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1-4EBA-939E-470879442BC0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1-4EBA-939E-470879442BC0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1-4EBA-939E-470879442BC0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1-4EBA-939E-470879442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68112"/>
        <c:axId val="1"/>
      </c:barChart>
      <c:catAx>
        <c:axId val="47236811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 * #,##0_ ;_ * \-#,##0_ ;_ * &quot;-&quot;??_ ;_ @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72368112"/>
        <c:crosses val="autoZero"/>
        <c:crossBetween val="between"/>
      </c:valAx>
      <c:spPr>
        <a:solidFill>
          <a:srgbClr val="EAEAEA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84209732721457"/>
          <c:y val="0.36660116386896646"/>
          <c:w val="0.17382974311316474"/>
          <c:h val="0.19722214511938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copies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23524532514691"/>
          <c:y val="5.102212411978739E-2"/>
          <c:w val="0.59511123818742284"/>
          <c:h val="0.901390859449577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F-42E5-81CB-3BEAA364BFE4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F-42E5-81CB-3BEAA364BFE4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F-42E5-81CB-3BEAA364BFE4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F-42E5-81CB-3BEAA364B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70608"/>
        <c:axId val="1"/>
      </c:barChart>
      <c:catAx>
        <c:axId val="472370608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1"/>
        <c:axPos val="t"/>
        <c:numFmt formatCode="_ * #,##0_ ;_ * \-#,##0_ ;_ * &quot;-&quot;??_ ;_ @_ " sourceLinked="1"/>
        <c:majorTickMark val="out"/>
        <c:minorTickMark val="none"/>
        <c:tickLblPos val="nextTo"/>
        <c:crossAx val="4723706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84209732721457"/>
          <c:y val="0.35715486883851172"/>
          <c:w val="0.17382974311316474"/>
          <c:h val="0.289125370012128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23524532514691"/>
          <c:y val="5.102212411978739E-2"/>
          <c:w val="0.77916626030724434"/>
          <c:h val="0.901390859449577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A-4352-951F-931E14F76165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A-4352-951F-931E14F76165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9A-4352-951F-931E14F76165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9A-4352-951F-931E14F76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51108128"/>
        <c:axId val="1"/>
      </c:barChart>
      <c:catAx>
        <c:axId val="551108128"/>
        <c:scaling>
          <c:orientation val="maxMin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1"/>
        <c:axPos val="t"/>
        <c:numFmt formatCode="_ * #,##0_ ;_ * \-#,##0_ ;_ * &quot;-&quot;??_ ;_ @_ " sourceLinked="1"/>
        <c:majorTickMark val="out"/>
        <c:minorTickMark val="none"/>
        <c:tickLblPos val="nextTo"/>
        <c:crossAx val="5511081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EAEAEA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73824973166402"/>
          <c:y val="5.915689255066129E-2"/>
          <c:w val="0.81264634187188522"/>
          <c:h val="0.901438362676743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0-478F-B125-4C889AEF804E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0-478F-B125-4C889AEF804E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0-478F-B125-4C889AEF804E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0-478F-B125-4C889AEF8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51106880"/>
        <c:axId val="1"/>
      </c:barChart>
      <c:catAx>
        <c:axId val="551106880"/>
        <c:scaling>
          <c:orientation val="maxMin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1"/>
        <c:axPos val="t"/>
        <c:numFmt formatCode="_ * #,##0_ ;_ * \-#,##0_ ;_ * &quot;-&quot;??_ ;_ @_ " sourceLinked="1"/>
        <c:majorTickMark val="out"/>
        <c:minorTickMark val="none"/>
        <c:tickLblPos val="nextTo"/>
        <c:crossAx val="551106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969696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64951990783935"/>
          <c:y val="6.0326773801222332E-2"/>
          <c:w val="0.62169696360473037"/>
          <c:h val="0.737842848799565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D-4F99-A73A-A27008744DE9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D-4F99-A73A-A27008744DE9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D-4F99-A73A-A27008744DE9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8D-4F99-A73A-A27008744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1105632"/>
        <c:axId val="1"/>
      </c:barChart>
      <c:catAx>
        <c:axId val="551105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 * #,##0_ ;_ * \-#,##0_ ;_ * &quot;-&quot;??_ ;_ @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1105632"/>
        <c:crosses val="autoZero"/>
        <c:crossBetween val="between"/>
      </c:valAx>
      <c:spPr>
        <a:solidFill>
          <a:srgbClr val="EAEAEA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84209732721457"/>
          <c:y val="0.33179725590672282"/>
          <c:w val="0.17382974311316474"/>
          <c:h val="0.19722214511938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64951990783935"/>
          <c:y val="8.8438348474298142E-2"/>
          <c:w val="0.80575198572455187"/>
          <c:h val="0.615666964378767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B-4BB1-861A-B3922F9A2289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B-4BB1-861A-B3922F9A2289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B-4BB1-861A-B3922F9A2289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6B-4BB1-861A-B3922F9A2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1108960"/>
        <c:axId val="1"/>
      </c:barChart>
      <c:catAx>
        <c:axId val="55110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11089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64951990783935"/>
          <c:y val="8.8138401523154997E-2"/>
          <c:w val="0.80575198572455187"/>
          <c:h val="0.616968810662084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F-49FC-9DE5-28226F6348EB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F-49FC-9DE5-28226F6348EB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F-49FC-9DE5-28226F6348EB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0F-49FC-9DE5-28226F63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1110208"/>
        <c:axId val="1"/>
      </c:barChart>
      <c:scatterChart>
        <c:scatterStyle val="lineMarker"/>
        <c:varyColors val="0"/>
        <c:ser>
          <c:idx val="4"/>
          <c:order val="4"/>
          <c:tx>
            <c:strRef>
              <c:f>z店瀑布图!$E$7</c:f>
              <c:strCache>
                <c:ptCount val="1"/>
                <c:pt idx="0">
                  <c:v>累计</c:v>
                </c:pt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z店瀑布图!$E$8:$E$21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0F-49FC-9DE5-28226F63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10208"/>
        <c:axId val="1"/>
      </c:scatterChart>
      <c:catAx>
        <c:axId val="551110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11102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64951990783935"/>
          <c:y val="8.8438348474298142E-2"/>
          <c:w val="0.80575198572455187"/>
          <c:h val="0.615666964378767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0-4D0D-B67C-4D69D1243460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0-4D0D-B67C-4D69D1243460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0-4D0D-B67C-4D69D1243460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90-4D0D-B67C-4D69D1243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1111456"/>
        <c:axId val="1"/>
      </c:barChart>
      <c:scatterChart>
        <c:scatterStyle val="lineMarker"/>
        <c:varyColors val="0"/>
        <c:ser>
          <c:idx val="4"/>
          <c:order val="4"/>
          <c:tx>
            <c:strRef>
              <c:f>z店瀑布图!$E$7</c:f>
              <c:strCache>
                <c:ptCount val="1"/>
                <c:pt idx="0">
                  <c:v>累计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0"/>
            <c:val val="1"/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z店瀑布图!$E$8:$E$21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90-4D0D-B67C-4D69D1243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11456"/>
        <c:axId val="1"/>
      </c:scatterChart>
      <c:catAx>
        <c:axId val="551111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11114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64951990783935"/>
          <c:y val="4.1026989381098826E-2"/>
          <c:w val="0.80575198572455187"/>
          <c:h val="0.720536501005548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9-44D5-A35B-773F5381BDDA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9-44D5-A35B-773F5381BDDA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9-44D5-A35B-773F5381BDDA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9-44D5-A35B-773F5381B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3254256"/>
        <c:axId val="1"/>
      </c:barChart>
      <c:scatterChart>
        <c:scatterStyle val="lineMarker"/>
        <c:varyColors val="0"/>
        <c:ser>
          <c:idx val="4"/>
          <c:order val="4"/>
          <c:tx>
            <c:strRef>
              <c:f>z店瀑布图!$E$7</c:f>
              <c:strCache>
                <c:ptCount val="1"/>
                <c:pt idx="0">
                  <c:v>累计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rgbClr val="969696"/>
                </a:solidFill>
                <a:prstDash val="solid"/>
              </a:ln>
            </c:spPr>
          </c:errBars>
          <c:xVal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z店瀑布图!$E$8:$E$21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29-44D5-A35B-773F5381B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54256"/>
        <c:axId val="1"/>
      </c:scatterChart>
      <c:catAx>
        <c:axId val="47325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732542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969696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1772582923584"/>
          <c:y val="4.0922006474613727E-2"/>
          <c:w val="0.81803320112144495"/>
          <c:h val="0.746826618161700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3-4431-9CCE-6C664580B955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3-4431-9CCE-6C664580B955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solidFill>
              <a:srgbClr val="7B96B5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3-4431-9CCE-6C664580B955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solidFill>
              <a:srgbClr val="DE7984"/>
            </a:solidFill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C3-4431-9CCE-6C664580B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3255088"/>
        <c:axId val="1"/>
      </c:barChart>
      <c:scatterChart>
        <c:scatterStyle val="lineMarker"/>
        <c:varyColors val="0"/>
        <c:ser>
          <c:idx val="4"/>
          <c:order val="4"/>
          <c:tx>
            <c:strRef>
              <c:f>z店瀑布图!$E$7</c:f>
              <c:strCache>
                <c:ptCount val="1"/>
                <c:pt idx="0">
                  <c:v>累计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rgbClr val="969696"/>
                </a:solidFill>
                <a:prstDash val="solid"/>
              </a:ln>
            </c:spPr>
          </c:errBars>
          <c:xVal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z店瀑布图!$E$8:$E$21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C3-4431-9CCE-6C664580B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55088"/>
        <c:axId val="1"/>
      </c:scatterChart>
      <c:catAx>
        <c:axId val="47325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73255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969696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64951990783935"/>
          <c:y val="4.1026989381098826E-2"/>
          <c:w val="0.80575198572455187"/>
          <c:h val="0.735921622023460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5-486F-81FD-E1712D9CAC08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5-486F-81FD-E1712D9CAC08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2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5-486F-81FD-E1712D9CAC08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3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5-486F-81FD-E1712D9C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73253424"/>
        <c:axId val="1"/>
      </c:barChart>
      <c:scatterChart>
        <c:scatterStyle val="lineMarker"/>
        <c:varyColors val="0"/>
        <c:ser>
          <c:idx val="4"/>
          <c:order val="4"/>
          <c:tx>
            <c:strRef>
              <c:f>z店瀑布图!$E$7</c:f>
              <c:strCache>
                <c:ptCount val="1"/>
                <c:pt idx="0">
                  <c:v>累计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rgbClr val="969696"/>
                </a:solidFill>
                <a:prstDash val="solid"/>
              </a:ln>
            </c:spPr>
          </c:errBars>
          <c:xVal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z店瀑布图!$E$8:$E$21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45-486F-81FD-E1712D9C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53424"/>
        <c:axId val="1"/>
      </c:scatterChart>
      <c:catAx>
        <c:axId val="47325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73253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969696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23524532514691"/>
          <c:y val="5.102212411978739E-2"/>
          <c:w val="0.77916626030724434"/>
          <c:h val="0.901390859449577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6-4D8B-AD1A-22310C4DAC37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6-4D8B-AD1A-22310C4DAC37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2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B6-4D8B-AD1A-22310C4DAC37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3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B6-4D8B-AD1A-22310C4D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73251344"/>
        <c:axId val="1"/>
      </c:barChart>
      <c:catAx>
        <c:axId val="473251344"/>
        <c:scaling>
          <c:orientation val="maxMin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1"/>
        <c:axPos val="t"/>
        <c:numFmt formatCode="_ * #,##0_ ;_ * \-#,##0_ ;_ * &quot;-&quot;??_ ;_ @_ " sourceLinked="1"/>
        <c:majorTickMark val="out"/>
        <c:minorTickMark val="none"/>
        <c:tickLblPos val="nextTo"/>
        <c:crossAx val="473251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EAEAEA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95909051381713"/>
          <c:y val="4.3479631879277086E-2"/>
          <c:w val="0.80504529591105456"/>
          <c:h val="0.718692738710403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z店瀑布图!$F$7</c:f>
              <c:strCache>
                <c:ptCount val="1"/>
                <c:pt idx="0">
                  <c:v>起点终点值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z店瀑布图!$F$8:$F$21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3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F-4194-A123-A1344C3A18BF}"/>
            </c:ext>
          </c:extLst>
        </c:ser>
        <c:ser>
          <c:idx val="1"/>
          <c:order val="1"/>
          <c:tx>
            <c:strRef>
              <c:f>z店瀑布图!$G$7</c:f>
              <c:strCache>
                <c:ptCount val="1"/>
                <c:pt idx="0">
                  <c:v>占位序列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z店瀑布图!$G$8:$G$21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F-4194-A123-A1344C3A18BF}"/>
            </c:ext>
          </c:extLst>
        </c:ser>
        <c:ser>
          <c:idx val="2"/>
          <c:order val="2"/>
          <c:tx>
            <c:strRef>
              <c:f>z店瀑布图!$H$7</c:f>
              <c:strCache>
                <c:ptCount val="1"/>
                <c:pt idx="0">
                  <c:v>正数序列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2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z店瀑布图!$H$8:$H$21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1F-4194-A123-A1344C3A18BF}"/>
            </c:ext>
          </c:extLst>
        </c:ser>
        <c:ser>
          <c:idx val="3"/>
          <c:order val="3"/>
          <c:tx>
            <c:strRef>
              <c:f>z店瀑布图!$I$7</c:f>
              <c:strCache>
                <c:ptCount val="1"/>
                <c:pt idx="0">
                  <c:v>负数序列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3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cat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z店瀑布图!$I$8:$I$21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182.52810895109999</c:v>
                </c:pt>
                <c:pt idx="2">
                  <c:v>87.250091358700004</c:v>
                </c:pt>
                <c:pt idx="3">
                  <c:v>21.036085</c:v>
                </c:pt>
                <c:pt idx="4">
                  <c:v>12.561418999999997</c:v>
                </c:pt>
                <c:pt idx="5">
                  <c:v>4.5664859999999994</c:v>
                </c:pt>
                <c:pt idx="6">
                  <c:v>16.4811384295</c:v>
                </c:pt>
                <c:pt idx="7">
                  <c:v>8.7346000000000004</c:v>
                </c:pt>
                <c:pt idx="8">
                  <c:v>13.2057650051</c:v>
                </c:pt>
                <c:pt idx="9">
                  <c:v>1.1144946344</c:v>
                </c:pt>
                <c:pt idx="10">
                  <c:v>9.0147929999999992</c:v>
                </c:pt>
                <c:pt idx="11">
                  <c:v>20.486354000000002</c:v>
                </c:pt>
                <c:pt idx="12">
                  <c:v>88.038267533999999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1F-4194-A123-A1344C3A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2964736"/>
        <c:axId val="1"/>
      </c:barChart>
      <c:scatterChart>
        <c:scatterStyle val="lineMarker"/>
        <c:varyColors val="0"/>
        <c:ser>
          <c:idx val="4"/>
          <c:order val="4"/>
          <c:tx>
            <c:strRef>
              <c:f>z店瀑布图!$E$7</c:f>
              <c:strCache>
                <c:ptCount val="1"/>
                <c:pt idx="0">
                  <c:v>累计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rgbClr val="969696"/>
                </a:solidFill>
                <a:prstDash val="solid"/>
              </a:ln>
            </c:spPr>
          </c:errBars>
          <c:xVal>
            <c:strRef>
              <c:f>z店瀑布图!$B$8:$B$21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z店瀑布图!$E$8:$E$21</c:f>
              <c:numCache>
                <c:formatCode>_ * #,##0_ ;_ * \-#,##0_ ;_ * "-"??_ ;_ @_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F-4194-A123-A1344C3A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64736"/>
        <c:axId val="1"/>
      </c:scatterChart>
      <c:catAx>
        <c:axId val="37296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72964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969696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8.2510976618935458E-2"/>
          <c:w val="0.6475393951756846"/>
          <c:h val="0.65018649575721144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D-4E04-BFF5-1269B93B299E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D-4E04-BFF5-1269B93B2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003872"/>
        <c:axId val="1"/>
      </c:lineChart>
      <c:catAx>
        <c:axId val="461003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61003872"/>
        <c:crosses val="autoZero"/>
        <c:crossBetween val="between"/>
      </c:valAx>
      <c:spPr>
        <a:solidFill>
          <a:srgbClr val="EAEAEA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247947371105101"/>
          <c:y val="0.34324566273477153"/>
          <c:w val="0.15666275689734305"/>
          <c:h val="0.128717123525539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copies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8.5036873532978979E-2"/>
          <c:w val="0.6475393951756846"/>
          <c:h val="0.63947728896800193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C-43B1-9D18-17AD529EBAFD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EC-43B1-9D18-17AD529EB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</c:upBars>
          <c:downBars>
            <c:spPr>
              <a:solidFill>
                <a:srgbClr val="000000"/>
              </a:solidFill>
              <a:ln w="3175">
                <a:solidFill>
                  <a:srgbClr val="000000"/>
                </a:solidFill>
                <a:prstDash val="solid"/>
              </a:ln>
            </c:spPr>
          </c:downBars>
        </c:upDownBars>
        <c:marker val="1"/>
        <c:smooth val="0"/>
        <c:axId val="461003040"/>
        <c:axId val="1"/>
      </c:lineChart>
      <c:catAx>
        <c:axId val="461003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61003040"/>
        <c:crosses val="autoZero"/>
        <c:crossBetween val="between"/>
      </c:valAx>
      <c:spPr>
        <a:solidFill>
          <a:srgbClr val="EAEAEA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247947371105101"/>
          <c:y val="0.34014749413191592"/>
          <c:w val="0.15666275689734305"/>
          <c:h val="0.132657522711447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0.10869940210021257"/>
          <c:w val="0.69976031414146567"/>
          <c:h val="0.53914903441705431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D-415B-AF02-5861AC6EB2FF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D-415B-AF02-5861AC6EB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smooth val="0"/>
        <c:axId val="295191584"/>
        <c:axId val="1"/>
      </c:lineChart>
      <c:catAx>
        <c:axId val="295191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95191584"/>
        <c:crosses val="autoZero"/>
        <c:crossBetween val="between"/>
      </c:valAx>
      <c:spPr>
        <a:solidFill>
          <a:srgbClr val="EAEAEA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470039267683208"/>
          <c:y val="0.2956623737125782"/>
          <c:w val="0.10444183793156203"/>
          <c:h val="0.169571067276331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copies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81707046759228"/>
          <c:y val="6.6328785454080413E-2"/>
          <c:w val="0.81252796050762333"/>
          <c:h val="0.72706553286203524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D-42BD-B4EE-FA5113D077AF}"/>
            </c:ext>
          </c:extLst>
        </c:ser>
        <c:ser>
          <c:idx val="2"/>
          <c:order val="1"/>
          <c:tx>
            <c:strRef>
              <c:f>有负值的瀑布图!$G$7</c:f>
              <c:strCache>
                <c:ptCount val="1"/>
                <c:pt idx="0">
                  <c:v>OP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有负值的瀑布图!$G$8:$G$21</c:f>
              <c:numCache>
                <c:formatCode>0_ </c:formatCode>
                <c:ptCount val="14"/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D-42BD-B4EE-FA5113D077AF}"/>
            </c:ext>
          </c:extLst>
        </c:ser>
        <c:ser>
          <c:idx val="1"/>
          <c:order val="2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有负值的瀑布图!$C$8</c:f>
                  <c:strCache>
                    <c:ptCount val="1"/>
                    <c:pt idx="0">
                      <c:v> 422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{B90291D5-6978-4BB8-A8A8-89610FE24557}</c15:txfldGUID>
                      <c15:f>有负值的瀑布图!$C$8</c15:f>
                      <c15:dlblFieldTableCache>
                        <c:ptCount val="1"/>
                        <c:pt idx="0">
                          <c:v> 422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D5D-42BD-B4EE-FA5113D077AF}"/>
                </c:ext>
              </c:extLst>
            </c:dLbl>
            <c:dLbl>
              <c:idx val="1"/>
              <c:tx>
                <c:strRef>
                  <c:f>有负值的瀑布图!$C$9</c:f>
                  <c:strCache>
                    <c:ptCount val="1"/>
                    <c:pt idx="0">
                      <c:v> -183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{6D6A61E2-FD6B-4DF8-BEB5-AE88A74EBD06}</c15:txfldGUID>
                      <c15:f>有负值的瀑布图!$C$9</c15:f>
                      <c15:dlblFieldTableCache>
                        <c:ptCount val="1"/>
                        <c:pt idx="0">
                          <c:v> -183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D5D-42BD-B4EE-FA5113D077AF}"/>
                </c:ext>
              </c:extLst>
            </c:dLbl>
            <c:dLbl>
              <c:idx val="2"/>
              <c:tx>
                <c:strRef>
                  <c:f>有负值的瀑布图!$C$16</c:f>
                  <c:strCache>
                    <c:ptCount val="1"/>
                    <c:pt idx="0">
                      <c:v> -13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{AD5B6F4D-4643-4E0E-820D-BEB83A867A76}</c15:txfldGUID>
                      <c15:f>有负值的瀑布图!$C$16</c15:f>
                      <c15:dlblFieldTableCache>
                        <c:ptCount val="1"/>
                        <c:pt idx="0">
                          <c:v> -13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D5D-42BD-B4EE-FA5113D077AF}"/>
                </c:ext>
              </c:extLst>
            </c:dLbl>
            <c:dLbl>
              <c:idx val="3"/>
              <c:tx>
                <c:strRef>
                  <c:f>有负值的瀑布图!$C$17</c:f>
                  <c:strCache>
                    <c:ptCount val="1"/>
                    <c:pt idx="0">
                      <c:v> -1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{4E13A4BC-21CF-4D2F-BC7C-549D381A2A99}</c15:txfldGUID>
                      <c15:f>有负值的瀑布图!$C$17</c15:f>
                      <c15:dlblFieldTableCache>
                        <c:ptCount val="1"/>
                        <c:pt idx="0">
                          <c:v> -1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D5D-42BD-B4EE-FA5113D077AF}"/>
                </c:ext>
              </c:extLst>
            </c:dLbl>
            <c:dLbl>
              <c:idx val="4"/>
              <c:tx>
                <c:strRef>
                  <c:f>有负值的瀑布图!$C$18</c:f>
                  <c:strCache>
                    <c:ptCount val="1"/>
                    <c:pt idx="0">
                      <c:v> -9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{0AA1E4F6-7FAD-48BE-9E98-F86F18B5C980}</c15:txfldGUID>
                      <c15:f>有负值的瀑布图!$C$18</c15:f>
                      <c15:dlblFieldTableCache>
                        <c:ptCount val="1"/>
                        <c:pt idx="0">
                          <c:v> -9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D5D-42BD-B4EE-FA5113D077AF}"/>
                </c:ext>
              </c:extLst>
            </c:dLbl>
            <c:dLbl>
              <c:idx val="5"/>
              <c:tx>
                <c:strRef>
                  <c:f>有负值的瀑布图!$C$19</c:f>
                  <c:strCache>
                    <c:ptCount val="1"/>
                    <c:pt idx="0">
                      <c:v> -20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{A4B9B494-0778-4799-9FCC-6B70CD66B168}</c15:txfldGUID>
                      <c15:f>有负值的瀑布图!$C$19</c15:f>
                      <c15:dlblFieldTableCache>
                        <c:ptCount val="1"/>
                        <c:pt idx="0">
                          <c:v> -20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D5D-42BD-B4EE-FA5113D077AF}"/>
                </c:ext>
              </c:extLst>
            </c:dLbl>
            <c:dLbl>
              <c:idx val="6"/>
              <c:tx>
                <c:strRef>
                  <c:f>有负值的瀑布图!$C$20</c:f>
                  <c:strCache>
                    <c:ptCount val="1"/>
                    <c:pt idx="0">
                      <c:v> -88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{0DD3DEFA-BBAE-45D9-B05F-B3FA7B1DEC51}</c15:txfldGUID>
                      <c15:f>有负值的瀑布图!$C$20</c15:f>
                      <c15:dlblFieldTableCache>
                        <c:ptCount val="1"/>
                        <c:pt idx="0">
                          <c:v> -88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D5D-42BD-B4EE-FA5113D077AF}"/>
                </c:ext>
              </c:extLst>
            </c:dLbl>
            <c:dLbl>
              <c:idx val="7"/>
              <c:tx>
                <c:strRef>
                  <c:f>有负值的瀑布图!$C$21</c:f>
                  <c:strCache>
                    <c:ptCount val="1"/>
                    <c:pt idx="0">
                      <c:v> -43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{5F463BCE-E696-4CE2-A2AE-015BD71F7A35}</c15:txfldGUID>
                      <c15:f>有负值的瀑布图!$C$21</c15:f>
                      <c15:dlblFieldTableCache>
                        <c:ptCount val="1"/>
                        <c:pt idx="0">
                          <c:v> -43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D5D-42BD-B4EE-FA5113D077A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5D-42BD-B4EE-FA5113D07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smooth val="0"/>
        <c:axId val="555921360"/>
        <c:axId val="1"/>
      </c:lineChart>
      <c:catAx>
        <c:axId val="555921360"/>
        <c:scaling>
          <c:orientation val="minMax"/>
        </c:scaling>
        <c:delete val="0"/>
        <c:axPos val="b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5921360"/>
        <c:crosses val="autoZero"/>
        <c:crossBetween val="between"/>
      </c:valAx>
      <c:spPr>
        <a:noFill/>
        <a:ln w="12700">
          <a:solidFill>
            <a:srgbClr val="969696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4.6072020393820759E-2"/>
          <c:w val="0.81725738181447294"/>
          <c:h val="0.73444220745443689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8-4750-B9C7-CF29945AAA59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2392578162326684E-2"/>
                  <c:y val="-2.5826635584388219E-2"/>
                </c:manualLayout>
              </c:layout>
              <c:tx>
                <c:strRef>
                  <c:f>有负值的瀑布图!$C$8</c:f>
                  <c:strCache>
                    <c:ptCount val="1"/>
                    <c:pt idx="0">
                      <c:v> 422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{3BE11898-C5B7-48AF-AADE-70CF18BE8B11}</c15:txfldGUID>
                      <c15:f>有负值的瀑布图!$C$8</c15:f>
                      <c15:dlblFieldTableCache>
                        <c:ptCount val="1"/>
                        <c:pt idx="0">
                          <c:v> 422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3D8-4750-B9C7-CF29945AAA59}"/>
                </c:ext>
              </c:extLst>
            </c:dLbl>
            <c:dLbl>
              <c:idx val="1"/>
              <c:layout>
                <c:manualLayout>
                  <c:x val="-4.9663721517821946E-2"/>
                  <c:y val="-3.1581814029761665E-2"/>
                </c:manualLayout>
              </c:layout>
              <c:tx>
                <c:strRef>
                  <c:f>有负值的瀑布图!$C$9</c:f>
                  <c:strCache>
                    <c:ptCount val="1"/>
                    <c:pt idx="0">
                      <c:v> -183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{6C750A55-C044-4A57-8000-32AA9C80D766}</c15:txfldGUID>
                      <c15:f>有负值的瀑布图!$C$9</c15:f>
                      <c15:dlblFieldTableCache>
                        <c:ptCount val="1"/>
                        <c:pt idx="0">
                          <c:v> -183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3D8-4750-B9C7-CF29945AAA59}"/>
                </c:ext>
              </c:extLst>
            </c:dLbl>
            <c:dLbl>
              <c:idx val="2"/>
              <c:layout>
                <c:manualLayout>
                  <c:x val="-4.9990094614762504E-2"/>
                  <c:y val="-3.3428073465685687E-2"/>
                </c:manualLayout>
              </c:layout>
              <c:tx>
                <c:strRef>
                  <c:f>有负值的瀑布图!$C$16</c:f>
                  <c:strCache>
                    <c:ptCount val="1"/>
                    <c:pt idx="0">
                      <c:v> -13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{84877806-E4A1-4641-BE10-C61E79CCD534}</c15:txfldGUID>
                      <c15:f>有负值的瀑布图!$C$16</c15:f>
                      <c15:dlblFieldTableCache>
                        <c:ptCount val="1"/>
                        <c:pt idx="0">
                          <c:v> -13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3D8-4750-B9C7-CF29945AAA59}"/>
                </c:ext>
              </c:extLst>
            </c:dLbl>
            <c:dLbl>
              <c:idx val="3"/>
              <c:layout>
                <c:manualLayout>
                  <c:x val="-6.8593789349726375E-2"/>
                  <c:y val="1.354739339540656E-2"/>
                </c:manualLayout>
              </c:layout>
              <c:tx>
                <c:strRef>
                  <c:f>有负值的瀑布图!$C$17</c:f>
                  <c:strCache>
                    <c:ptCount val="1"/>
                    <c:pt idx="0">
                      <c:v> -1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{578A9907-7A7C-4BD3-B5B7-561E6AC283E5}</c15:txfldGUID>
                      <c15:f>有负值的瀑布图!$C$17</c15:f>
                      <c15:dlblFieldTableCache>
                        <c:ptCount val="1"/>
                        <c:pt idx="0">
                          <c:v> -1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3D8-4750-B9C7-CF29945AAA59}"/>
                </c:ext>
              </c:extLst>
            </c:dLbl>
            <c:dLbl>
              <c:idx val="4"/>
              <c:layout>
                <c:manualLayout>
                  <c:x val="-5.0642840808643563E-2"/>
                  <c:y val="3.4957115698231012E-2"/>
                </c:manualLayout>
              </c:layout>
              <c:tx>
                <c:strRef>
                  <c:f>有负值的瀑布图!$C$18</c:f>
                  <c:strCache>
                    <c:ptCount val="1"/>
                    <c:pt idx="0">
                      <c:v> -9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{3558AB74-C1A0-4862-AD5B-2869D638192C}</c15:txfldGUID>
                      <c15:f>有负值的瀑布图!$C$18</c15:f>
                      <c15:dlblFieldTableCache>
                        <c:ptCount val="1"/>
                        <c:pt idx="0">
                          <c:v> -9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3D8-4750-B9C7-CF29945AAA59}"/>
                </c:ext>
              </c:extLst>
            </c:dLbl>
            <c:dLbl>
              <c:idx val="5"/>
              <c:layout>
                <c:manualLayout>
                  <c:x val="-5.3580259853873158E-2"/>
                  <c:y val="2.0972549109359417E-2"/>
                </c:manualLayout>
              </c:layout>
              <c:tx>
                <c:strRef>
                  <c:f>有负值的瀑布图!$C$19</c:f>
                  <c:strCache>
                    <c:ptCount val="1"/>
                    <c:pt idx="0">
                      <c:v> -20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{F16D0372-C6E2-465A-8E79-E177B2F045C2}</c15:txfldGUID>
                      <c15:f>有负值的瀑布图!$C$19</c15:f>
                      <c15:dlblFieldTableCache>
                        <c:ptCount val="1"/>
                        <c:pt idx="0">
                          <c:v> -20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3D8-4750-B9C7-CF29945AAA59}"/>
                </c:ext>
              </c:extLst>
            </c:dLbl>
            <c:dLbl>
              <c:idx val="6"/>
              <c:layout>
                <c:manualLayout>
                  <c:x val="-6.4350816743969808E-2"/>
                  <c:y val="-3.2025379571598178E-2"/>
                </c:manualLayout>
              </c:layout>
              <c:tx>
                <c:strRef>
                  <c:f>有负值的瀑布图!$C$20</c:f>
                  <c:strCache>
                    <c:ptCount val="1"/>
                    <c:pt idx="0">
                      <c:v> -88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{8A898B54-4E66-4763-BEA4-44C7C5DB0706}</c15:txfldGUID>
                      <c15:f>有负值的瀑布图!$C$20</c15:f>
                      <c15:dlblFieldTableCache>
                        <c:ptCount val="1"/>
                        <c:pt idx="0">
                          <c:v> -88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3D8-4750-B9C7-CF29945AAA59}"/>
                </c:ext>
              </c:extLst>
            </c:dLbl>
            <c:dLbl>
              <c:idx val="7"/>
              <c:layout>
                <c:manualLayout>
                  <c:x val="-4.4968862232782181E-2"/>
                  <c:y val="-3.2025379571598178E-2"/>
                </c:manualLayout>
              </c:layout>
              <c:tx>
                <c:strRef>
                  <c:f>有负值的瀑布图!$C$21</c:f>
                  <c:strCache>
                    <c:ptCount val="1"/>
                    <c:pt idx="0">
                      <c:v> -43 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{2DB4544F-6D82-4221-92DE-9F01BB311C9F}</c15:txfldGUID>
                      <c15:f>有负值的瀑布图!$C$21</c15:f>
                      <c15:dlblFieldTableCache>
                        <c:ptCount val="1"/>
                        <c:pt idx="0">
                          <c:v> -43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3D8-4750-B9C7-CF29945AAA5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969696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3D8-4750-B9C7-CF29945A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smooth val="0"/>
        <c:axId val="555922608"/>
        <c:axId val="1"/>
      </c:lineChart>
      <c:catAx>
        <c:axId val="55592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59226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4.5947439104317915E-2"/>
          <c:w val="0.81725738181447294"/>
          <c:h val="0.73515902566908664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A-4734-B3A4-250183FF404A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A-4734-B3A4-250183FF4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smooth val="0"/>
        <c:axId val="555923856"/>
        <c:axId val="1"/>
      </c:lineChart>
      <c:catAx>
        <c:axId val="55592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0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59238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127789928140193E-2"/>
          <c:y val="4.0108195513091464E-2"/>
          <c:w val="0.84898865055245676"/>
          <c:h val="0.92248849680110379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4-4B21-839F-1D896D62DEA9}"/>
            </c:ext>
          </c:extLst>
        </c:ser>
        <c:ser>
          <c:idx val="2"/>
          <c:order val="1"/>
          <c:tx>
            <c:strRef>
              <c:f>有负值的瀑布图!$G$7</c:f>
              <c:strCache>
                <c:ptCount val="1"/>
                <c:pt idx="0">
                  <c:v>OP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有负值的瀑布图!$G$8:$G$21</c:f>
              <c:numCache>
                <c:formatCode>0_ </c:formatCode>
                <c:ptCount val="14"/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4-4B21-839F-1D896D62DEA9}"/>
            </c:ext>
          </c:extLst>
        </c:ser>
        <c:ser>
          <c:idx val="1"/>
          <c:order val="2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4-4B21-839F-1D896D62D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smooth val="0"/>
        <c:axId val="555925104"/>
        <c:axId val="1"/>
      </c:lineChart>
      <c:catAx>
        <c:axId val="55592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_ " sourceLinked="1"/>
        <c:majorTickMark val="out"/>
        <c:minorTickMark val="none"/>
        <c:tickLblPos val="none"/>
        <c:spPr>
          <a:ln w="3175">
            <a:solidFill>
              <a:srgbClr val="969696"/>
            </a:solidFill>
            <a:prstDash val="solid"/>
          </a:ln>
        </c:spPr>
        <c:crossAx val="5559251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5.2926464762558932E-2"/>
          <c:w val="0.81203528991789486"/>
          <c:h val="0.72147128281593498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F-485B-A4A4-609E968D2A18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F-485B-A4A4-609E968D2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marker val="1"/>
        <c:smooth val="0"/>
        <c:axId val="555926352"/>
        <c:axId val="1"/>
      </c:lineChart>
      <c:catAx>
        <c:axId val="55592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AEAEA"/>
              </a:solidFill>
              <a:prstDash val="solid"/>
            </a:ln>
          </c:spPr>
        </c:majorGridlines>
        <c:numFmt formatCode="0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59263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75796827987144"/>
          <c:y val="0.13649456701923093"/>
          <c:w val="0.15666275689734305"/>
          <c:h val="0.1086385329336735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21857310418684"/>
          <c:y val="4.5947439104317915E-2"/>
          <c:w val="0.81725738181447294"/>
          <c:h val="0.73515902566908664"/>
        </c:manualLayout>
      </c:layout>
      <c:lineChart>
        <c:grouping val="standard"/>
        <c:varyColors val="0"/>
        <c:ser>
          <c:idx val="0"/>
          <c:order val="0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A-4CAC-8673-984387C8FD09}"/>
            </c:ext>
          </c:extLst>
        </c:ser>
        <c:ser>
          <c:idx val="1"/>
          <c:order val="1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3A-4CAC-8673-984387C8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rgbClr val="7B96B5"/>
              </a:solidFill>
              <a:ln w="6350">
                <a:noFill/>
              </a:ln>
            </c:spPr>
          </c:upBars>
          <c:downBars>
            <c:spPr>
              <a:solidFill>
                <a:srgbClr val="DE7984"/>
              </a:solidFill>
              <a:ln w="6350">
                <a:noFill/>
              </a:ln>
            </c:spPr>
          </c:downBars>
        </c:upDownBars>
        <c:marker val="1"/>
        <c:smooth val="0"/>
        <c:axId val="555927600"/>
        <c:axId val="1"/>
      </c:lineChart>
      <c:scatterChart>
        <c:scatterStyle val="lineMarker"/>
        <c:varyColors val="0"/>
        <c:ser>
          <c:idx val="2"/>
          <c:order val="2"/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rgbClr val="969696"/>
                </a:solidFill>
                <a:prstDash val="solid"/>
              </a:ln>
            </c:spPr>
          </c:errBars>
          <c:xVal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xVal>
          <c:yVal>
            <c:numRef>
              <c:f>有负值的瀑布图!$F$8:$F$20</c:f>
              <c:numCache>
                <c:formatCode>0_ </c:formatCode>
                <c:ptCount val="13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3A-4CAC-8673-984387C8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27600"/>
        <c:axId val="1"/>
      </c:scatterChart>
      <c:catAx>
        <c:axId val="5559276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555927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127789928140193E-2"/>
          <c:y val="4.0108195513091464E-2"/>
          <c:w val="0.84898865055245676"/>
          <c:h val="0.9224884968011037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有负值的瀑布图!$G$7</c:f>
              <c:strCache>
                <c:ptCount val="1"/>
                <c:pt idx="0">
                  <c:v>OP</c:v>
                </c:pt>
              </c:strCache>
            </c:strRef>
          </c:tx>
          <c:spPr>
            <a:solidFill>
              <a:srgbClr val="DE7984"/>
            </a:solidFill>
            <a:ln w="19050">
              <a:noFill/>
            </a:ln>
          </c:spPr>
          <c:invertIfNegative val="1"/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有负值的瀑布图!$G$8:$G$21</c:f>
              <c:numCache>
                <c:formatCode>0_ </c:formatCode>
                <c:ptCount val="14"/>
                <c:pt idx="13">
                  <c:v>-43.215132912800001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1905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B3-4991-AB7C-226022F2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925104"/>
        <c:axId val="1"/>
      </c:barChart>
      <c:lineChart>
        <c:grouping val="standard"/>
        <c:varyColors val="0"/>
        <c:ser>
          <c:idx val="0"/>
          <c:order val="1"/>
          <c:tx>
            <c:strRef>
              <c:f>有负值的瀑布图!$E$7</c:f>
              <c:strCache>
                <c:ptCount val="1"/>
                <c:pt idx="0">
                  <c:v>开始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有负值的瀑布图!$E$8:$E$21</c:f>
              <c:numCache>
                <c:formatCode>0_ </c:formatCode>
                <c:ptCount val="14"/>
                <c:pt idx="0">
                  <c:v>0</c:v>
                </c:pt>
                <c:pt idx="1">
                  <c:v>421.80247000000003</c:v>
                </c:pt>
                <c:pt idx="2">
                  <c:v>239.27436104890003</c:v>
                </c:pt>
                <c:pt idx="3">
                  <c:v>152.02426969020001</c:v>
                </c:pt>
                <c:pt idx="4">
                  <c:v>130.9881846902</c:v>
                </c:pt>
                <c:pt idx="5">
                  <c:v>118.4267656902</c:v>
                </c:pt>
                <c:pt idx="6">
                  <c:v>113.8602796902</c:v>
                </c:pt>
                <c:pt idx="7">
                  <c:v>97.37914126070001</c:v>
                </c:pt>
                <c:pt idx="8">
                  <c:v>88.644541260700009</c:v>
                </c:pt>
                <c:pt idx="9">
                  <c:v>75.438776255600004</c:v>
                </c:pt>
                <c:pt idx="10">
                  <c:v>74.324281621200001</c:v>
                </c:pt>
                <c:pt idx="11">
                  <c:v>65.309488621200003</c:v>
                </c:pt>
                <c:pt idx="12">
                  <c:v>44.823134621199998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3-4991-AB7C-226022F28A92}"/>
            </c:ext>
          </c:extLst>
        </c:ser>
        <c:ser>
          <c:idx val="1"/>
          <c:order val="2"/>
          <c:tx>
            <c:strRef>
              <c:f>有负值的瀑布图!$F$7</c:f>
              <c:strCache>
                <c:ptCount val="1"/>
                <c:pt idx="0">
                  <c:v>结束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有负值的瀑布图!$B$8:$B$21</c:f>
              <c:strCache>
                <c:ptCount val="14"/>
                <c:pt idx="0">
                  <c:v>Revenue</c:v>
                </c:pt>
                <c:pt idx="1">
                  <c:v>Cost</c:v>
                </c:pt>
                <c:pt idx="2">
                  <c:v>用人</c:v>
                </c:pt>
                <c:pt idx="3">
                  <c:v>租金</c:v>
                </c:pt>
                <c:pt idx="4">
                  <c:v>商场管理费</c:v>
                </c:pt>
                <c:pt idx="5">
                  <c:v>Mkt</c:v>
                </c:pt>
                <c:pt idx="6">
                  <c:v>管理費用</c:v>
                </c:pt>
                <c:pt idx="7">
                  <c:v>物流費</c:v>
                </c:pt>
                <c:pt idx="8">
                  <c:v>食材損耗</c:v>
                </c:pt>
                <c:pt idx="9">
                  <c:v>促銷成本</c:v>
                </c:pt>
                <c:pt idx="10">
                  <c:v>物料消耗</c:v>
                </c:pt>
                <c:pt idx="11">
                  <c:v>水電瓦斯</c:v>
                </c:pt>
                <c:pt idx="12">
                  <c:v>攤銷/折舊</c:v>
                </c:pt>
                <c:pt idx="13">
                  <c:v>OP</c:v>
                </c:pt>
              </c:strCache>
            </c:strRef>
          </c:cat>
          <c:val>
            <c:numRef>
              <c:f>有负值的瀑布图!$F$8:$F$21</c:f>
              <c:numCache>
                <c:formatCode>0_ </c:formatCode>
                <c:ptCount val="14"/>
                <c:pt idx="0">
                  <c:v>421.80247000000003</c:v>
                </c:pt>
                <c:pt idx="1">
                  <c:v>239.27436104890003</c:v>
                </c:pt>
                <c:pt idx="2">
                  <c:v>152.02426969020001</c:v>
                </c:pt>
                <c:pt idx="3">
                  <c:v>130.9881846902</c:v>
                </c:pt>
                <c:pt idx="4">
                  <c:v>118.4267656902</c:v>
                </c:pt>
                <c:pt idx="5">
                  <c:v>113.8602796902</c:v>
                </c:pt>
                <c:pt idx="6">
                  <c:v>97.37914126070001</c:v>
                </c:pt>
                <c:pt idx="7">
                  <c:v>88.644541260700009</c:v>
                </c:pt>
                <c:pt idx="8">
                  <c:v>75.438776255600004</c:v>
                </c:pt>
                <c:pt idx="9">
                  <c:v>74.324281621200001</c:v>
                </c:pt>
                <c:pt idx="10">
                  <c:v>65.309488621200003</c:v>
                </c:pt>
                <c:pt idx="11">
                  <c:v>44.823134621199998</c:v>
                </c:pt>
                <c:pt idx="12">
                  <c:v>-43.215132912800001</c:v>
                </c:pt>
                <c:pt idx="13">
                  <c:v>-43.215132912800001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3-4991-AB7C-226022F2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</c:spPr>
          </c:upBars>
          <c:downBars>
            <c:spPr>
              <a:solidFill>
                <a:schemeClr val="accent6">
                  <a:lumMod val="60000"/>
                  <a:lumOff val="40000"/>
                  <a:alpha val="77000"/>
                </a:schemeClr>
              </a:solidFill>
              <a:ln>
                <a:noFill/>
              </a:ln>
            </c:spPr>
          </c:downBars>
        </c:upDownBars>
        <c:marker val="1"/>
        <c:smooth val="0"/>
        <c:axId val="555925104"/>
        <c:axId val="1"/>
      </c:lineChart>
      <c:catAx>
        <c:axId val="55592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_ " sourceLinked="1"/>
        <c:majorTickMark val="out"/>
        <c:minorTickMark val="none"/>
        <c:tickLblPos val="none"/>
        <c:spPr>
          <a:ln w="3175">
            <a:solidFill>
              <a:srgbClr val="969696"/>
            </a:solidFill>
            <a:prstDash val="solid"/>
          </a:ln>
        </c:spPr>
        <c:crossAx val="5559251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image" Target="../media/image9.emf"/><Relationship Id="rId3" Type="http://schemas.openxmlformats.org/officeDocument/2006/relationships/chart" Target="../charts/chart19.xml"/><Relationship Id="rId7" Type="http://schemas.openxmlformats.org/officeDocument/2006/relationships/chart" Target="../charts/chart22.xml"/><Relationship Id="rId12" Type="http://schemas.openxmlformats.org/officeDocument/2006/relationships/chart" Target="../charts/chart26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1.xml"/><Relationship Id="rId11" Type="http://schemas.openxmlformats.org/officeDocument/2006/relationships/chart" Target="../charts/chart25.xml"/><Relationship Id="rId5" Type="http://schemas.openxmlformats.org/officeDocument/2006/relationships/image" Target="../media/image7.emf"/><Relationship Id="rId10" Type="http://schemas.openxmlformats.org/officeDocument/2006/relationships/chart" Target="../charts/chart24.xml"/><Relationship Id="rId4" Type="http://schemas.openxmlformats.org/officeDocument/2006/relationships/chart" Target="../charts/chart20.xml"/><Relationship Id="rId9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114299</xdr:colOff>
      <xdr:row>1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</xdr:row>
      <xdr:rowOff>171449</xdr:rowOff>
    </xdr:from>
    <xdr:to>
      <xdr:col>6</xdr:col>
      <xdr:colOff>76200</xdr:colOff>
      <xdr:row>33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114299</xdr:colOff>
      <xdr:row>1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0</xdr:row>
      <xdr:rowOff>0</xdr:rowOff>
    </xdr:from>
    <xdr:to>
      <xdr:col>9</xdr:col>
      <xdr:colOff>28575</xdr:colOff>
      <xdr:row>0</xdr:row>
      <xdr:rowOff>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 rot="-10800000">
          <a:off x="5162550" y="0"/>
          <a:ext cx="28575" cy="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6</xdr:row>
      <xdr:rowOff>0</xdr:rowOff>
    </xdr:from>
    <xdr:to>
      <xdr:col>29</xdr:col>
      <xdr:colOff>390525</xdr:colOff>
      <xdr:row>25</xdr:row>
      <xdr:rowOff>123825</xdr:rowOff>
    </xdr:to>
    <xdr:graphicFrame macro="">
      <xdr:nvGraphicFramePr>
        <xdr:cNvPr id="3" name="图表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9525</xdr:colOff>
      <xdr:row>24</xdr:row>
      <xdr:rowOff>38100</xdr:rowOff>
    </xdr:from>
    <xdr:to>
      <xdr:col>29</xdr:col>
      <xdr:colOff>400050</xdr:colOff>
      <xdr:row>37</xdr:row>
      <xdr:rowOff>114300</xdr:rowOff>
    </xdr:to>
    <xdr:graphicFrame macro="">
      <xdr:nvGraphicFramePr>
        <xdr:cNvPr id="4" name="图表 2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40</xdr:row>
      <xdr:rowOff>95250</xdr:rowOff>
    </xdr:from>
    <xdr:to>
      <xdr:col>29</xdr:col>
      <xdr:colOff>390525</xdr:colOff>
      <xdr:row>53</xdr:row>
      <xdr:rowOff>171450</xdr:rowOff>
    </xdr:to>
    <xdr:graphicFrame macro="">
      <xdr:nvGraphicFramePr>
        <xdr:cNvPr id="5" name="图表 2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495300</xdr:colOff>
      <xdr:row>59</xdr:row>
      <xdr:rowOff>28575</xdr:rowOff>
    </xdr:to>
    <xdr:graphicFrame macro="">
      <xdr:nvGraphicFramePr>
        <xdr:cNvPr id="6" name="图表 2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9525</xdr:colOff>
      <xdr:row>6</xdr:row>
      <xdr:rowOff>9525</xdr:rowOff>
    </xdr:from>
    <xdr:to>
      <xdr:col>19</xdr:col>
      <xdr:colOff>400050</xdr:colOff>
      <xdr:row>25</xdr:row>
      <xdr:rowOff>133350</xdr:rowOff>
    </xdr:to>
    <xdr:graphicFrame macro="">
      <xdr:nvGraphicFramePr>
        <xdr:cNvPr id="7" name="图表 2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38100</xdr:colOff>
      <xdr:row>24</xdr:row>
      <xdr:rowOff>57150</xdr:rowOff>
    </xdr:from>
    <xdr:to>
      <xdr:col>19</xdr:col>
      <xdr:colOff>428625</xdr:colOff>
      <xdr:row>37</xdr:row>
      <xdr:rowOff>133350</xdr:rowOff>
    </xdr:to>
    <xdr:graphicFrame macro="">
      <xdr:nvGraphicFramePr>
        <xdr:cNvPr id="8" name="图表 2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47625</xdr:colOff>
      <xdr:row>40</xdr:row>
      <xdr:rowOff>9525</xdr:rowOff>
    </xdr:from>
    <xdr:to>
      <xdr:col>19</xdr:col>
      <xdr:colOff>438150</xdr:colOff>
      <xdr:row>53</xdr:row>
      <xdr:rowOff>95250</xdr:rowOff>
    </xdr:to>
    <xdr:graphicFrame macro="">
      <xdr:nvGraphicFramePr>
        <xdr:cNvPr id="9" name="图表 2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28575</xdr:colOff>
      <xdr:row>56</xdr:row>
      <xdr:rowOff>66675</xdr:rowOff>
    </xdr:from>
    <xdr:to>
      <xdr:col>19</xdr:col>
      <xdr:colOff>419100</xdr:colOff>
      <xdr:row>69</xdr:row>
      <xdr:rowOff>142875</xdr:rowOff>
    </xdr:to>
    <xdr:graphicFrame macro="">
      <xdr:nvGraphicFramePr>
        <xdr:cNvPr id="10" name="图表 2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47625</xdr:colOff>
      <xdr:row>72</xdr:row>
      <xdr:rowOff>28575</xdr:rowOff>
    </xdr:from>
    <xdr:to>
      <xdr:col>19</xdr:col>
      <xdr:colOff>438150</xdr:colOff>
      <xdr:row>89</xdr:row>
      <xdr:rowOff>180975</xdr:rowOff>
    </xdr:to>
    <xdr:graphicFrame macro="">
      <xdr:nvGraphicFramePr>
        <xdr:cNvPr id="11" name="图表 2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8</xdr:col>
      <xdr:colOff>485775</xdr:colOff>
      <xdr:row>40</xdr:row>
      <xdr:rowOff>161925</xdr:rowOff>
    </xdr:to>
    <xdr:graphicFrame macro="">
      <xdr:nvGraphicFramePr>
        <xdr:cNvPr id="12" name="图表 3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12</xdr:col>
      <xdr:colOff>28575</xdr:colOff>
      <xdr:row>93</xdr:row>
      <xdr:rowOff>57150</xdr:rowOff>
    </xdr:from>
    <xdr:to>
      <xdr:col>19</xdr:col>
      <xdr:colOff>419100</xdr:colOff>
      <xdr:row>111</xdr:row>
      <xdr:rowOff>0</xdr:rowOff>
    </xdr:to>
    <xdr:graphicFrame macro="">
      <xdr:nvGraphicFramePr>
        <xdr:cNvPr id="13" name="图表 3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438150</xdr:colOff>
      <xdr:row>94</xdr:row>
      <xdr:rowOff>161925</xdr:rowOff>
    </xdr:from>
    <xdr:to>
      <xdr:col>22</xdr:col>
      <xdr:colOff>228600</xdr:colOff>
      <xdr:row>100</xdr:row>
      <xdr:rowOff>9525</xdr:rowOff>
    </xdr:to>
    <xdr:sp macro="" textlink="">
      <xdr:nvSpPr>
        <xdr:cNvPr id="14" name="AutoShape 3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11858625" y="20688300"/>
          <a:ext cx="571500" cy="1104900"/>
        </a:xfrm>
        <a:prstGeom prst="upArrow">
          <a:avLst>
            <a:gd name="adj1" fmla="val 50000"/>
            <a:gd name="adj2" fmla="val 48333"/>
          </a:avLst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66675</xdr:colOff>
      <xdr:row>94</xdr:row>
      <xdr:rowOff>142875</xdr:rowOff>
    </xdr:from>
    <xdr:to>
      <xdr:col>23</xdr:col>
      <xdr:colOff>28575</xdr:colOff>
      <xdr:row>100</xdr:row>
      <xdr:rowOff>76200</xdr:rowOff>
    </xdr:to>
    <xdr:sp macro="" textlink="">
      <xdr:nvSpPr>
        <xdr:cNvPr id="15" name="AutoShape 3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 rot="10800000">
          <a:off x="12268200" y="20669250"/>
          <a:ext cx="571500" cy="1190625"/>
        </a:xfrm>
        <a:prstGeom prst="upArrow">
          <a:avLst>
            <a:gd name="adj1" fmla="val 50000"/>
            <a:gd name="adj2" fmla="val 52083"/>
          </a:avLst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76200</xdr:colOff>
      <xdr:row>95</xdr:row>
      <xdr:rowOff>28575</xdr:rowOff>
    </xdr:from>
    <xdr:to>
      <xdr:col>21</xdr:col>
      <xdr:colOff>38100</xdr:colOff>
      <xdr:row>100</xdr:row>
      <xdr:rowOff>95250</xdr:rowOff>
    </xdr:to>
    <xdr:sp macro="" textlink="">
      <xdr:nvSpPr>
        <xdr:cNvPr id="16" name="AutoShape 3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11496675" y="20764500"/>
          <a:ext cx="571500" cy="1114425"/>
        </a:xfrm>
        <a:prstGeom prst="upArrow">
          <a:avLst>
            <a:gd name="adj1" fmla="val 46667"/>
            <a:gd name="adj2" fmla="val 0"/>
          </a:avLst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19050</xdr:colOff>
      <xdr:row>56</xdr:row>
      <xdr:rowOff>66675</xdr:rowOff>
    </xdr:from>
    <xdr:to>
      <xdr:col>29</xdr:col>
      <xdr:colOff>409575</xdr:colOff>
      <xdr:row>69</xdr:row>
      <xdr:rowOff>142875</xdr:rowOff>
    </xdr:to>
    <xdr:graphicFrame macro="">
      <xdr:nvGraphicFramePr>
        <xdr:cNvPr id="17" name="图表 3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219075</xdr:colOff>
      <xdr:row>70</xdr:row>
      <xdr:rowOff>133350</xdr:rowOff>
    </xdr:from>
    <xdr:to>
      <xdr:col>23</xdr:col>
      <xdr:colOff>180975</xdr:colOff>
      <xdr:row>72</xdr:row>
      <xdr:rowOff>104775</xdr:rowOff>
    </xdr:to>
    <xdr:sp macro="" textlink="">
      <xdr:nvSpPr>
        <xdr:cNvPr id="18" name="AutoShape 36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12420600" y="15630525"/>
          <a:ext cx="571500" cy="390525"/>
        </a:xfrm>
        <a:prstGeom prst="rightArrow">
          <a:avLst>
            <a:gd name="adj1" fmla="val 50000"/>
            <a:gd name="adj2" fmla="val 36585"/>
          </a:avLst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23</xdr:col>
      <xdr:colOff>552450</xdr:colOff>
      <xdr:row>70</xdr:row>
      <xdr:rowOff>133350</xdr:rowOff>
    </xdr:from>
    <xdr:to>
      <xdr:col>24</xdr:col>
      <xdr:colOff>514350</xdr:colOff>
      <xdr:row>72</xdr:row>
      <xdr:rowOff>104775</xdr:rowOff>
    </xdr:to>
    <xdr:sp macro="" textlink="">
      <xdr:nvSpPr>
        <xdr:cNvPr id="19" name="AutoShape 37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 rot="10800000">
          <a:off x="13363575" y="15630525"/>
          <a:ext cx="571500" cy="390525"/>
        </a:xfrm>
        <a:prstGeom prst="rightArrow">
          <a:avLst>
            <a:gd name="adj1" fmla="val 50000"/>
            <a:gd name="adj2" fmla="val 36585"/>
          </a:avLst>
        </a:prstGeom>
        <a:solidFill>
          <a:srgbClr xmlns:mc="http://schemas.openxmlformats.org/markup-compatibility/2006" xmlns:a14="http://schemas.microsoft.com/office/drawing/2010/main" val="FF9900" mc:Ignorable="a14" a14:legacySpreadsheetColorIndex="5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209550</xdr:colOff>
      <xdr:row>72</xdr:row>
      <xdr:rowOff>133350</xdr:rowOff>
    </xdr:from>
    <xdr:to>
      <xdr:col>23</xdr:col>
      <xdr:colOff>171450</xdr:colOff>
      <xdr:row>74</xdr:row>
      <xdr:rowOff>104775</xdr:rowOff>
    </xdr:to>
    <xdr:sp macro="" textlink="">
      <xdr:nvSpPr>
        <xdr:cNvPr id="20" name="AutoShape 38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12411075" y="16049625"/>
          <a:ext cx="571500" cy="390525"/>
        </a:xfrm>
        <a:prstGeom prst="rightArrow">
          <a:avLst>
            <a:gd name="adj1" fmla="val 46667"/>
            <a:gd name="adj2" fmla="val 0"/>
          </a:avLst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</xdr:colOff>
      <xdr:row>61</xdr:row>
      <xdr:rowOff>38100</xdr:rowOff>
    </xdr:from>
    <xdr:to>
      <xdr:col>8</xdr:col>
      <xdr:colOff>495300</xdr:colOff>
      <xdr:row>78</xdr:row>
      <xdr:rowOff>200025</xdr:rowOff>
    </xdr:to>
    <xdr:graphicFrame macro="">
      <xdr:nvGraphicFramePr>
        <xdr:cNvPr id="21" name="图表 3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 rot="-10800000">
          <a:off x="2076450" y="0"/>
          <a:ext cx="0" cy="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600075</xdr:colOff>
      <xdr:row>19</xdr:row>
      <xdr:rowOff>161925</xdr:rowOff>
    </xdr:to>
    <xdr:graphicFrame macro="">
      <xdr:nvGraphicFramePr>
        <xdr:cNvPr id="3" name="图表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600075</xdr:colOff>
      <xdr:row>27</xdr:row>
      <xdr:rowOff>57150</xdr:rowOff>
    </xdr:from>
    <xdr:to>
      <xdr:col>14</xdr:col>
      <xdr:colOff>590550</xdr:colOff>
      <xdr:row>40</xdr:row>
      <xdr:rowOff>133350</xdr:rowOff>
    </xdr:to>
    <xdr:graphicFrame macro="">
      <xdr:nvGraphicFramePr>
        <xdr:cNvPr id="4" name="图表 1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43</xdr:row>
      <xdr:rowOff>57150</xdr:rowOff>
    </xdr:from>
    <xdr:to>
      <xdr:col>14</xdr:col>
      <xdr:colOff>600075</xdr:colOff>
      <xdr:row>54</xdr:row>
      <xdr:rowOff>85725</xdr:rowOff>
    </xdr:to>
    <xdr:graphicFrame macro="">
      <xdr:nvGraphicFramePr>
        <xdr:cNvPr id="5" name="图表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112</xdr:row>
      <xdr:rowOff>38100</xdr:rowOff>
    </xdr:from>
    <xdr:to>
      <xdr:col>13</xdr:col>
      <xdr:colOff>0</xdr:colOff>
      <xdr:row>130</xdr:row>
      <xdr:rowOff>0</xdr:rowOff>
    </xdr:to>
    <xdr:graphicFrame macro="">
      <xdr:nvGraphicFramePr>
        <xdr:cNvPr id="6" name="图表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115</xdr:row>
          <xdr:rowOff>180975</xdr:rowOff>
        </xdr:from>
        <xdr:to>
          <xdr:col>8</xdr:col>
          <xdr:colOff>180975</xdr:colOff>
          <xdr:row>128</xdr:row>
          <xdr:rowOff>200025</xdr:rowOff>
        </xdr:to>
        <xdr:pic>
          <xdr:nvPicPr>
            <xdr:cNvPr id="7" name="Picture 17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J$113:$M$130" spid="_x0000_s419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 rot="5400000">
              <a:off x="1704975" y="21278850"/>
              <a:ext cx="2743200" cy="3771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9</xdr:col>
      <xdr:colOff>9525</xdr:colOff>
      <xdr:row>65</xdr:row>
      <xdr:rowOff>161925</xdr:rowOff>
    </xdr:from>
    <xdr:to>
      <xdr:col>15</xdr:col>
      <xdr:colOff>0</xdr:colOff>
      <xdr:row>82</xdr:row>
      <xdr:rowOff>95250</xdr:rowOff>
    </xdr:to>
    <xdr:graphicFrame macro="">
      <xdr:nvGraphicFramePr>
        <xdr:cNvPr id="8" name="图表 1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38100</xdr:colOff>
      <xdr:row>24</xdr:row>
      <xdr:rowOff>114300</xdr:rowOff>
    </xdr:from>
    <xdr:to>
      <xdr:col>6</xdr:col>
      <xdr:colOff>314325</xdr:colOff>
      <xdr:row>41</xdr:row>
      <xdr:rowOff>76200</xdr:rowOff>
    </xdr:to>
    <xdr:graphicFrame macro="">
      <xdr:nvGraphicFramePr>
        <xdr:cNvPr id="9" name="图表 1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132</xdr:row>
      <xdr:rowOff>0</xdr:rowOff>
    </xdr:from>
    <xdr:to>
      <xdr:col>12</xdr:col>
      <xdr:colOff>0</xdr:colOff>
      <xdr:row>149</xdr:row>
      <xdr:rowOff>0</xdr:rowOff>
    </xdr:to>
    <xdr:graphicFrame macro="">
      <xdr:nvGraphicFramePr>
        <xdr:cNvPr id="10" name="图表 2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438147</xdr:colOff>
          <xdr:row>45</xdr:row>
          <xdr:rowOff>180977</xdr:rowOff>
        </xdr:from>
        <xdr:to>
          <xdr:col>7</xdr:col>
          <xdr:colOff>123822</xdr:colOff>
          <xdr:row>62</xdr:row>
          <xdr:rowOff>76202</xdr:rowOff>
        </xdr:to>
        <xdr:pic>
          <xdr:nvPicPr>
            <xdr:cNvPr id="11" name="Picture 21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J$133:$L$149" spid="_x0000_s4196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 rot="5400000">
              <a:off x="1290635" y="9844089"/>
              <a:ext cx="3162300" cy="26955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16</xdr:col>
      <xdr:colOff>28575</xdr:colOff>
      <xdr:row>26</xdr:row>
      <xdr:rowOff>95250</xdr:rowOff>
    </xdr:from>
    <xdr:to>
      <xdr:col>22</xdr:col>
      <xdr:colOff>19050</xdr:colOff>
      <xdr:row>42</xdr:row>
      <xdr:rowOff>161925</xdr:rowOff>
    </xdr:to>
    <xdr:graphicFrame macro="">
      <xdr:nvGraphicFramePr>
        <xdr:cNvPr id="12" name="图表 2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85</xdr:row>
      <xdr:rowOff>76200</xdr:rowOff>
    </xdr:from>
    <xdr:to>
      <xdr:col>14</xdr:col>
      <xdr:colOff>600075</xdr:colOff>
      <xdr:row>102</xdr:row>
      <xdr:rowOff>38100</xdr:rowOff>
    </xdr:to>
    <xdr:graphicFrame macro="">
      <xdr:nvGraphicFramePr>
        <xdr:cNvPr id="13" name="图表 2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4</xdr:col>
      <xdr:colOff>0</xdr:colOff>
      <xdr:row>132</xdr:row>
      <xdr:rowOff>0</xdr:rowOff>
    </xdr:from>
    <xdr:to>
      <xdr:col>7</xdr:col>
      <xdr:colOff>114300</xdr:colOff>
      <xdr:row>149</xdr:row>
      <xdr:rowOff>0</xdr:rowOff>
    </xdr:to>
    <xdr:graphicFrame macro="">
      <xdr:nvGraphicFramePr>
        <xdr:cNvPr id="15" name="图表 20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180975</xdr:rowOff>
        </xdr:from>
        <xdr:to>
          <xdr:col>6</xdr:col>
          <xdr:colOff>314325</xdr:colOff>
          <xdr:row>78</xdr:row>
          <xdr:rowOff>123825</xdr:rowOff>
        </xdr:to>
        <xdr:pic>
          <xdr:nvPicPr>
            <xdr:cNvPr id="16" name="图片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136:$G$147" spid="_x0000_s4197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 rot="5400000">
              <a:off x="1238250" y="13687425"/>
              <a:ext cx="3333750" cy="17145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showGridLines="0" tabSelected="1" zoomScaleNormal="100" workbookViewId="0"/>
  </sheetViews>
  <sheetFormatPr defaultRowHeight="12.75" x14ac:dyDescent="0.15"/>
  <cols>
    <col min="1" max="1" width="4.875" style="86" customWidth="1"/>
    <col min="2" max="3" width="9.625" style="94" bestFit="1" customWidth="1"/>
    <col min="4" max="4" width="12.125" style="94" bestFit="1" customWidth="1"/>
    <col min="5" max="6" width="9.625" style="95" bestFit="1" customWidth="1"/>
    <col min="7" max="7" width="1.5" style="87" customWidth="1"/>
    <col min="8" max="16384" width="9" style="87"/>
  </cols>
  <sheetData>
    <row r="1" spans="1:6" ht="13.5" thickBot="1" x14ac:dyDescent="0.2"/>
    <row r="2" spans="1:6" ht="13.5" x14ac:dyDescent="0.15">
      <c r="A2" s="86" t="s">
        <v>88</v>
      </c>
      <c r="B2" s="96" t="s">
        <v>89</v>
      </c>
      <c r="C2" s="97" t="s">
        <v>90</v>
      </c>
      <c r="D2" s="96" t="s">
        <v>91</v>
      </c>
      <c r="E2" s="97" t="s">
        <v>92</v>
      </c>
      <c r="F2" s="96" t="s">
        <v>93</v>
      </c>
    </row>
    <row r="3" spans="1:6" x14ac:dyDescent="0.15">
      <c r="A3" s="86" t="s">
        <v>94</v>
      </c>
      <c r="B3" s="98">
        <v>1563046.3999999997</v>
      </c>
      <c r="C3" s="99">
        <v>2162404.1500000004</v>
      </c>
      <c r="D3" s="98">
        <v>2773537</v>
      </c>
      <c r="E3" s="99">
        <f>2476016.57</f>
        <v>2476016.5699999998</v>
      </c>
      <c r="F3" s="98">
        <v>2536691.62</v>
      </c>
    </row>
    <row r="4" spans="1:6" x14ac:dyDescent="0.15">
      <c r="A4" s="86" t="s">
        <v>95</v>
      </c>
      <c r="B4" s="98">
        <v>1559995.5</v>
      </c>
      <c r="C4" s="99">
        <v>2115318.1</v>
      </c>
      <c r="D4" s="98">
        <v>2497376.37</v>
      </c>
      <c r="E4" s="99">
        <f>3419950.6</f>
        <v>3419950.6</v>
      </c>
      <c r="F4" s="98">
        <v>2660935.9</v>
      </c>
    </row>
    <row r="5" spans="1:6" x14ac:dyDescent="0.15">
      <c r="A5" s="86" t="s">
        <v>96</v>
      </c>
      <c r="B5" s="98">
        <v>1897602.8000000003</v>
      </c>
      <c r="C5" s="99">
        <v>2065056.2000000004</v>
      </c>
      <c r="D5" s="98">
        <v>3396600</v>
      </c>
      <c r="E5" s="99">
        <v>3135720.74</v>
      </c>
      <c r="F5" s="98">
        <v>2762300.58</v>
      </c>
    </row>
    <row r="6" spans="1:6" x14ac:dyDescent="0.15">
      <c r="A6" s="86" t="s">
        <v>97</v>
      </c>
      <c r="B6" s="98">
        <v>2168515.7999999998</v>
      </c>
      <c r="C6" s="99">
        <v>2609919.4499999997</v>
      </c>
      <c r="D6" s="98">
        <v>3709273.7799999993</v>
      </c>
      <c r="E6" s="99">
        <v>3705985.4958500001</v>
      </c>
      <c r="F6" s="98">
        <v>3245625.8400000008</v>
      </c>
    </row>
    <row r="7" spans="1:6" x14ac:dyDescent="0.15">
      <c r="A7" s="86" t="s">
        <v>98</v>
      </c>
      <c r="B7" s="98">
        <v>2295266.0999999996</v>
      </c>
      <c r="C7" s="99">
        <v>2558559.7999999998</v>
      </c>
      <c r="D7" s="98">
        <v>3514232.67</v>
      </c>
      <c r="E7" s="99">
        <v>3275120.5</v>
      </c>
      <c r="F7" s="98">
        <v>3233886.858</v>
      </c>
    </row>
    <row r="8" spans="1:6" x14ac:dyDescent="0.15">
      <c r="A8" s="86" t="s">
        <v>99</v>
      </c>
      <c r="B8" s="98">
        <v>2314160.5</v>
      </c>
      <c r="C8" s="99">
        <v>2393058</v>
      </c>
      <c r="D8" s="98">
        <v>3509514.27</v>
      </c>
      <c r="E8" s="99">
        <v>3354056.47</v>
      </c>
      <c r="F8" s="98"/>
    </row>
    <row r="9" spans="1:6" x14ac:dyDescent="0.15">
      <c r="A9" s="86" t="s">
        <v>100</v>
      </c>
      <c r="B9" s="98">
        <v>1941568.5199999996</v>
      </c>
      <c r="C9" s="99">
        <v>2192797.009999</v>
      </c>
      <c r="D9" s="98">
        <v>2934605.2828291319</v>
      </c>
      <c r="E9" s="99">
        <v>2711689.42215</v>
      </c>
      <c r="F9" s="98"/>
    </row>
    <row r="10" spans="1:6" x14ac:dyDescent="0.15">
      <c r="A10" s="86" t="s">
        <v>101</v>
      </c>
      <c r="B10" s="98">
        <v>2278972.3000000007</v>
      </c>
      <c r="C10" s="99">
        <v>2288607.6500000004</v>
      </c>
      <c r="D10" s="98">
        <v>2900456.4799999995</v>
      </c>
      <c r="E10" s="99">
        <v>2716733.6300000004</v>
      </c>
      <c r="F10" s="98"/>
    </row>
    <row r="11" spans="1:6" x14ac:dyDescent="0.15">
      <c r="A11" s="86" t="s">
        <v>102</v>
      </c>
      <c r="B11" s="98">
        <v>2273486.2000000002</v>
      </c>
      <c r="C11" s="99">
        <v>2355344.0499999998</v>
      </c>
      <c r="D11" s="98">
        <v>2787310.8014780004</v>
      </c>
      <c r="E11" s="99">
        <v>2776223.67</v>
      </c>
      <c r="F11" s="98"/>
    </row>
    <row r="12" spans="1:6" x14ac:dyDescent="0.15">
      <c r="A12" s="86" t="s">
        <v>103</v>
      </c>
      <c r="B12" s="98">
        <v>2282786.8999999994</v>
      </c>
      <c r="C12" s="99">
        <v>2128126.52</v>
      </c>
      <c r="D12" s="98">
        <v>2774722.37</v>
      </c>
      <c r="E12" s="99">
        <v>2559798.1599999997</v>
      </c>
      <c r="F12" s="98"/>
    </row>
    <row r="13" spans="1:6" x14ac:dyDescent="0.15">
      <c r="A13" s="86" t="s">
        <v>104</v>
      </c>
      <c r="B13" s="98">
        <v>2404995.1500000004</v>
      </c>
      <c r="C13" s="99">
        <v>2041434.9</v>
      </c>
      <c r="D13" s="98">
        <v>3068056.9447909999</v>
      </c>
      <c r="E13" s="99">
        <v>2787192.44</v>
      </c>
      <c r="F13" s="98"/>
    </row>
    <row r="14" spans="1:6" ht="13.5" thickBot="1" x14ac:dyDescent="0.2">
      <c r="A14" s="86" t="s">
        <v>105</v>
      </c>
      <c r="B14" s="100">
        <v>2120267.65</v>
      </c>
      <c r="C14" s="101">
        <v>2707259.6</v>
      </c>
      <c r="D14" s="100">
        <v>2968341.68</v>
      </c>
      <c r="E14" s="101">
        <v>2803636.02</v>
      </c>
      <c r="F14" s="100"/>
    </row>
    <row r="15" spans="1:6" x14ac:dyDescent="0.15">
      <c r="A15" s="86" t="s">
        <v>106</v>
      </c>
      <c r="B15" s="102">
        <f>SUM(B3:B14)/10000</f>
        <v>2510.0663819999991</v>
      </c>
      <c r="C15" s="102">
        <f t="shared" ref="C15:F15" si="0">SUM(C3:C14)/10000</f>
        <v>2761.7885429999001</v>
      </c>
      <c r="D15" s="102">
        <f t="shared" si="0"/>
        <v>3683.4027649098134</v>
      </c>
      <c r="E15" s="102">
        <f t="shared" si="0"/>
        <v>3572.2123718000003</v>
      </c>
      <c r="F15" s="102">
        <f t="shared" si="0"/>
        <v>1443.9440798000001</v>
      </c>
    </row>
    <row r="18" spans="10:10" x14ac:dyDescent="0.15">
      <c r="J18" s="88"/>
    </row>
    <row r="38" spans="2:7" ht="13.5" thickBot="1" x14ac:dyDescent="0.2"/>
    <row r="39" spans="2:7" x14ac:dyDescent="0.15">
      <c r="B39" s="103"/>
      <c r="C39" s="103"/>
      <c r="D39" s="103"/>
      <c r="E39" s="104"/>
      <c r="F39" s="104"/>
      <c r="G39" s="89"/>
    </row>
    <row r="40" spans="2:7" x14ac:dyDescent="0.15">
      <c r="B40" s="105"/>
      <c r="C40" s="105"/>
      <c r="D40" s="105"/>
      <c r="E40" s="106"/>
      <c r="F40" s="107"/>
      <c r="G40" s="90"/>
    </row>
    <row r="41" spans="2:7" x14ac:dyDescent="0.15">
      <c r="B41" s="105"/>
      <c r="C41" s="105"/>
      <c r="D41" s="105"/>
      <c r="E41" s="106"/>
      <c r="F41" s="107"/>
      <c r="G41" s="90"/>
    </row>
    <row r="42" spans="2:7" x14ac:dyDescent="0.15">
      <c r="B42" s="105"/>
      <c r="C42" s="105"/>
      <c r="D42" s="105"/>
      <c r="E42" s="106"/>
      <c r="F42" s="107"/>
      <c r="G42" s="90"/>
    </row>
    <row r="43" spans="2:7" x14ac:dyDescent="0.15">
      <c r="B43" s="105"/>
      <c r="C43" s="105"/>
      <c r="D43" s="105" t="s">
        <v>91</v>
      </c>
      <c r="E43" s="106"/>
      <c r="F43" s="107"/>
      <c r="G43" s="90"/>
    </row>
    <row r="44" spans="2:7" x14ac:dyDescent="0.15">
      <c r="B44" s="105"/>
      <c r="C44" s="105"/>
      <c r="D44" s="105"/>
      <c r="E44" s="106"/>
      <c r="F44" s="107"/>
      <c r="G44" s="90"/>
    </row>
    <row r="45" spans="2:7" x14ac:dyDescent="0.15">
      <c r="B45" s="105"/>
      <c r="C45" s="105"/>
      <c r="D45" s="105"/>
      <c r="E45" s="106"/>
      <c r="F45" s="107"/>
      <c r="G45" s="90"/>
    </row>
    <row r="46" spans="2:7" x14ac:dyDescent="0.15">
      <c r="B46" s="105"/>
      <c r="C46" s="105"/>
      <c r="D46" s="105" t="s">
        <v>107</v>
      </c>
      <c r="E46" s="106"/>
      <c r="F46" s="107"/>
      <c r="G46" s="90"/>
    </row>
    <row r="47" spans="2:7" x14ac:dyDescent="0.15">
      <c r="B47" s="105"/>
      <c r="C47" s="105"/>
      <c r="D47" s="105"/>
      <c r="E47" s="106"/>
      <c r="F47" s="107"/>
      <c r="G47" s="90"/>
    </row>
    <row r="48" spans="2:7" x14ac:dyDescent="0.15">
      <c r="B48" s="105"/>
      <c r="C48" s="105"/>
      <c r="D48" s="105"/>
      <c r="E48" s="106"/>
      <c r="F48" s="107"/>
      <c r="G48" s="90"/>
    </row>
    <row r="49" spans="2:7" x14ac:dyDescent="0.15">
      <c r="B49" s="108"/>
      <c r="C49" s="108"/>
      <c r="D49" s="108">
        <f>SUM(E40:E51)/10000</f>
        <v>0</v>
      </c>
      <c r="E49" s="106"/>
      <c r="F49" s="107"/>
      <c r="G49" s="90"/>
    </row>
    <row r="50" spans="2:7" x14ac:dyDescent="0.15">
      <c r="B50" s="105"/>
      <c r="C50" s="105"/>
      <c r="D50" s="105"/>
      <c r="E50" s="106"/>
      <c r="F50" s="107"/>
      <c r="G50" s="90"/>
    </row>
    <row r="51" spans="2:7" x14ac:dyDescent="0.15">
      <c r="B51" s="105"/>
      <c r="C51" s="105"/>
      <c r="D51" s="105"/>
      <c r="E51" s="106"/>
      <c r="F51" s="107"/>
      <c r="G51" s="90"/>
    </row>
    <row r="52" spans="2:7" x14ac:dyDescent="0.15">
      <c r="B52" s="105"/>
      <c r="C52" s="105"/>
      <c r="D52" s="105"/>
      <c r="E52" s="106"/>
      <c r="F52" s="106"/>
      <c r="G52" s="91"/>
    </row>
    <row r="53" spans="2:7" x14ac:dyDescent="0.15">
      <c r="B53" s="105"/>
      <c r="C53" s="105"/>
      <c r="D53" s="105"/>
      <c r="E53" s="106"/>
      <c r="F53" s="106"/>
      <c r="G53" s="91"/>
    </row>
    <row r="54" spans="2:7" x14ac:dyDescent="0.15">
      <c r="B54" s="105"/>
      <c r="C54" s="105"/>
      <c r="D54" s="105"/>
      <c r="E54" s="106"/>
      <c r="F54" s="106"/>
      <c r="G54" s="91"/>
    </row>
    <row r="55" spans="2:7" x14ac:dyDescent="0.15">
      <c r="B55" s="105"/>
      <c r="C55" s="105"/>
      <c r="D55" s="105" t="s">
        <v>108</v>
      </c>
      <c r="E55" s="106"/>
      <c r="F55" s="106"/>
      <c r="G55" s="91"/>
    </row>
    <row r="56" spans="2:7" x14ac:dyDescent="0.15">
      <c r="B56" s="105"/>
      <c r="C56" s="105"/>
      <c r="D56" s="105"/>
      <c r="E56" s="106"/>
      <c r="F56" s="106"/>
      <c r="G56" s="91"/>
    </row>
    <row r="57" spans="2:7" x14ac:dyDescent="0.15">
      <c r="B57" s="105"/>
      <c r="C57" s="105"/>
      <c r="D57" s="105"/>
      <c r="E57" s="106"/>
      <c r="F57" s="106"/>
      <c r="G57" s="91"/>
    </row>
    <row r="58" spans="2:7" x14ac:dyDescent="0.15">
      <c r="B58" s="105"/>
      <c r="C58" s="105"/>
      <c r="D58" s="105" t="s">
        <v>107</v>
      </c>
      <c r="E58" s="106"/>
      <c r="F58" s="106"/>
      <c r="G58" s="91"/>
    </row>
    <row r="59" spans="2:7" x14ac:dyDescent="0.15">
      <c r="B59" s="105"/>
      <c r="C59" s="105"/>
      <c r="D59" s="105"/>
      <c r="E59" s="106"/>
      <c r="F59" s="106"/>
      <c r="G59" s="91"/>
    </row>
    <row r="60" spans="2:7" x14ac:dyDescent="0.15">
      <c r="B60" s="105"/>
      <c r="C60" s="105"/>
      <c r="D60" s="105"/>
      <c r="E60" s="106"/>
      <c r="F60" s="106"/>
      <c r="G60" s="91"/>
    </row>
    <row r="61" spans="2:7" x14ac:dyDescent="0.15">
      <c r="B61" s="108"/>
      <c r="C61" s="108"/>
      <c r="D61" s="108">
        <f>SUM(F52:F63)/10000</f>
        <v>0</v>
      </c>
      <c r="E61" s="106"/>
      <c r="F61" s="106"/>
      <c r="G61" s="91"/>
    </row>
    <row r="62" spans="2:7" x14ac:dyDescent="0.15">
      <c r="B62" s="105"/>
      <c r="C62" s="105"/>
      <c r="D62" s="105"/>
      <c r="E62" s="106"/>
      <c r="F62" s="106"/>
      <c r="G62" s="91"/>
    </row>
    <row r="63" spans="2:7" x14ac:dyDescent="0.15">
      <c r="B63" s="105"/>
      <c r="C63" s="105"/>
      <c r="D63" s="105"/>
      <c r="E63" s="106"/>
      <c r="F63" s="106"/>
      <c r="G63" s="91"/>
    </row>
    <row r="64" spans="2:7" x14ac:dyDescent="0.15">
      <c r="B64" s="105"/>
      <c r="C64" s="105"/>
      <c r="D64" s="105"/>
      <c r="E64" s="106"/>
      <c r="F64" s="106"/>
      <c r="G64" s="91"/>
    </row>
    <row r="65" spans="2:7" x14ac:dyDescent="0.15">
      <c r="B65" s="105"/>
      <c r="C65" s="105"/>
      <c r="D65" s="105"/>
      <c r="E65" s="106"/>
      <c r="F65" s="106"/>
      <c r="G65" s="91"/>
    </row>
    <row r="66" spans="2:7" x14ac:dyDescent="0.15">
      <c r="B66" s="105"/>
      <c r="C66" s="105"/>
      <c r="D66" s="105" t="s">
        <v>93</v>
      </c>
      <c r="E66" s="106"/>
      <c r="F66" s="106"/>
      <c r="G66" s="91"/>
    </row>
    <row r="67" spans="2:7" x14ac:dyDescent="0.15">
      <c r="B67" s="105"/>
      <c r="C67" s="105"/>
      <c r="D67" s="105" t="s">
        <v>26</v>
      </c>
      <c r="E67" s="106"/>
      <c r="F67" s="106"/>
      <c r="G67" s="91"/>
    </row>
    <row r="68" spans="2:7" x14ac:dyDescent="0.15">
      <c r="B68" s="105"/>
      <c r="C68" s="105"/>
      <c r="D68" s="105"/>
      <c r="E68" s="106"/>
      <c r="F68" s="106"/>
      <c r="G68" s="91"/>
    </row>
    <row r="69" spans="2:7" x14ac:dyDescent="0.15">
      <c r="B69" s="105"/>
      <c r="C69" s="105"/>
      <c r="D69" s="105" t="s">
        <v>109</v>
      </c>
      <c r="E69" s="106"/>
      <c r="F69" s="106"/>
      <c r="G69" s="92"/>
    </row>
    <row r="70" spans="2:7" x14ac:dyDescent="0.15">
      <c r="B70" s="105"/>
      <c r="C70" s="105"/>
      <c r="D70" s="105"/>
      <c r="E70" s="106"/>
      <c r="F70" s="106"/>
      <c r="G70" s="92"/>
    </row>
    <row r="71" spans="2:7" x14ac:dyDescent="0.15">
      <c r="B71" s="105"/>
      <c r="C71" s="105"/>
      <c r="D71" s="105" t="s">
        <v>27</v>
      </c>
      <c r="E71" s="106"/>
      <c r="F71" s="106"/>
      <c r="G71" s="92"/>
    </row>
    <row r="72" spans="2:7" x14ac:dyDescent="0.15">
      <c r="B72" s="105"/>
      <c r="C72" s="105"/>
      <c r="D72" s="105"/>
      <c r="E72" s="106"/>
      <c r="F72" s="106"/>
      <c r="G72" s="92"/>
    </row>
    <row r="73" spans="2:7" x14ac:dyDescent="0.15">
      <c r="B73" s="105"/>
      <c r="C73" s="105"/>
      <c r="D73" s="105"/>
      <c r="E73" s="106"/>
      <c r="F73" s="106"/>
      <c r="G73" s="92"/>
    </row>
    <row r="74" spans="2:7" x14ac:dyDescent="0.15">
      <c r="B74" s="105"/>
      <c r="C74" s="105"/>
      <c r="D74" s="105" t="s">
        <v>110</v>
      </c>
      <c r="E74" s="106"/>
      <c r="F74" s="106"/>
      <c r="G74" s="92"/>
    </row>
    <row r="75" spans="2:7" ht="13.5" thickBot="1" x14ac:dyDescent="0.2">
      <c r="B75" s="109"/>
      <c r="C75" s="109"/>
      <c r="D75" s="109"/>
      <c r="E75" s="110"/>
      <c r="F75" s="110"/>
      <c r="G75" s="9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zoomScaleNormal="100" workbookViewId="0"/>
  </sheetViews>
  <sheetFormatPr defaultRowHeight="14.25" x14ac:dyDescent="0.15"/>
  <cols>
    <col min="1" max="1" width="4.875" style="24" customWidth="1"/>
    <col min="2" max="2" width="13.25" style="6" bestFit="1" customWidth="1"/>
    <col min="3" max="3" width="14.125" style="7" customWidth="1"/>
    <col min="4" max="4" width="13.125" style="7" customWidth="1"/>
    <col min="5" max="5" width="1.5" customWidth="1"/>
  </cols>
  <sheetData>
    <row r="1" spans="1:4" ht="15" thickBot="1" x14ac:dyDescent="0.2"/>
    <row r="2" spans="1:4" x14ac:dyDescent="0.15">
      <c r="A2" s="25" t="s">
        <v>23</v>
      </c>
      <c r="B2" s="8" t="s">
        <v>6</v>
      </c>
      <c r="C2" s="9" t="s">
        <v>7</v>
      </c>
      <c r="D2" s="10" t="s">
        <v>8</v>
      </c>
    </row>
    <row r="3" spans="1:4" x14ac:dyDescent="0.15">
      <c r="A3" s="24" t="s">
        <v>10</v>
      </c>
      <c r="B3" s="11"/>
      <c r="C3" s="12">
        <v>2535068.38</v>
      </c>
      <c r="D3" s="13">
        <v>4080137.47</v>
      </c>
    </row>
    <row r="4" spans="1:4" x14ac:dyDescent="0.15">
      <c r="A4" s="24" t="s">
        <v>11</v>
      </c>
      <c r="B4" s="11"/>
      <c r="C4" s="12">
        <v>3579521.9499999997</v>
      </c>
      <c r="D4" s="13">
        <v>3995704.67</v>
      </c>
    </row>
    <row r="5" spans="1:4" x14ac:dyDescent="0.15">
      <c r="A5" s="24" t="s">
        <v>12</v>
      </c>
      <c r="B5" s="11"/>
      <c r="C5" s="12">
        <v>3179745.99</v>
      </c>
      <c r="D5" s="13">
        <v>3560076.3200000003</v>
      </c>
    </row>
    <row r="6" spans="1:4" x14ac:dyDescent="0.15">
      <c r="A6" s="24" t="s">
        <v>13</v>
      </c>
      <c r="B6" s="11"/>
      <c r="C6" s="12">
        <v>3795427.13</v>
      </c>
      <c r="D6" s="13">
        <v>4544794.57</v>
      </c>
    </row>
    <row r="7" spans="1:4" x14ac:dyDescent="0.15">
      <c r="A7" s="24" t="s">
        <v>14</v>
      </c>
      <c r="B7" s="11"/>
      <c r="C7" s="12">
        <v>3871838.56</v>
      </c>
      <c r="D7" s="13">
        <v>4411956.7420000006</v>
      </c>
    </row>
    <row r="8" spans="1:4" x14ac:dyDescent="0.15">
      <c r="A8" s="24" t="s">
        <v>15</v>
      </c>
      <c r="B8" s="11"/>
      <c r="C8" s="12">
        <v>3826417.43</v>
      </c>
      <c r="D8" s="26"/>
    </row>
    <row r="9" spans="1:4" x14ac:dyDescent="0.15">
      <c r="A9" s="24" t="s">
        <v>16</v>
      </c>
      <c r="B9" s="28" t="s">
        <v>28</v>
      </c>
      <c r="C9" s="12">
        <v>3634433.85</v>
      </c>
      <c r="D9" s="26"/>
    </row>
    <row r="10" spans="1:4" x14ac:dyDescent="0.15">
      <c r="A10" s="24" t="s">
        <v>17</v>
      </c>
      <c r="B10" s="11">
        <v>3148946.17</v>
      </c>
      <c r="C10" s="12">
        <v>3714397.5100000007</v>
      </c>
      <c r="D10" s="26"/>
    </row>
    <row r="11" spans="1:4" x14ac:dyDescent="0.15">
      <c r="A11" s="24" t="s">
        <v>18</v>
      </c>
      <c r="B11" s="11">
        <v>3434166.18</v>
      </c>
      <c r="C11" s="12">
        <v>3594021.5</v>
      </c>
      <c r="D11" s="26"/>
    </row>
    <row r="12" spans="1:4" x14ac:dyDescent="0.15">
      <c r="A12" s="24" t="s">
        <v>19</v>
      </c>
      <c r="B12" s="11">
        <v>2875724.88</v>
      </c>
      <c r="C12" s="12">
        <v>3843983.75</v>
      </c>
      <c r="D12" s="26"/>
    </row>
    <row r="13" spans="1:4" x14ac:dyDescent="0.15">
      <c r="A13" s="24" t="s">
        <v>20</v>
      </c>
      <c r="B13" s="11">
        <v>3035476.97</v>
      </c>
      <c r="C13" s="12">
        <v>4084951.82</v>
      </c>
      <c r="D13" s="26"/>
    </row>
    <row r="14" spans="1:4" ht="15" thickBot="1" x14ac:dyDescent="0.2">
      <c r="A14" s="24" t="s">
        <v>21</v>
      </c>
      <c r="B14" s="14">
        <v>3025599.08</v>
      </c>
      <c r="C14" s="15">
        <v>4071148.31</v>
      </c>
      <c r="D14" s="27"/>
    </row>
    <row r="38" spans="2:5" ht="15" thickBot="1" x14ac:dyDescent="0.2"/>
    <row r="39" spans="2:5" x14ac:dyDescent="0.15">
      <c r="B39" s="16"/>
      <c r="C39" s="17" t="s">
        <v>0</v>
      </c>
      <c r="D39" s="17" t="s">
        <v>1</v>
      </c>
      <c r="E39" s="5" t="s">
        <v>2</v>
      </c>
    </row>
    <row r="40" spans="2:5" x14ac:dyDescent="0.15">
      <c r="B40" s="18"/>
      <c r="C40" s="19"/>
      <c r="D40" s="20"/>
      <c r="E40" s="4"/>
    </row>
    <row r="41" spans="2:5" x14ac:dyDescent="0.15">
      <c r="B41" s="18"/>
      <c r="C41" s="19"/>
      <c r="D41" s="20"/>
      <c r="E41" s="4"/>
    </row>
    <row r="42" spans="2:5" x14ac:dyDescent="0.15">
      <c r="B42" s="18"/>
      <c r="C42" s="19"/>
      <c r="D42" s="20"/>
      <c r="E42" s="4"/>
    </row>
    <row r="43" spans="2:5" x14ac:dyDescent="0.15">
      <c r="B43" s="18" t="s">
        <v>0</v>
      </c>
      <c r="C43" s="19"/>
      <c r="D43" s="20"/>
      <c r="E43" s="4"/>
    </row>
    <row r="44" spans="2:5" x14ac:dyDescent="0.15">
      <c r="B44" s="18"/>
      <c r="C44" s="19"/>
      <c r="D44" s="20"/>
      <c r="E44" s="4"/>
    </row>
    <row r="45" spans="2:5" x14ac:dyDescent="0.15">
      <c r="B45" s="18"/>
      <c r="C45" s="19"/>
      <c r="D45" s="20"/>
      <c r="E45" s="4"/>
    </row>
    <row r="46" spans="2:5" x14ac:dyDescent="0.15">
      <c r="B46" s="18" t="s">
        <v>24</v>
      </c>
      <c r="C46" s="19"/>
      <c r="D46" s="20"/>
      <c r="E46" s="4"/>
    </row>
    <row r="47" spans="2:5" x14ac:dyDescent="0.15">
      <c r="B47" s="18"/>
      <c r="C47" s="19">
        <f t="shared" ref="C47:C51" si="0">B10</f>
        <v>3148946.17</v>
      </c>
      <c r="D47" s="20"/>
      <c r="E47" s="4"/>
    </row>
    <row r="48" spans="2:5" x14ac:dyDescent="0.15">
      <c r="B48" s="18"/>
      <c r="C48" s="19">
        <f t="shared" si="0"/>
        <v>3434166.18</v>
      </c>
      <c r="D48" s="20"/>
      <c r="E48" s="4"/>
    </row>
    <row r="49" spans="2:5" x14ac:dyDescent="0.15">
      <c r="B49" s="21">
        <f>SUM(C40:C51)/10000</f>
        <v>1551.9913280000001</v>
      </c>
      <c r="C49" s="19">
        <f t="shared" si="0"/>
        <v>2875724.88</v>
      </c>
      <c r="D49" s="20"/>
      <c r="E49" s="4"/>
    </row>
    <row r="50" spans="2:5" x14ac:dyDescent="0.15">
      <c r="B50" s="18"/>
      <c r="C50" s="19">
        <f t="shared" si="0"/>
        <v>3035476.97</v>
      </c>
      <c r="D50" s="20"/>
      <c r="E50" s="4"/>
    </row>
    <row r="51" spans="2:5" x14ac:dyDescent="0.15">
      <c r="B51" s="18"/>
      <c r="C51" s="19">
        <f t="shared" si="0"/>
        <v>3025599.08</v>
      </c>
      <c r="D51" s="20"/>
      <c r="E51" s="4"/>
    </row>
    <row r="52" spans="2:5" x14ac:dyDescent="0.15">
      <c r="B52" s="18"/>
      <c r="C52" s="19"/>
      <c r="D52" s="19">
        <f>C3</f>
        <v>2535068.38</v>
      </c>
      <c r="E52" s="1">
        <f>D3</f>
        <v>4080137.47</v>
      </c>
    </row>
    <row r="53" spans="2:5" x14ac:dyDescent="0.15">
      <c r="B53" s="18"/>
      <c r="C53" s="19"/>
      <c r="D53" s="19">
        <f t="shared" ref="D53:E63" si="1">C4</f>
        <v>3579521.9499999997</v>
      </c>
      <c r="E53" s="1">
        <f t="shared" si="1"/>
        <v>3995704.67</v>
      </c>
    </row>
    <row r="54" spans="2:5" x14ac:dyDescent="0.15">
      <c r="B54" s="18"/>
      <c r="C54" s="19"/>
      <c r="D54" s="19">
        <f t="shared" si="1"/>
        <v>3179745.99</v>
      </c>
      <c r="E54" s="1">
        <f t="shared" si="1"/>
        <v>3560076.3200000003</v>
      </c>
    </row>
    <row r="55" spans="2:5" x14ac:dyDescent="0.15">
      <c r="B55" s="18" t="s">
        <v>3</v>
      </c>
      <c r="C55" s="19"/>
      <c r="D55" s="19">
        <f t="shared" si="1"/>
        <v>3795427.13</v>
      </c>
      <c r="E55" s="1">
        <f t="shared" si="1"/>
        <v>4544794.57</v>
      </c>
    </row>
    <row r="56" spans="2:5" x14ac:dyDescent="0.15">
      <c r="B56" s="18"/>
      <c r="C56" s="19"/>
      <c r="D56" s="19">
        <f t="shared" si="1"/>
        <v>3871838.56</v>
      </c>
      <c r="E56" s="1">
        <f t="shared" si="1"/>
        <v>4411956.7420000006</v>
      </c>
    </row>
    <row r="57" spans="2:5" x14ac:dyDescent="0.15">
      <c r="B57" s="18"/>
      <c r="C57" s="19"/>
      <c r="D57" s="19">
        <f t="shared" si="1"/>
        <v>3826417.43</v>
      </c>
      <c r="E57" s="1"/>
    </row>
    <row r="58" spans="2:5" x14ac:dyDescent="0.15">
      <c r="B58" s="18" t="s">
        <v>24</v>
      </c>
      <c r="C58" s="19"/>
      <c r="D58" s="19">
        <f t="shared" si="1"/>
        <v>3634433.85</v>
      </c>
      <c r="E58" s="1"/>
    </row>
    <row r="59" spans="2:5" x14ac:dyDescent="0.15">
      <c r="B59" s="18"/>
      <c r="C59" s="19"/>
      <c r="D59" s="19">
        <f t="shared" si="1"/>
        <v>3714397.5100000007</v>
      </c>
      <c r="E59" s="1"/>
    </row>
    <row r="60" spans="2:5" x14ac:dyDescent="0.15">
      <c r="B60" s="18"/>
      <c r="C60" s="19"/>
      <c r="D60" s="19">
        <f t="shared" si="1"/>
        <v>3594021.5</v>
      </c>
      <c r="E60" s="1"/>
    </row>
    <row r="61" spans="2:5" x14ac:dyDescent="0.15">
      <c r="B61" s="21">
        <f>SUM(D52:D63)/10000</f>
        <v>4373.0956180000003</v>
      </c>
      <c r="C61" s="19"/>
      <c r="D61" s="19">
        <f t="shared" si="1"/>
        <v>3843983.75</v>
      </c>
      <c r="E61" s="1"/>
    </row>
    <row r="62" spans="2:5" x14ac:dyDescent="0.15">
      <c r="B62" s="18"/>
      <c r="C62" s="19"/>
      <c r="D62" s="19">
        <f t="shared" si="1"/>
        <v>4084951.82</v>
      </c>
      <c r="E62" s="1"/>
    </row>
    <row r="63" spans="2:5" x14ac:dyDescent="0.15">
      <c r="B63" s="18"/>
      <c r="C63" s="19"/>
      <c r="D63" s="19">
        <f t="shared" si="1"/>
        <v>4071148.31</v>
      </c>
      <c r="E63" s="1"/>
    </row>
    <row r="64" spans="2:5" x14ac:dyDescent="0.15">
      <c r="B64" s="18"/>
      <c r="C64" s="19"/>
      <c r="D64" s="19"/>
      <c r="E64" s="1">
        <f>D3</f>
        <v>4080137.47</v>
      </c>
    </row>
    <row r="65" spans="2:5" x14ac:dyDescent="0.15">
      <c r="B65" s="18"/>
      <c r="C65" s="19"/>
      <c r="D65" s="19"/>
      <c r="E65" s="1">
        <f t="shared" ref="E65:E68" si="2">D4</f>
        <v>3995704.67</v>
      </c>
    </row>
    <row r="66" spans="2:5" x14ac:dyDescent="0.15">
      <c r="B66" s="18" t="s">
        <v>4</v>
      </c>
      <c r="C66" s="19"/>
      <c r="D66" s="19"/>
      <c r="E66" s="1">
        <f t="shared" si="2"/>
        <v>3560076.3200000003</v>
      </c>
    </row>
    <row r="67" spans="2:5" x14ac:dyDescent="0.15">
      <c r="B67" s="18" t="s">
        <v>9</v>
      </c>
      <c r="C67" s="19"/>
      <c r="D67" s="19"/>
      <c r="E67" s="1">
        <f t="shared" si="2"/>
        <v>4544794.57</v>
      </c>
    </row>
    <row r="68" spans="2:5" x14ac:dyDescent="0.15">
      <c r="B68" s="18"/>
      <c r="C68" s="19"/>
      <c r="D68" s="19"/>
      <c r="E68" s="1">
        <f t="shared" si="2"/>
        <v>4411956.7420000006</v>
      </c>
    </row>
    <row r="69" spans="2:5" x14ac:dyDescent="0.15">
      <c r="B69" s="18" t="s">
        <v>5</v>
      </c>
      <c r="C69" s="19"/>
      <c r="D69" s="19"/>
      <c r="E69" s="2"/>
    </row>
    <row r="70" spans="2:5" x14ac:dyDescent="0.15">
      <c r="B70" s="18"/>
      <c r="C70" s="19"/>
      <c r="D70" s="19"/>
      <c r="E70" s="2"/>
    </row>
    <row r="71" spans="2:5" x14ac:dyDescent="0.15">
      <c r="B71" s="18" t="s">
        <v>25</v>
      </c>
      <c r="C71" s="19"/>
      <c r="D71" s="19"/>
      <c r="E71" s="2"/>
    </row>
    <row r="72" spans="2:5" x14ac:dyDescent="0.15">
      <c r="B72" s="18"/>
      <c r="C72" s="19"/>
      <c r="D72" s="19"/>
      <c r="E72" s="2"/>
    </row>
    <row r="73" spans="2:5" x14ac:dyDescent="0.15">
      <c r="B73" s="18"/>
      <c r="C73" s="19"/>
      <c r="D73" s="19"/>
      <c r="E73" s="2"/>
    </row>
    <row r="74" spans="2:5" x14ac:dyDescent="0.15">
      <c r="B74" s="18" t="s">
        <v>22</v>
      </c>
      <c r="C74" s="19"/>
      <c r="D74" s="19"/>
      <c r="E74" s="2"/>
    </row>
    <row r="75" spans="2:5" ht="15" thickBot="1" x14ac:dyDescent="0.2">
      <c r="B75" s="22"/>
      <c r="C75" s="23"/>
      <c r="D75" s="23"/>
      <c r="E75" s="3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3"/>
  <sheetViews>
    <sheetView showGridLines="0" workbookViewId="0"/>
  </sheetViews>
  <sheetFormatPr defaultRowHeight="16.5" x14ac:dyDescent="0.15"/>
  <cols>
    <col min="1" max="1" width="2.5" style="29" customWidth="1"/>
    <col min="2" max="2" width="13.125" style="29" customWidth="1"/>
    <col min="3" max="3" width="9" style="29"/>
    <col min="4" max="4" width="5" style="31" customWidth="1"/>
    <col min="5" max="5" width="9" style="29"/>
    <col min="6" max="6" width="9.75" style="29" bestFit="1" customWidth="1"/>
    <col min="7" max="10" width="9" style="29"/>
    <col min="11" max="11" width="9" style="32"/>
    <col min="12" max="12" width="2.125" style="33" customWidth="1"/>
    <col min="13" max="13" width="9" style="30"/>
    <col min="14" max="21" width="9" style="29"/>
    <col min="22" max="22" width="2.25" style="33" customWidth="1"/>
    <col min="23" max="23" width="9" style="30"/>
    <col min="24" max="256" width="9" style="29"/>
    <col min="257" max="257" width="2.5" style="29" customWidth="1"/>
    <col min="258" max="258" width="10.5" style="29" bestFit="1" customWidth="1"/>
    <col min="259" max="259" width="9" style="29"/>
    <col min="260" max="260" width="5" style="29" customWidth="1"/>
    <col min="261" max="261" width="9" style="29"/>
    <col min="262" max="262" width="9.75" style="29" bestFit="1" customWidth="1"/>
    <col min="263" max="267" width="9" style="29"/>
    <col min="268" max="268" width="2.125" style="29" customWidth="1"/>
    <col min="269" max="277" width="9" style="29"/>
    <col min="278" max="278" width="2.25" style="29" customWidth="1"/>
    <col min="279" max="512" width="9" style="29"/>
    <col min="513" max="513" width="2.5" style="29" customWidth="1"/>
    <col min="514" max="514" width="10.5" style="29" bestFit="1" customWidth="1"/>
    <col min="515" max="515" width="9" style="29"/>
    <col min="516" max="516" width="5" style="29" customWidth="1"/>
    <col min="517" max="517" width="9" style="29"/>
    <col min="518" max="518" width="9.75" style="29" bestFit="1" customWidth="1"/>
    <col min="519" max="523" width="9" style="29"/>
    <col min="524" max="524" width="2.125" style="29" customWidth="1"/>
    <col min="525" max="533" width="9" style="29"/>
    <col min="534" max="534" width="2.25" style="29" customWidth="1"/>
    <col min="535" max="768" width="9" style="29"/>
    <col min="769" max="769" width="2.5" style="29" customWidth="1"/>
    <col min="770" max="770" width="10.5" style="29" bestFit="1" customWidth="1"/>
    <col min="771" max="771" width="9" style="29"/>
    <col min="772" max="772" width="5" style="29" customWidth="1"/>
    <col min="773" max="773" width="9" style="29"/>
    <col min="774" max="774" width="9.75" style="29" bestFit="1" customWidth="1"/>
    <col min="775" max="779" width="9" style="29"/>
    <col min="780" max="780" width="2.125" style="29" customWidth="1"/>
    <col min="781" max="789" width="9" style="29"/>
    <col min="790" max="790" width="2.25" style="29" customWidth="1"/>
    <col min="791" max="1024" width="9" style="29"/>
    <col min="1025" max="1025" width="2.5" style="29" customWidth="1"/>
    <col min="1026" max="1026" width="10.5" style="29" bestFit="1" customWidth="1"/>
    <col min="1027" max="1027" width="9" style="29"/>
    <col min="1028" max="1028" width="5" style="29" customWidth="1"/>
    <col min="1029" max="1029" width="9" style="29"/>
    <col min="1030" max="1030" width="9.75" style="29" bestFit="1" customWidth="1"/>
    <col min="1031" max="1035" width="9" style="29"/>
    <col min="1036" max="1036" width="2.125" style="29" customWidth="1"/>
    <col min="1037" max="1045" width="9" style="29"/>
    <col min="1046" max="1046" width="2.25" style="29" customWidth="1"/>
    <col min="1047" max="1280" width="9" style="29"/>
    <col min="1281" max="1281" width="2.5" style="29" customWidth="1"/>
    <col min="1282" max="1282" width="10.5" style="29" bestFit="1" customWidth="1"/>
    <col min="1283" max="1283" width="9" style="29"/>
    <col min="1284" max="1284" width="5" style="29" customWidth="1"/>
    <col min="1285" max="1285" width="9" style="29"/>
    <col min="1286" max="1286" width="9.75" style="29" bestFit="1" customWidth="1"/>
    <col min="1287" max="1291" width="9" style="29"/>
    <col min="1292" max="1292" width="2.125" style="29" customWidth="1"/>
    <col min="1293" max="1301" width="9" style="29"/>
    <col min="1302" max="1302" width="2.25" style="29" customWidth="1"/>
    <col min="1303" max="1536" width="9" style="29"/>
    <col min="1537" max="1537" width="2.5" style="29" customWidth="1"/>
    <col min="1538" max="1538" width="10.5" style="29" bestFit="1" customWidth="1"/>
    <col min="1539" max="1539" width="9" style="29"/>
    <col min="1540" max="1540" width="5" style="29" customWidth="1"/>
    <col min="1541" max="1541" width="9" style="29"/>
    <col min="1542" max="1542" width="9.75" style="29" bestFit="1" customWidth="1"/>
    <col min="1543" max="1547" width="9" style="29"/>
    <col min="1548" max="1548" width="2.125" style="29" customWidth="1"/>
    <col min="1549" max="1557" width="9" style="29"/>
    <col min="1558" max="1558" width="2.25" style="29" customWidth="1"/>
    <col min="1559" max="1792" width="9" style="29"/>
    <col min="1793" max="1793" width="2.5" style="29" customWidth="1"/>
    <col min="1794" max="1794" width="10.5" style="29" bestFit="1" customWidth="1"/>
    <col min="1795" max="1795" width="9" style="29"/>
    <col min="1796" max="1796" width="5" style="29" customWidth="1"/>
    <col min="1797" max="1797" width="9" style="29"/>
    <col min="1798" max="1798" width="9.75" style="29" bestFit="1" customWidth="1"/>
    <col min="1799" max="1803" width="9" style="29"/>
    <col min="1804" max="1804" width="2.125" style="29" customWidth="1"/>
    <col min="1805" max="1813" width="9" style="29"/>
    <col min="1814" max="1814" width="2.25" style="29" customWidth="1"/>
    <col min="1815" max="2048" width="9" style="29"/>
    <col min="2049" max="2049" width="2.5" style="29" customWidth="1"/>
    <col min="2050" max="2050" width="10.5" style="29" bestFit="1" customWidth="1"/>
    <col min="2051" max="2051" width="9" style="29"/>
    <col min="2052" max="2052" width="5" style="29" customWidth="1"/>
    <col min="2053" max="2053" width="9" style="29"/>
    <col min="2054" max="2054" width="9.75" style="29" bestFit="1" customWidth="1"/>
    <col min="2055" max="2059" width="9" style="29"/>
    <col min="2060" max="2060" width="2.125" style="29" customWidth="1"/>
    <col min="2061" max="2069" width="9" style="29"/>
    <col min="2070" max="2070" width="2.25" style="29" customWidth="1"/>
    <col min="2071" max="2304" width="9" style="29"/>
    <col min="2305" max="2305" width="2.5" style="29" customWidth="1"/>
    <col min="2306" max="2306" width="10.5" style="29" bestFit="1" customWidth="1"/>
    <col min="2307" max="2307" width="9" style="29"/>
    <col min="2308" max="2308" width="5" style="29" customWidth="1"/>
    <col min="2309" max="2309" width="9" style="29"/>
    <col min="2310" max="2310" width="9.75" style="29" bestFit="1" customWidth="1"/>
    <col min="2311" max="2315" width="9" style="29"/>
    <col min="2316" max="2316" width="2.125" style="29" customWidth="1"/>
    <col min="2317" max="2325" width="9" style="29"/>
    <col min="2326" max="2326" width="2.25" style="29" customWidth="1"/>
    <col min="2327" max="2560" width="9" style="29"/>
    <col min="2561" max="2561" width="2.5" style="29" customWidth="1"/>
    <col min="2562" max="2562" width="10.5" style="29" bestFit="1" customWidth="1"/>
    <col min="2563" max="2563" width="9" style="29"/>
    <col min="2564" max="2564" width="5" style="29" customWidth="1"/>
    <col min="2565" max="2565" width="9" style="29"/>
    <col min="2566" max="2566" width="9.75" style="29" bestFit="1" customWidth="1"/>
    <col min="2567" max="2571" width="9" style="29"/>
    <col min="2572" max="2572" width="2.125" style="29" customWidth="1"/>
    <col min="2573" max="2581" width="9" style="29"/>
    <col min="2582" max="2582" width="2.25" style="29" customWidth="1"/>
    <col min="2583" max="2816" width="9" style="29"/>
    <col min="2817" max="2817" width="2.5" style="29" customWidth="1"/>
    <col min="2818" max="2818" width="10.5" style="29" bestFit="1" customWidth="1"/>
    <col min="2819" max="2819" width="9" style="29"/>
    <col min="2820" max="2820" width="5" style="29" customWidth="1"/>
    <col min="2821" max="2821" width="9" style="29"/>
    <col min="2822" max="2822" width="9.75" style="29" bestFit="1" customWidth="1"/>
    <col min="2823" max="2827" width="9" style="29"/>
    <col min="2828" max="2828" width="2.125" style="29" customWidth="1"/>
    <col min="2829" max="2837" width="9" style="29"/>
    <col min="2838" max="2838" width="2.25" style="29" customWidth="1"/>
    <col min="2839" max="3072" width="9" style="29"/>
    <col min="3073" max="3073" width="2.5" style="29" customWidth="1"/>
    <col min="3074" max="3074" width="10.5" style="29" bestFit="1" customWidth="1"/>
    <col min="3075" max="3075" width="9" style="29"/>
    <col min="3076" max="3076" width="5" style="29" customWidth="1"/>
    <col min="3077" max="3077" width="9" style="29"/>
    <col min="3078" max="3078" width="9.75" style="29" bestFit="1" customWidth="1"/>
    <col min="3079" max="3083" width="9" style="29"/>
    <col min="3084" max="3084" width="2.125" style="29" customWidth="1"/>
    <col min="3085" max="3093" width="9" style="29"/>
    <col min="3094" max="3094" width="2.25" style="29" customWidth="1"/>
    <col min="3095" max="3328" width="9" style="29"/>
    <col min="3329" max="3329" width="2.5" style="29" customWidth="1"/>
    <col min="3330" max="3330" width="10.5" style="29" bestFit="1" customWidth="1"/>
    <col min="3331" max="3331" width="9" style="29"/>
    <col min="3332" max="3332" width="5" style="29" customWidth="1"/>
    <col min="3333" max="3333" width="9" style="29"/>
    <col min="3334" max="3334" width="9.75" style="29" bestFit="1" customWidth="1"/>
    <col min="3335" max="3339" width="9" style="29"/>
    <col min="3340" max="3340" width="2.125" style="29" customWidth="1"/>
    <col min="3341" max="3349" width="9" style="29"/>
    <col min="3350" max="3350" width="2.25" style="29" customWidth="1"/>
    <col min="3351" max="3584" width="9" style="29"/>
    <col min="3585" max="3585" width="2.5" style="29" customWidth="1"/>
    <col min="3586" max="3586" width="10.5" style="29" bestFit="1" customWidth="1"/>
    <col min="3587" max="3587" width="9" style="29"/>
    <col min="3588" max="3588" width="5" style="29" customWidth="1"/>
    <col min="3589" max="3589" width="9" style="29"/>
    <col min="3590" max="3590" width="9.75" style="29" bestFit="1" customWidth="1"/>
    <col min="3591" max="3595" width="9" style="29"/>
    <col min="3596" max="3596" width="2.125" style="29" customWidth="1"/>
    <col min="3597" max="3605" width="9" style="29"/>
    <col min="3606" max="3606" width="2.25" style="29" customWidth="1"/>
    <col min="3607" max="3840" width="9" style="29"/>
    <col min="3841" max="3841" width="2.5" style="29" customWidth="1"/>
    <col min="3842" max="3842" width="10.5" style="29" bestFit="1" customWidth="1"/>
    <col min="3843" max="3843" width="9" style="29"/>
    <col min="3844" max="3844" width="5" style="29" customWidth="1"/>
    <col min="3845" max="3845" width="9" style="29"/>
    <col min="3846" max="3846" width="9.75" style="29" bestFit="1" customWidth="1"/>
    <col min="3847" max="3851" width="9" style="29"/>
    <col min="3852" max="3852" width="2.125" style="29" customWidth="1"/>
    <col min="3853" max="3861" width="9" style="29"/>
    <col min="3862" max="3862" width="2.25" style="29" customWidth="1"/>
    <col min="3863" max="4096" width="9" style="29"/>
    <col min="4097" max="4097" width="2.5" style="29" customWidth="1"/>
    <col min="4098" max="4098" width="10.5" style="29" bestFit="1" customWidth="1"/>
    <col min="4099" max="4099" width="9" style="29"/>
    <col min="4100" max="4100" width="5" style="29" customWidth="1"/>
    <col min="4101" max="4101" width="9" style="29"/>
    <col min="4102" max="4102" width="9.75" style="29" bestFit="1" customWidth="1"/>
    <col min="4103" max="4107" width="9" style="29"/>
    <col min="4108" max="4108" width="2.125" style="29" customWidth="1"/>
    <col min="4109" max="4117" width="9" style="29"/>
    <col min="4118" max="4118" width="2.25" style="29" customWidth="1"/>
    <col min="4119" max="4352" width="9" style="29"/>
    <col min="4353" max="4353" width="2.5" style="29" customWidth="1"/>
    <col min="4354" max="4354" width="10.5" style="29" bestFit="1" customWidth="1"/>
    <col min="4355" max="4355" width="9" style="29"/>
    <col min="4356" max="4356" width="5" style="29" customWidth="1"/>
    <col min="4357" max="4357" width="9" style="29"/>
    <col min="4358" max="4358" width="9.75" style="29" bestFit="1" customWidth="1"/>
    <col min="4359" max="4363" width="9" style="29"/>
    <col min="4364" max="4364" width="2.125" style="29" customWidth="1"/>
    <col min="4365" max="4373" width="9" style="29"/>
    <col min="4374" max="4374" width="2.25" style="29" customWidth="1"/>
    <col min="4375" max="4608" width="9" style="29"/>
    <col min="4609" max="4609" width="2.5" style="29" customWidth="1"/>
    <col min="4610" max="4610" width="10.5" style="29" bestFit="1" customWidth="1"/>
    <col min="4611" max="4611" width="9" style="29"/>
    <col min="4612" max="4612" width="5" style="29" customWidth="1"/>
    <col min="4613" max="4613" width="9" style="29"/>
    <col min="4614" max="4614" width="9.75" style="29" bestFit="1" customWidth="1"/>
    <col min="4615" max="4619" width="9" style="29"/>
    <col min="4620" max="4620" width="2.125" style="29" customWidth="1"/>
    <col min="4621" max="4629" width="9" style="29"/>
    <col min="4630" max="4630" width="2.25" style="29" customWidth="1"/>
    <col min="4631" max="4864" width="9" style="29"/>
    <col min="4865" max="4865" width="2.5" style="29" customWidth="1"/>
    <col min="4866" max="4866" width="10.5" style="29" bestFit="1" customWidth="1"/>
    <col min="4867" max="4867" width="9" style="29"/>
    <col min="4868" max="4868" width="5" style="29" customWidth="1"/>
    <col min="4869" max="4869" width="9" style="29"/>
    <col min="4870" max="4870" width="9.75" style="29" bestFit="1" customWidth="1"/>
    <col min="4871" max="4875" width="9" style="29"/>
    <col min="4876" max="4876" width="2.125" style="29" customWidth="1"/>
    <col min="4877" max="4885" width="9" style="29"/>
    <col min="4886" max="4886" width="2.25" style="29" customWidth="1"/>
    <col min="4887" max="5120" width="9" style="29"/>
    <col min="5121" max="5121" width="2.5" style="29" customWidth="1"/>
    <col min="5122" max="5122" width="10.5" style="29" bestFit="1" customWidth="1"/>
    <col min="5123" max="5123" width="9" style="29"/>
    <col min="5124" max="5124" width="5" style="29" customWidth="1"/>
    <col min="5125" max="5125" width="9" style="29"/>
    <col min="5126" max="5126" width="9.75" style="29" bestFit="1" customWidth="1"/>
    <col min="5127" max="5131" width="9" style="29"/>
    <col min="5132" max="5132" width="2.125" style="29" customWidth="1"/>
    <col min="5133" max="5141" width="9" style="29"/>
    <col min="5142" max="5142" width="2.25" style="29" customWidth="1"/>
    <col min="5143" max="5376" width="9" style="29"/>
    <col min="5377" max="5377" width="2.5" style="29" customWidth="1"/>
    <col min="5378" max="5378" width="10.5" style="29" bestFit="1" customWidth="1"/>
    <col min="5379" max="5379" width="9" style="29"/>
    <col min="5380" max="5380" width="5" style="29" customWidth="1"/>
    <col min="5381" max="5381" width="9" style="29"/>
    <col min="5382" max="5382" width="9.75" style="29" bestFit="1" customWidth="1"/>
    <col min="5383" max="5387" width="9" style="29"/>
    <col min="5388" max="5388" width="2.125" style="29" customWidth="1"/>
    <col min="5389" max="5397" width="9" style="29"/>
    <col min="5398" max="5398" width="2.25" style="29" customWidth="1"/>
    <col min="5399" max="5632" width="9" style="29"/>
    <col min="5633" max="5633" width="2.5" style="29" customWidth="1"/>
    <col min="5634" max="5634" width="10.5" style="29" bestFit="1" customWidth="1"/>
    <col min="5635" max="5635" width="9" style="29"/>
    <col min="5636" max="5636" width="5" style="29" customWidth="1"/>
    <col min="5637" max="5637" width="9" style="29"/>
    <col min="5638" max="5638" width="9.75" style="29" bestFit="1" customWidth="1"/>
    <col min="5639" max="5643" width="9" style="29"/>
    <col min="5644" max="5644" width="2.125" style="29" customWidth="1"/>
    <col min="5645" max="5653" width="9" style="29"/>
    <col min="5654" max="5654" width="2.25" style="29" customWidth="1"/>
    <col min="5655" max="5888" width="9" style="29"/>
    <col min="5889" max="5889" width="2.5" style="29" customWidth="1"/>
    <col min="5890" max="5890" width="10.5" style="29" bestFit="1" customWidth="1"/>
    <col min="5891" max="5891" width="9" style="29"/>
    <col min="5892" max="5892" width="5" style="29" customWidth="1"/>
    <col min="5893" max="5893" width="9" style="29"/>
    <col min="5894" max="5894" width="9.75" style="29" bestFit="1" customWidth="1"/>
    <col min="5895" max="5899" width="9" style="29"/>
    <col min="5900" max="5900" width="2.125" style="29" customWidth="1"/>
    <col min="5901" max="5909" width="9" style="29"/>
    <col min="5910" max="5910" width="2.25" style="29" customWidth="1"/>
    <col min="5911" max="6144" width="9" style="29"/>
    <col min="6145" max="6145" width="2.5" style="29" customWidth="1"/>
    <col min="6146" max="6146" width="10.5" style="29" bestFit="1" customWidth="1"/>
    <col min="6147" max="6147" width="9" style="29"/>
    <col min="6148" max="6148" width="5" style="29" customWidth="1"/>
    <col min="6149" max="6149" width="9" style="29"/>
    <col min="6150" max="6150" width="9.75" style="29" bestFit="1" customWidth="1"/>
    <col min="6151" max="6155" width="9" style="29"/>
    <col min="6156" max="6156" width="2.125" style="29" customWidth="1"/>
    <col min="6157" max="6165" width="9" style="29"/>
    <col min="6166" max="6166" width="2.25" style="29" customWidth="1"/>
    <col min="6167" max="6400" width="9" style="29"/>
    <col min="6401" max="6401" width="2.5" style="29" customWidth="1"/>
    <col min="6402" max="6402" width="10.5" style="29" bestFit="1" customWidth="1"/>
    <col min="6403" max="6403" width="9" style="29"/>
    <col min="6404" max="6404" width="5" style="29" customWidth="1"/>
    <col min="6405" max="6405" width="9" style="29"/>
    <col min="6406" max="6406" width="9.75" style="29" bestFit="1" customWidth="1"/>
    <col min="6407" max="6411" width="9" style="29"/>
    <col min="6412" max="6412" width="2.125" style="29" customWidth="1"/>
    <col min="6413" max="6421" width="9" style="29"/>
    <col min="6422" max="6422" width="2.25" style="29" customWidth="1"/>
    <col min="6423" max="6656" width="9" style="29"/>
    <col min="6657" max="6657" width="2.5" style="29" customWidth="1"/>
    <col min="6658" max="6658" width="10.5" style="29" bestFit="1" customWidth="1"/>
    <col min="6659" max="6659" width="9" style="29"/>
    <col min="6660" max="6660" width="5" style="29" customWidth="1"/>
    <col min="6661" max="6661" width="9" style="29"/>
    <col min="6662" max="6662" width="9.75" style="29" bestFit="1" customWidth="1"/>
    <col min="6663" max="6667" width="9" style="29"/>
    <col min="6668" max="6668" width="2.125" style="29" customWidth="1"/>
    <col min="6669" max="6677" width="9" style="29"/>
    <col min="6678" max="6678" width="2.25" style="29" customWidth="1"/>
    <col min="6679" max="6912" width="9" style="29"/>
    <col min="6913" max="6913" width="2.5" style="29" customWidth="1"/>
    <col min="6914" max="6914" width="10.5" style="29" bestFit="1" customWidth="1"/>
    <col min="6915" max="6915" width="9" style="29"/>
    <col min="6916" max="6916" width="5" style="29" customWidth="1"/>
    <col min="6917" max="6917" width="9" style="29"/>
    <col min="6918" max="6918" width="9.75" style="29" bestFit="1" customWidth="1"/>
    <col min="6919" max="6923" width="9" style="29"/>
    <col min="6924" max="6924" width="2.125" style="29" customWidth="1"/>
    <col min="6925" max="6933" width="9" style="29"/>
    <col min="6934" max="6934" width="2.25" style="29" customWidth="1"/>
    <col min="6935" max="7168" width="9" style="29"/>
    <col min="7169" max="7169" width="2.5" style="29" customWidth="1"/>
    <col min="7170" max="7170" width="10.5" style="29" bestFit="1" customWidth="1"/>
    <col min="7171" max="7171" width="9" style="29"/>
    <col min="7172" max="7172" width="5" style="29" customWidth="1"/>
    <col min="7173" max="7173" width="9" style="29"/>
    <col min="7174" max="7174" width="9.75" style="29" bestFit="1" customWidth="1"/>
    <col min="7175" max="7179" width="9" style="29"/>
    <col min="7180" max="7180" width="2.125" style="29" customWidth="1"/>
    <col min="7181" max="7189" width="9" style="29"/>
    <col min="7190" max="7190" width="2.25" style="29" customWidth="1"/>
    <col min="7191" max="7424" width="9" style="29"/>
    <col min="7425" max="7425" width="2.5" style="29" customWidth="1"/>
    <col min="7426" max="7426" width="10.5" style="29" bestFit="1" customWidth="1"/>
    <col min="7427" max="7427" width="9" style="29"/>
    <col min="7428" max="7428" width="5" style="29" customWidth="1"/>
    <col min="7429" max="7429" width="9" style="29"/>
    <col min="7430" max="7430" width="9.75" style="29" bestFit="1" customWidth="1"/>
    <col min="7431" max="7435" width="9" style="29"/>
    <col min="7436" max="7436" width="2.125" style="29" customWidth="1"/>
    <col min="7437" max="7445" width="9" style="29"/>
    <col min="7446" max="7446" width="2.25" style="29" customWidth="1"/>
    <col min="7447" max="7680" width="9" style="29"/>
    <col min="7681" max="7681" width="2.5" style="29" customWidth="1"/>
    <col min="7682" max="7682" width="10.5" style="29" bestFit="1" customWidth="1"/>
    <col min="7683" max="7683" width="9" style="29"/>
    <col min="7684" max="7684" width="5" style="29" customWidth="1"/>
    <col min="7685" max="7685" width="9" style="29"/>
    <col min="7686" max="7686" width="9.75" style="29" bestFit="1" customWidth="1"/>
    <col min="7687" max="7691" width="9" style="29"/>
    <col min="7692" max="7692" width="2.125" style="29" customWidth="1"/>
    <col min="7693" max="7701" width="9" style="29"/>
    <col min="7702" max="7702" width="2.25" style="29" customWidth="1"/>
    <col min="7703" max="7936" width="9" style="29"/>
    <col min="7937" max="7937" width="2.5" style="29" customWidth="1"/>
    <col min="7938" max="7938" width="10.5" style="29" bestFit="1" customWidth="1"/>
    <col min="7939" max="7939" width="9" style="29"/>
    <col min="7940" max="7940" width="5" style="29" customWidth="1"/>
    <col min="7941" max="7941" width="9" style="29"/>
    <col min="7942" max="7942" width="9.75" style="29" bestFit="1" customWidth="1"/>
    <col min="7943" max="7947" width="9" style="29"/>
    <col min="7948" max="7948" width="2.125" style="29" customWidth="1"/>
    <col min="7949" max="7957" width="9" style="29"/>
    <col min="7958" max="7958" width="2.25" style="29" customWidth="1"/>
    <col min="7959" max="8192" width="9" style="29"/>
    <col min="8193" max="8193" width="2.5" style="29" customWidth="1"/>
    <col min="8194" max="8194" width="10.5" style="29" bestFit="1" customWidth="1"/>
    <col min="8195" max="8195" width="9" style="29"/>
    <col min="8196" max="8196" width="5" style="29" customWidth="1"/>
    <col min="8197" max="8197" width="9" style="29"/>
    <col min="8198" max="8198" width="9.75" style="29" bestFit="1" customWidth="1"/>
    <col min="8199" max="8203" width="9" style="29"/>
    <col min="8204" max="8204" width="2.125" style="29" customWidth="1"/>
    <col min="8205" max="8213" width="9" style="29"/>
    <col min="8214" max="8214" width="2.25" style="29" customWidth="1"/>
    <col min="8215" max="8448" width="9" style="29"/>
    <col min="8449" max="8449" width="2.5" style="29" customWidth="1"/>
    <col min="8450" max="8450" width="10.5" style="29" bestFit="1" customWidth="1"/>
    <col min="8451" max="8451" width="9" style="29"/>
    <col min="8452" max="8452" width="5" style="29" customWidth="1"/>
    <col min="8453" max="8453" width="9" style="29"/>
    <col min="8454" max="8454" width="9.75" style="29" bestFit="1" customWidth="1"/>
    <col min="8455" max="8459" width="9" style="29"/>
    <col min="8460" max="8460" width="2.125" style="29" customWidth="1"/>
    <col min="8461" max="8469" width="9" style="29"/>
    <col min="8470" max="8470" width="2.25" style="29" customWidth="1"/>
    <col min="8471" max="8704" width="9" style="29"/>
    <col min="8705" max="8705" width="2.5" style="29" customWidth="1"/>
    <col min="8706" max="8706" width="10.5" style="29" bestFit="1" customWidth="1"/>
    <col min="8707" max="8707" width="9" style="29"/>
    <col min="8708" max="8708" width="5" style="29" customWidth="1"/>
    <col min="8709" max="8709" width="9" style="29"/>
    <col min="8710" max="8710" width="9.75" style="29" bestFit="1" customWidth="1"/>
    <col min="8711" max="8715" width="9" style="29"/>
    <col min="8716" max="8716" width="2.125" style="29" customWidth="1"/>
    <col min="8717" max="8725" width="9" style="29"/>
    <col min="8726" max="8726" width="2.25" style="29" customWidth="1"/>
    <col min="8727" max="8960" width="9" style="29"/>
    <col min="8961" max="8961" width="2.5" style="29" customWidth="1"/>
    <col min="8962" max="8962" width="10.5" style="29" bestFit="1" customWidth="1"/>
    <col min="8963" max="8963" width="9" style="29"/>
    <col min="8964" max="8964" width="5" style="29" customWidth="1"/>
    <col min="8965" max="8965" width="9" style="29"/>
    <col min="8966" max="8966" width="9.75" style="29" bestFit="1" customWidth="1"/>
    <col min="8967" max="8971" width="9" style="29"/>
    <col min="8972" max="8972" width="2.125" style="29" customWidth="1"/>
    <col min="8973" max="8981" width="9" style="29"/>
    <col min="8982" max="8982" width="2.25" style="29" customWidth="1"/>
    <col min="8983" max="9216" width="9" style="29"/>
    <col min="9217" max="9217" width="2.5" style="29" customWidth="1"/>
    <col min="9218" max="9218" width="10.5" style="29" bestFit="1" customWidth="1"/>
    <col min="9219" max="9219" width="9" style="29"/>
    <col min="9220" max="9220" width="5" style="29" customWidth="1"/>
    <col min="9221" max="9221" width="9" style="29"/>
    <col min="9222" max="9222" width="9.75" style="29" bestFit="1" customWidth="1"/>
    <col min="9223" max="9227" width="9" style="29"/>
    <col min="9228" max="9228" width="2.125" style="29" customWidth="1"/>
    <col min="9229" max="9237" width="9" style="29"/>
    <col min="9238" max="9238" width="2.25" style="29" customWidth="1"/>
    <col min="9239" max="9472" width="9" style="29"/>
    <col min="9473" max="9473" width="2.5" style="29" customWidth="1"/>
    <col min="9474" max="9474" width="10.5" style="29" bestFit="1" customWidth="1"/>
    <col min="9475" max="9475" width="9" style="29"/>
    <col min="9476" max="9476" width="5" style="29" customWidth="1"/>
    <col min="9477" max="9477" width="9" style="29"/>
    <col min="9478" max="9478" width="9.75" style="29" bestFit="1" customWidth="1"/>
    <col min="9479" max="9483" width="9" style="29"/>
    <col min="9484" max="9484" width="2.125" style="29" customWidth="1"/>
    <col min="9485" max="9493" width="9" style="29"/>
    <col min="9494" max="9494" width="2.25" style="29" customWidth="1"/>
    <col min="9495" max="9728" width="9" style="29"/>
    <col min="9729" max="9729" width="2.5" style="29" customWidth="1"/>
    <col min="9730" max="9730" width="10.5" style="29" bestFit="1" customWidth="1"/>
    <col min="9731" max="9731" width="9" style="29"/>
    <col min="9732" max="9732" width="5" style="29" customWidth="1"/>
    <col min="9733" max="9733" width="9" style="29"/>
    <col min="9734" max="9734" width="9.75" style="29" bestFit="1" customWidth="1"/>
    <col min="9735" max="9739" width="9" style="29"/>
    <col min="9740" max="9740" width="2.125" style="29" customWidth="1"/>
    <col min="9741" max="9749" width="9" style="29"/>
    <col min="9750" max="9750" width="2.25" style="29" customWidth="1"/>
    <col min="9751" max="9984" width="9" style="29"/>
    <col min="9985" max="9985" width="2.5" style="29" customWidth="1"/>
    <col min="9986" max="9986" width="10.5" style="29" bestFit="1" customWidth="1"/>
    <col min="9987" max="9987" width="9" style="29"/>
    <col min="9988" max="9988" width="5" style="29" customWidth="1"/>
    <col min="9989" max="9989" width="9" style="29"/>
    <col min="9990" max="9990" width="9.75" style="29" bestFit="1" customWidth="1"/>
    <col min="9991" max="9995" width="9" style="29"/>
    <col min="9996" max="9996" width="2.125" style="29" customWidth="1"/>
    <col min="9997" max="10005" width="9" style="29"/>
    <col min="10006" max="10006" width="2.25" style="29" customWidth="1"/>
    <col min="10007" max="10240" width="9" style="29"/>
    <col min="10241" max="10241" width="2.5" style="29" customWidth="1"/>
    <col min="10242" max="10242" width="10.5" style="29" bestFit="1" customWidth="1"/>
    <col min="10243" max="10243" width="9" style="29"/>
    <col min="10244" max="10244" width="5" style="29" customWidth="1"/>
    <col min="10245" max="10245" width="9" style="29"/>
    <col min="10246" max="10246" width="9.75" style="29" bestFit="1" customWidth="1"/>
    <col min="10247" max="10251" width="9" style="29"/>
    <col min="10252" max="10252" width="2.125" style="29" customWidth="1"/>
    <col min="10253" max="10261" width="9" style="29"/>
    <col min="10262" max="10262" width="2.25" style="29" customWidth="1"/>
    <col min="10263" max="10496" width="9" style="29"/>
    <col min="10497" max="10497" width="2.5" style="29" customWidth="1"/>
    <col min="10498" max="10498" width="10.5" style="29" bestFit="1" customWidth="1"/>
    <col min="10499" max="10499" width="9" style="29"/>
    <col min="10500" max="10500" width="5" style="29" customWidth="1"/>
    <col min="10501" max="10501" width="9" style="29"/>
    <col min="10502" max="10502" width="9.75" style="29" bestFit="1" customWidth="1"/>
    <col min="10503" max="10507" width="9" style="29"/>
    <col min="10508" max="10508" width="2.125" style="29" customWidth="1"/>
    <col min="10509" max="10517" width="9" style="29"/>
    <col min="10518" max="10518" width="2.25" style="29" customWidth="1"/>
    <col min="10519" max="10752" width="9" style="29"/>
    <col min="10753" max="10753" width="2.5" style="29" customWidth="1"/>
    <col min="10754" max="10754" width="10.5" style="29" bestFit="1" customWidth="1"/>
    <col min="10755" max="10755" width="9" style="29"/>
    <col min="10756" max="10756" width="5" style="29" customWidth="1"/>
    <col min="10757" max="10757" width="9" style="29"/>
    <col min="10758" max="10758" width="9.75" style="29" bestFit="1" customWidth="1"/>
    <col min="10759" max="10763" width="9" style="29"/>
    <col min="10764" max="10764" width="2.125" style="29" customWidth="1"/>
    <col min="10765" max="10773" width="9" style="29"/>
    <col min="10774" max="10774" width="2.25" style="29" customWidth="1"/>
    <col min="10775" max="11008" width="9" style="29"/>
    <col min="11009" max="11009" width="2.5" style="29" customWidth="1"/>
    <col min="11010" max="11010" width="10.5" style="29" bestFit="1" customWidth="1"/>
    <col min="11011" max="11011" width="9" style="29"/>
    <col min="11012" max="11012" width="5" style="29" customWidth="1"/>
    <col min="11013" max="11013" width="9" style="29"/>
    <col min="11014" max="11014" width="9.75" style="29" bestFit="1" customWidth="1"/>
    <col min="11015" max="11019" width="9" style="29"/>
    <col min="11020" max="11020" width="2.125" style="29" customWidth="1"/>
    <col min="11021" max="11029" width="9" style="29"/>
    <col min="11030" max="11030" width="2.25" style="29" customWidth="1"/>
    <col min="11031" max="11264" width="9" style="29"/>
    <col min="11265" max="11265" width="2.5" style="29" customWidth="1"/>
    <col min="11266" max="11266" width="10.5" style="29" bestFit="1" customWidth="1"/>
    <col min="11267" max="11267" width="9" style="29"/>
    <col min="11268" max="11268" width="5" style="29" customWidth="1"/>
    <col min="11269" max="11269" width="9" style="29"/>
    <col min="11270" max="11270" width="9.75" style="29" bestFit="1" customWidth="1"/>
    <col min="11271" max="11275" width="9" style="29"/>
    <col min="11276" max="11276" width="2.125" style="29" customWidth="1"/>
    <col min="11277" max="11285" width="9" style="29"/>
    <col min="11286" max="11286" width="2.25" style="29" customWidth="1"/>
    <col min="11287" max="11520" width="9" style="29"/>
    <col min="11521" max="11521" width="2.5" style="29" customWidth="1"/>
    <col min="11522" max="11522" width="10.5" style="29" bestFit="1" customWidth="1"/>
    <col min="11523" max="11523" width="9" style="29"/>
    <col min="11524" max="11524" width="5" style="29" customWidth="1"/>
    <col min="11525" max="11525" width="9" style="29"/>
    <col min="11526" max="11526" width="9.75" style="29" bestFit="1" customWidth="1"/>
    <col min="11527" max="11531" width="9" style="29"/>
    <col min="11532" max="11532" width="2.125" style="29" customWidth="1"/>
    <col min="11533" max="11541" width="9" style="29"/>
    <col min="11542" max="11542" width="2.25" style="29" customWidth="1"/>
    <col min="11543" max="11776" width="9" style="29"/>
    <col min="11777" max="11777" width="2.5" style="29" customWidth="1"/>
    <col min="11778" max="11778" width="10.5" style="29" bestFit="1" customWidth="1"/>
    <col min="11779" max="11779" width="9" style="29"/>
    <col min="11780" max="11780" width="5" style="29" customWidth="1"/>
    <col min="11781" max="11781" width="9" style="29"/>
    <col min="11782" max="11782" width="9.75" style="29" bestFit="1" customWidth="1"/>
    <col min="11783" max="11787" width="9" style="29"/>
    <col min="11788" max="11788" width="2.125" style="29" customWidth="1"/>
    <col min="11789" max="11797" width="9" style="29"/>
    <col min="11798" max="11798" width="2.25" style="29" customWidth="1"/>
    <col min="11799" max="12032" width="9" style="29"/>
    <col min="12033" max="12033" width="2.5" style="29" customWidth="1"/>
    <col min="12034" max="12034" width="10.5" style="29" bestFit="1" customWidth="1"/>
    <col min="12035" max="12035" width="9" style="29"/>
    <col min="12036" max="12036" width="5" style="29" customWidth="1"/>
    <col min="12037" max="12037" width="9" style="29"/>
    <col min="12038" max="12038" width="9.75" style="29" bestFit="1" customWidth="1"/>
    <col min="12039" max="12043" width="9" style="29"/>
    <col min="12044" max="12044" width="2.125" style="29" customWidth="1"/>
    <col min="12045" max="12053" width="9" style="29"/>
    <col min="12054" max="12054" width="2.25" style="29" customWidth="1"/>
    <col min="12055" max="12288" width="9" style="29"/>
    <col min="12289" max="12289" width="2.5" style="29" customWidth="1"/>
    <col min="12290" max="12290" width="10.5" style="29" bestFit="1" customWidth="1"/>
    <col min="12291" max="12291" width="9" style="29"/>
    <col min="12292" max="12292" width="5" style="29" customWidth="1"/>
    <col min="12293" max="12293" width="9" style="29"/>
    <col min="12294" max="12294" width="9.75" style="29" bestFit="1" customWidth="1"/>
    <col min="12295" max="12299" width="9" style="29"/>
    <col min="12300" max="12300" width="2.125" style="29" customWidth="1"/>
    <col min="12301" max="12309" width="9" style="29"/>
    <col min="12310" max="12310" width="2.25" style="29" customWidth="1"/>
    <col min="12311" max="12544" width="9" style="29"/>
    <col min="12545" max="12545" width="2.5" style="29" customWidth="1"/>
    <col min="12546" max="12546" width="10.5" style="29" bestFit="1" customWidth="1"/>
    <col min="12547" max="12547" width="9" style="29"/>
    <col min="12548" max="12548" width="5" style="29" customWidth="1"/>
    <col min="12549" max="12549" width="9" style="29"/>
    <col min="12550" max="12550" width="9.75" style="29" bestFit="1" customWidth="1"/>
    <col min="12551" max="12555" width="9" style="29"/>
    <col min="12556" max="12556" width="2.125" style="29" customWidth="1"/>
    <col min="12557" max="12565" width="9" style="29"/>
    <col min="12566" max="12566" width="2.25" style="29" customWidth="1"/>
    <col min="12567" max="12800" width="9" style="29"/>
    <col min="12801" max="12801" width="2.5" style="29" customWidth="1"/>
    <col min="12802" max="12802" width="10.5" style="29" bestFit="1" customWidth="1"/>
    <col min="12803" max="12803" width="9" style="29"/>
    <col min="12804" max="12804" width="5" style="29" customWidth="1"/>
    <col min="12805" max="12805" width="9" style="29"/>
    <col min="12806" max="12806" width="9.75" style="29" bestFit="1" customWidth="1"/>
    <col min="12807" max="12811" width="9" style="29"/>
    <col min="12812" max="12812" width="2.125" style="29" customWidth="1"/>
    <col min="12813" max="12821" width="9" style="29"/>
    <col min="12822" max="12822" width="2.25" style="29" customWidth="1"/>
    <col min="12823" max="13056" width="9" style="29"/>
    <col min="13057" max="13057" width="2.5" style="29" customWidth="1"/>
    <col min="13058" max="13058" width="10.5" style="29" bestFit="1" customWidth="1"/>
    <col min="13059" max="13059" width="9" style="29"/>
    <col min="13060" max="13060" width="5" style="29" customWidth="1"/>
    <col min="13061" max="13061" width="9" style="29"/>
    <col min="13062" max="13062" width="9.75" style="29" bestFit="1" customWidth="1"/>
    <col min="13063" max="13067" width="9" style="29"/>
    <col min="13068" max="13068" width="2.125" style="29" customWidth="1"/>
    <col min="13069" max="13077" width="9" style="29"/>
    <col min="13078" max="13078" width="2.25" style="29" customWidth="1"/>
    <col min="13079" max="13312" width="9" style="29"/>
    <col min="13313" max="13313" width="2.5" style="29" customWidth="1"/>
    <col min="13314" max="13314" width="10.5" style="29" bestFit="1" customWidth="1"/>
    <col min="13315" max="13315" width="9" style="29"/>
    <col min="13316" max="13316" width="5" style="29" customWidth="1"/>
    <col min="13317" max="13317" width="9" style="29"/>
    <col min="13318" max="13318" width="9.75" style="29" bestFit="1" customWidth="1"/>
    <col min="13319" max="13323" width="9" style="29"/>
    <col min="13324" max="13324" width="2.125" style="29" customWidth="1"/>
    <col min="13325" max="13333" width="9" style="29"/>
    <col min="13334" max="13334" width="2.25" style="29" customWidth="1"/>
    <col min="13335" max="13568" width="9" style="29"/>
    <col min="13569" max="13569" width="2.5" style="29" customWidth="1"/>
    <col min="13570" max="13570" width="10.5" style="29" bestFit="1" customWidth="1"/>
    <col min="13571" max="13571" width="9" style="29"/>
    <col min="13572" max="13572" width="5" style="29" customWidth="1"/>
    <col min="13573" max="13573" width="9" style="29"/>
    <col min="13574" max="13574" width="9.75" style="29" bestFit="1" customWidth="1"/>
    <col min="13575" max="13579" width="9" style="29"/>
    <col min="13580" max="13580" width="2.125" style="29" customWidth="1"/>
    <col min="13581" max="13589" width="9" style="29"/>
    <col min="13590" max="13590" width="2.25" style="29" customWidth="1"/>
    <col min="13591" max="13824" width="9" style="29"/>
    <col min="13825" max="13825" width="2.5" style="29" customWidth="1"/>
    <col min="13826" max="13826" width="10.5" style="29" bestFit="1" customWidth="1"/>
    <col min="13827" max="13827" width="9" style="29"/>
    <col min="13828" max="13828" width="5" style="29" customWidth="1"/>
    <col min="13829" max="13829" width="9" style="29"/>
    <col min="13830" max="13830" width="9.75" style="29" bestFit="1" customWidth="1"/>
    <col min="13831" max="13835" width="9" style="29"/>
    <col min="13836" max="13836" width="2.125" style="29" customWidth="1"/>
    <col min="13837" max="13845" width="9" style="29"/>
    <col min="13846" max="13846" width="2.25" style="29" customWidth="1"/>
    <col min="13847" max="14080" width="9" style="29"/>
    <col min="14081" max="14081" width="2.5" style="29" customWidth="1"/>
    <col min="14082" max="14082" width="10.5" style="29" bestFit="1" customWidth="1"/>
    <col min="14083" max="14083" width="9" style="29"/>
    <col min="14084" max="14084" width="5" style="29" customWidth="1"/>
    <col min="14085" max="14085" width="9" style="29"/>
    <col min="14086" max="14086" width="9.75" style="29" bestFit="1" customWidth="1"/>
    <col min="14087" max="14091" width="9" style="29"/>
    <col min="14092" max="14092" width="2.125" style="29" customWidth="1"/>
    <col min="14093" max="14101" width="9" style="29"/>
    <col min="14102" max="14102" width="2.25" style="29" customWidth="1"/>
    <col min="14103" max="14336" width="9" style="29"/>
    <col min="14337" max="14337" width="2.5" style="29" customWidth="1"/>
    <col min="14338" max="14338" width="10.5" style="29" bestFit="1" customWidth="1"/>
    <col min="14339" max="14339" width="9" style="29"/>
    <col min="14340" max="14340" width="5" style="29" customWidth="1"/>
    <col min="14341" max="14341" width="9" style="29"/>
    <col min="14342" max="14342" width="9.75" style="29" bestFit="1" customWidth="1"/>
    <col min="14343" max="14347" width="9" style="29"/>
    <col min="14348" max="14348" width="2.125" style="29" customWidth="1"/>
    <col min="14349" max="14357" width="9" style="29"/>
    <col min="14358" max="14358" width="2.25" style="29" customWidth="1"/>
    <col min="14359" max="14592" width="9" style="29"/>
    <col min="14593" max="14593" width="2.5" style="29" customWidth="1"/>
    <col min="14594" max="14594" width="10.5" style="29" bestFit="1" customWidth="1"/>
    <col min="14595" max="14595" width="9" style="29"/>
    <col min="14596" max="14596" width="5" style="29" customWidth="1"/>
    <col min="14597" max="14597" width="9" style="29"/>
    <col min="14598" max="14598" width="9.75" style="29" bestFit="1" customWidth="1"/>
    <col min="14599" max="14603" width="9" style="29"/>
    <col min="14604" max="14604" width="2.125" style="29" customWidth="1"/>
    <col min="14605" max="14613" width="9" style="29"/>
    <col min="14614" max="14614" width="2.25" style="29" customWidth="1"/>
    <col min="14615" max="14848" width="9" style="29"/>
    <col min="14849" max="14849" width="2.5" style="29" customWidth="1"/>
    <col min="14850" max="14850" width="10.5" style="29" bestFit="1" customWidth="1"/>
    <col min="14851" max="14851" width="9" style="29"/>
    <col min="14852" max="14852" width="5" style="29" customWidth="1"/>
    <col min="14853" max="14853" width="9" style="29"/>
    <col min="14854" max="14854" width="9.75" style="29" bestFit="1" customWidth="1"/>
    <col min="14855" max="14859" width="9" style="29"/>
    <col min="14860" max="14860" width="2.125" style="29" customWidth="1"/>
    <col min="14861" max="14869" width="9" style="29"/>
    <col min="14870" max="14870" width="2.25" style="29" customWidth="1"/>
    <col min="14871" max="15104" width="9" style="29"/>
    <col min="15105" max="15105" width="2.5" style="29" customWidth="1"/>
    <col min="15106" max="15106" width="10.5" style="29" bestFit="1" customWidth="1"/>
    <col min="15107" max="15107" width="9" style="29"/>
    <col min="15108" max="15108" width="5" style="29" customWidth="1"/>
    <col min="15109" max="15109" width="9" style="29"/>
    <col min="15110" max="15110" width="9.75" style="29" bestFit="1" customWidth="1"/>
    <col min="15111" max="15115" width="9" style="29"/>
    <col min="15116" max="15116" width="2.125" style="29" customWidth="1"/>
    <col min="15117" max="15125" width="9" style="29"/>
    <col min="15126" max="15126" width="2.25" style="29" customWidth="1"/>
    <col min="15127" max="15360" width="9" style="29"/>
    <col min="15361" max="15361" width="2.5" style="29" customWidth="1"/>
    <col min="15362" max="15362" width="10.5" style="29" bestFit="1" customWidth="1"/>
    <col min="15363" max="15363" width="9" style="29"/>
    <col min="15364" max="15364" width="5" style="29" customWidth="1"/>
    <col min="15365" max="15365" width="9" style="29"/>
    <col min="15366" max="15366" width="9.75" style="29" bestFit="1" customWidth="1"/>
    <col min="15367" max="15371" width="9" style="29"/>
    <col min="15372" max="15372" width="2.125" style="29" customWidth="1"/>
    <col min="15373" max="15381" width="9" style="29"/>
    <col min="15382" max="15382" width="2.25" style="29" customWidth="1"/>
    <col min="15383" max="15616" width="9" style="29"/>
    <col min="15617" max="15617" width="2.5" style="29" customWidth="1"/>
    <col min="15618" max="15618" width="10.5" style="29" bestFit="1" customWidth="1"/>
    <col min="15619" max="15619" width="9" style="29"/>
    <col min="15620" max="15620" width="5" style="29" customWidth="1"/>
    <col min="15621" max="15621" width="9" style="29"/>
    <col min="15622" max="15622" width="9.75" style="29" bestFit="1" customWidth="1"/>
    <col min="15623" max="15627" width="9" style="29"/>
    <col min="15628" max="15628" width="2.125" style="29" customWidth="1"/>
    <col min="15629" max="15637" width="9" style="29"/>
    <col min="15638" max="15638" width="2.25" style="29" customWidth="1"/>
    <col min="15639" max="15872" width="9" style="29"/>
    <col min="15873" max="15873" width="2.5" style="29" customWidth="1"/>
    <col min="15874" max="15874" width="10.5" style="29" bestFit="1" customWidth="1"/>
    <col min="15875" max="15875" width="9" style="29"/>
    <col min="15876" max="15876" width="5" style="29" customWidth="1"/>
    <col min="15877" max="15877" width="9" style="29"/>
    <col min="15878" max="15878" width="9.75" style="29" bestFit="1" customWidth="1"/>
    <col min="15879" max="15883" width="9" style="29"/>
    <col min="15884" max="15884" width="2.125" style="29" customWidth="1"/>
    <col min="15885" max="15893" width="9" style="29"/>
    <col min="15894" max="15894" width="2.25" style="29" customWidth="1"/>
    <col min="15895" max="16128" width="9" style="29"/>
    <col min="16129" max="16129" width="2.5" style="29" customWidth="1"/>
    <col min="16130" max="16130" width="10.5" style="29" bestFit="1" customWidth="1"/>
    <col min="16131" max="16131" width="9" style="29"/>
    <col min="16132" max="16132" width="5" style="29" customWidth="1"/>
    <col min="16133" max="16133" width="9" style="29"/>
    <col min="16134" max="16134" width="9.75" style="29" bestFit="1" customWidth="1"/>
    <col min="16135" max="16139" width="9" style="29"/>
    <col min="16140" max="16140" width="2.125" style="29" customWidth="1"/>
    <col min="16141" max="16149" width="9" style="29"/>
    <col min="16150" max="16150" width="2.25" style="29" customWidth="1"/>
    <col min="16151" max="16384" width="9" style="29"/>
  </cols>
  <sheetData>
    <row r="1" spans="1:25" x14ac:dyDescent="0.15">
      <c r="B1" s="31"/>
      <c r="C1" s="31"/>
      <c r="E1" s="31"/>
      <c r="F1" s="31"/>
      <c r="G1" s="31"/>
      <c r="H1" s="31"/>
      <c r="I1" s="31"/>
      <c r="J1" s="31"/>
    </row>
    <row r="2" spans="1:25" x14ac:dyDescent="0.15">
      <c r="B2" s="31" t="s">
        <v>87</v>
      </c>
      <c r="C2" s="31"/>
      <c r="E2" s="31"/>
      <c r="F2" s="31"/>
      <c r="G2" s="31"/>
      <c r="H2" s="31"/>
      <c r="I2" s="31"/>
      <c r="J2" s="31"/>
    </row>
    <row r="3" spans="1:25" x14ac:dyDescent="0.15">
      <c r="B3" s="31"/>
      <c r="C3" s="31"/>
      <c r="E3" s="31"/>
      <c r="F3" s="31"/>
      <c r="G3" s="31"/>
      <c r="H3" s="31"/>
      <c r="I3" s="31"/>
      <c r="J3" s="31"/>
      <c r="M3" s="30" t="s">
        <v>29</v>
      </c>
      <c r="O3" s="29" t="s">
        <v>30</v>
      </c>
      <c r="W3" s="30" t="s">
        <v>29</v>
      </c>
      <c r="Y3" s="29" t="s">
        <v>31</v>
      </c>
    </row>
    <row r="4" spans="1:25" x14ac:dyDescent="0.15">
      <c r="B4" s="31"/>
      <c r="C4" s="31"/>
      <c r="E4" s="31"/>
      <c r="F4" s="31"/>
      <c r="G4" s="31"/>
      <c r="H4" s="31"/>
      <c r="I4" s="31"/>
      <c r="J4" s="31"/>
    </row>
    <row r="5" spans="1:25" x14ac:dyDescent="0.15">
      <c r="B5" s="31" t="s">
        <v>32</v>
      </c>
      <c r="E5" s="31" t="s">
        <v>33</v>
      </c>
      <c r="F5" s="31"/>
    </row>
    <row r="6" spans="1:25" x14ac:dyDescent="0.15">
      <c r="B6" s="31"/>
      <c r="E6" s="31"/>
      <c r="F6" s="31"/>
      <c r="M6" s="30" t="s">
        <v>34</v>
      </c>
      <c r="W6" s="30" t="s">
        <v>35</v>
      </c>
    </row>
    <row r="7" spans="1:25" s="37" customFormat="1" x14ac:dyDescent="0.35">
      <c r="A7" s="29"/>
      <c r="B7" s="34" t="s">
        <v>36</v>
      </c>
      <c r="C7" s="35" t="s">
        <v>37</v>
      </c>
      <c r="D7" s="36"/>
      <c r="E7" s="34" t="s">
        <v>38</v>
      </c>
      <c r="F7" s="34" t="s">
        <v>39</v>
      </c>
      <c r="G7" s="34" t="s">
        <v>40</v>
      </c>
      <c r="H7" s="34" t="s">
        <v>41</v>
      </c>
      <c r="I7" s="34" t="s">
        <v>42</v>
      </c>
      <c r="L7" s="38"/>
      <c r="M7" s="30"/>
      <c r="V7" s="38"/>
      <c r="W7" s="30"/>
    </row>
    <row r="8" spans="1:25" s="37" customFormat="1" x14ac:dyDescent="0.15">
      <c r="A8" s="29"/>
      <c r="B8" s="39" t="s">
        <v>49</v>
      </c>
      <c r="C8" s="50">
        <v>421.80247000000003</v>
      </c>
      <c r="D8" s="51"/>
      <c r="E8" s="52">
        <f>SUM($C$8:C8)</f>
        <v>421.80247000000003</v>
      </c>
      <c r="F8" s="52">
        <f>C8</f>
        <v>421.80247000000003</v>
      </c>
      <c r="G8" s="52">
        <v>0</v>
      </c>
      <c r="H8" s="52">
        <v>0</v>
      </c>
      <c r="I8" s="52">
        <v>0</v>
      </c>
      <c r="J8" s="53"/>
      <c r="L8" s="38"/>
      <c r="M8" s="30"/>
      <c r="V8" s="38"/>
      <c r="W8" s="30"/>
    </row>
    <row r="9" spans="1:25" s="37" customFormat="1" x14ac:dyDescent="0.15">
      <c r="A9" s="29"/>
      <c r="B9" s="43" t="s">
        <v>50</v>
      </c>
      <c r="C9" s="52">
        <v>-182.52810895109999</v>
      </c>
      <c r="D9" s="54"/>
      <c r="E9" s="52">
        <f>SUM($C$8:C9)</f>
        <v>239.27436104890003</v>
      </c>
      <c r="F9" s="52"/>
      <c r="G9" s="52">
        <f>IF(C9&lt;0,E9,E8)</f>
        <v>239.27436104890003</v>
      </c>
      <c r="H9" s="52">
        <f>IF(C9&gt;=0,C9,0)</f>
        <v>0</v>
      </c>
      <c r="I9" s="52">
        <f>IF(C9&gt;=0,0,ABS(C9))</f>
        <v>182.52810895109999</v>
      </c>
      <c r="J9" s="53"/>
      <c r="L9" s="38"/>
      <c r="M9" s="30"/>
      <c r="V9" s="38"/>
      <c r="W9" s="30"/>
    </row>
    <row r="10" spans="1:25" s="37" customFormat="1" x14ac:dyDescent="0.15">
      <c r="A10" s="29"/>
      <c r="B10" s="43" t="s">
        <v>61</v>
      </c>
      <c r="C10" s="52">
        <v>-87.250091358700004</v>
      </c>
      <c r="D10" s="54"/>
      <c r="E10" s="52">
        <f>SUM($C$8:C10)</f>
        <v>152.02426969020001</v>
      </c>
      <c r="F10" s="52"/>
      <c r="G10" s="52">
        <f t="shared" ref="G10:G19" si="0">IF(C10&lt;0,E10,E9)</f>
        <v>152.02426969020001</v>
      </c>
      <c r="H10" s="52">
        <f t="shared" ref="H10:H20" si="1">IF(C10&gt;=0,C10,0)</f>
        <v>0</v>
      </c>
      <c r="I10" s="52">
        <f t="shared" ref="I10:I19" si="2">IF(C10&gt;=0,0,ABS(C10))</f>
        <v>87.250091358700004</v>
      </c>
      <c r="J10" s="53"/>
      <c r="L10" s="38"/>
      <c r="M10" s="30"/>
      <c r="V10" s="38"/>
      <c r="W10" s="30"/>
    </row>
    <row r="11" spans="1:25" s="37" customFormat="1" x14ac:dyDescent="0.15">
      <c r="A11" s="29"/>
      <c r="B11" s="43" t="s">
        <v>63</v>
      </c>
      <c r="C11" s="52">
        <v>-21.036085</v>
      </c>
      <c r="D11" s="54"/>
      <c r="E11" s="52">
        <f>SUM($C$8:C11)</f>
        <v>130.9881846902</v>
      </c>
      <c r="F11" s="52"/>
      <c r="G11" s="52">
        <f t="shared" si="0"/>
        <v>130.9881846902</v>
      </c>
      <c r="H11" s="52">
        <f t="shared" si="1"/>
        <v>0</v>
      </c>
      <c r="I11" s="52">
        <f t="shared" si="2"/>
        <v>21.036085</v>
      </c>
      <c r="J11" s="53"/>
      <c r="L11" s="38"/>
      <c r="M11" s="30"/>
      <c r="V11" s="38"/>
      <c r="W11" s="30"/>
    </row>
    <row r="12" spans="1:25" s="37" customFormat="1" x14ac:dyDescent="0.15">
      <c r="A12" s="29"/>
      <c r="B12" s="43" t="s">
        <v>64</v>
      </c>
      <c r="C12" s="52">
        <v>-12.561418999999997</v>
      </c>
      <c r="D12" s="54"/>
      <c r="E12" s="52">
        <f>SUM($C$8:C12)</f>
        <v>118.4267656902</v>
      </c>
      <c r="F12" s="52"/>
      <c r="G12" s="52">
        <f t="shared" si="0"/>
        <v>118.4267656902</v>
      </c>
      <c r="H12" s="52">
        <f t="shared" si="1"/>
        <v>0</v>
      </c>
      <c r="I12" s="52">
        <f t="shared" si="2"/>
        <v>12.561418999999997</v>
      </c>
      <c r="J12" s="53"/>
      <c r="L12" s="38"/>
      <c r="M12" s="30"/>
      <c r="V12" s="38"/>
      <c r="W12" s="30"/>
    </row>
    <row r="13" spans="1:25" s="37" customFormat="1" x14ac:dyDescent="0.15">
      <c r="A13" s="29"/>
      <c r="B13" s="43" t="s">
        <v>52</v>
      </c>
      <c r="C13" s="52">
        <v>-4.5664859999999994</v>
      </c>
      <c r="D13" s="54"/>
      <c r="E13" s="52">
        <f>SUM($C$8:C13)</f>
        <v>113.8602796902</v>
      </c>
      <c r="F13" s="52"/>
      <c r="G13" s="52">
        <f t="shared" si="0"/>
        <v>113.8602796902</v>
      </c>
      <c r="H13" s="52">
        <f t="shared" ref="H13:H17" si="3">IF(C13&gt;=0,C13,0)</f>
        <v>0</v>
      </c>
      <c r="I13" s="52">
        <f t="shared" ref="I13:I17" si="4">IF(C13&gt;=0,0,ABS(C13))</f>
        <v>4.5664859999999994</v>
      </c>
      <c r="J13" s="53"/>
      <c r="L13" s="38"/>
      <c r="M13" s="30"/>
      <c r="V13" s="38"/>
      <c r="W13" s="30"/>
    </row>
    <row r="14" spans="1:25" s="37" customFormat="1" x14ac:dyDescent="0.15">
      <c r="A14" s="29"/>
      <c r="B14" s="43" t="s">
        <v>53</v>
      </c>
      <c r="C14" s="52">
        <v>-16.4811384295</v>
      </c>
      <c r="D14" s="54"/>
      <c r="E14" s="52">
        <f>SUM($C$8:C14)</f>
        <v>97.37914126070001</v>
      </c>
      <c r="F14" s="52"/>
      <c r="G14" s="52">
        <f t="shared" si="0"/>
        <v>97.37914126070001</v>
      </c>
      <c r="H14" s="52">
        <f t="shared" si="3"/>
        <v>0</v>
      </c>
      <c r="I14" s="52">
        <f t="shared" si="4"/>
        <v>16.4811384295</v>
      </c>
      <c r="J14" s="53"/>
      <c r="L14" s="38"/>
      <c r="M14" s="30"/>
      <c r="V14" s="38"/>
      <c r="W14" s="30"/>
    </row>
    <row r="15" spans="1:25" s="37" customFormat="1" x14ac:dyDescent="0.15">
      <c r="A15" s="29"/>
      <c r="B15" s="43" t="s">
        <v>54</v>
      </c>
      <c r="C15" s="52">
        <v>-8.7346000000000004</v>
      </c>
      <c r="D15" s="54"/>
      <c r="E15" s="52">
        <f>SUM($C$8:C15)</f>
        <v>88.644541260700009</v>
      </c>
      <c r="F15" s="52"/>
      <c r="G15" s="52">
        <f t="shared" si="0"/>
        <v>88.644541260700009</v>
      </c>
      <c r="H15" s="52">
        <f t="shared" si="3"/>
        <v>0</v>
      </c>
      <c r="I15" s="52">
        <f t="shared" si="4"/>
        <v>8.7346000000000004</v>
      </c>
      <c r="J15" s="53"/>
      <c r="L15" s="38"/>
      <c r="M15" s="30"/>
      <c r="V15" s="38"/>
      <c r="W15" s="30"/>
    </row>
    <row r="16" spans="1:25" s="37" customFormat="1" x14ac:dyDescent="0.15">
      <c r="A16" s="29"/>
      <c r="B16" s="43" t="s">
        <v>66</v>
      </c>
      <c r="C16" s="52">
        <v>-13.2057650051</v>
      </c>
      <c r="D16" s="54"/>
      <c r="E16" s="52">
        <f>SUM($C$8:C16)</f>
        <v>75.438776255600004</v>
      </c>
      <c r="F16" s="52"/>
      <c r="G16" s="52">
        <f t="shared" si="0"/>
        <v>75.438776255600004</v>
      </c>
      <c r="H16" s="52">
        <f t="shared" si="3"/>
        <v>0</v>
      </c>
      <c r="I16" s="52">
        <f t="shared" si="4"/>
        <v>13.2057650051</v>
      </c>
      <c r="J16" s="53"/>
      <c r="L16" s="38"/>
      <c r="M16" s="30"/>
      <c r="V16" s="38"/>
      <c r="W16" s="30"/>
    </row>
    <row r="17" spans="1:23" s="37" customFormat="1" x14ac:dyDescent="0.15">
      <c r="A17" s="29"/>
      <c r="B17" s="43" t="s">
        <v>55</v>
      </c>
      <c r="C17" s="52">
        <v>-1.1144946344</v>
      </c>
      <c r="D17" s="54"/>
      <c r="E17" s="52">
        <f>SUM($C$8:C17)</f>
        <v>74.324281621200001</v>
      </c>
      <c r="F17" s="52"/>
      <c r="G17" s="52">
        <f>IF(C17&lt;0,E17,E12)</f>
        <v>74.324281621200001</v>
      </c>
      <c r="H17" s="52">
        <f t="shared" si="3"/>
        <v>0</v>
      </c>
      <c r="I17" s="52">
        <f t="shared" si="4"/>
        <v>1.1144946344</v>
      </c>
      <c r="J17" s="53"/>
      <c r="L17" s="38"/>
      <c r="M17" s="30"/>
      <c r="V17" s="38"/>
      <c r="W17" s="30"/>
    </row>
    <row r="18" spans="1:23" s="37" customFormat="1" x14ac:dyDescent="0.15">
      <c r="A18" s="29"/>
      <c r="B18" s="43" t="s">
        <v>56</v>
      </c>
      <c r="C18" s="52">
        <v>-9.0147929999999992</v>
      </c>
      <c r="D18" s="54"/>
      <c r="E18" s="52">
        <f>SUM($C$8:C18)</f>
        <v>65.309488621200003</v>
      </c>
      <c r="F18" s="52"/>
      <c r="G18" s="52">
        <f t="shared" si="0"/>
        <v>65.309488621200003</v>
      </c>
      <c r="H18" s="52">
        <f t="shared" si="1"/>
        <v>0</v>
      </c>
      <c r="I18" s="52">
        <f t="shared" si="2"/>
        <v>9.0147929999999992</v>
      </c>
      <c r="J18" s="53"/>
      <c r="L18" s="38"/>
      <c r="M18" s="30"/>
      <c r="V18" s="38"/>
      <c r="W18" s="30"/>
    </row>
    <row r="19" spans="1:23" s="37" customFormat="1" x14ac:dyDescent="0.15">
      <c r="A19" s="29"/>
      <c r="B19" s="43" t="s">
        <v>57</v>
      </c>
      <c r="C19" s="52">
        <v>-20.486354000000002</v>
      </c>
      <c r="D19" s="54"/>
      <c r="E19" s="52">
        <f>SUM($C$8:C19)</f>
        <v>44.823134621199998</v>
      </c>
      <c r="F19" s="52"/>
      <c r="G19" s="52">
        <f t="shared" si="0"/>
        <v>44.823134621199998</v>
      </c>
      <c r="H19" s="52">
        <f t="shared" si="1"/>
        <v>0</v>
      </c>
      <c r="I19" s="52">
        <f t="shared" si="2"/>
        <v>20.486354000000002</v>
      </c>
      <c r="J19" s="53"/>
      <c r="L19" s="38"/>
      <c r="M19" s="30"/>
      <c r="V19" s="38"/>
      <c r="W19" s="30"/>
    </row>
    <row r="20" spans="1:23" s="37" customFormat="1" x14ac:dyDescent="0.15">
      <c r="A20" s="29"/>
      <c r="B20" s="43" t="s">
        <v>58</v>
      </c>
      <c r="C20" s="52">
        <v>-88.038267533999999</v>
      </c>
      <c r="D20" s="54"/>
      <c r="E20" s="52">
        <f>SUM($C$8:C20)</f>
        <v>-43.215132912800001</v>
      </c>
      <c r="F20" s="52"/>
      <c r="G20" s="52">
        <f>IF(C20&lt;0,E20,E19)</f>
        <v>-43.215132912800001</v>
      </c>
      <c r="H20" s="52">
        <f t="shared" si="1"/>
        <v>0</v>
      </c>
      <c r="I20" s="52">
        <f>IF(C20&gt;=0,0,ABS(C20))</f>
        <v>88.038267533999999</v>
      </c>
      <c r="J20" s="53"/>
      <c r="L20" s="38"/>
      <c r="M20" s="30"/>
      <c r="V20" s="38"/>
      <c r="W20" s="30"/>
    </row>
    <row r="21" spans="1:23" s="37" customFormat="1" x14ac:dyDescent="0.2">
      <c r="A21" s="29"/>
      <c r="B21" s="55" t="s">
        <v>59</v>
      </c>
      <c r="C21" s="56">
        <f>SUM(C8:C20)</f>
        <v>-43.215132912800001</v>
      </c>
      <c r="D21" s="57"/>
      <c r="E21" s="58"/>
      <c r="F21" s="58">
        <f>C21</f>
        <v>-43.215132912800001</v>
      </c>
      <c r="G21" s="56"/>
      <c r="H21" s="58"/>
      <c r="I21" s="58"/>
      <c r="L21" s="38"/>
      <c r="M21" s="30"/>
      <c r="V21" s="38"/>
      <c r="W21" s="30"/>
    </row>
    <row r="22" spans="1:23" x14ac:dyDescent="0.35">
      <c r="C22" s="47"/>
      <c r="D22" s="48"/>
      <c r="F22" s="49"/>
    </row>
    <row r="24" spans="1:23" x14ac:dyDescent="0.15">
      <c r="M24" s="30" t="s">
        <v>43</v>
      </c>
      <c r="W24" s="30" t="s">
        <v>44</v>
      </c>
    </row>
    <row r="40" spans="13:23" x14ac:dyDescent="0.15">
      <c r="M40" s="30" t="s">
        <v>45</v>
      </c>
      <c r="W40" s="30" t="s">
        <v>43</v>
      </c>
    </row>
    <row r="56" spans="13:23" x14ac:dyDescent="0.15">
      <c r="M56" s="30" t="s">
        <v>46</v>
      </c>
      <c r="W56" s="30" t="s">
        <v>47</v>
      </c>
    </row>
    <row r="72" spans="13:13" x14ac:dyDescent="0.15">
      <c r="M72" s="30" t="s">
        <v>48</v>
      </c>
    </row>
    <row r="93" spans="13:13" x14ac:dyDescent="0.15">
      <c r="M93" s="30" t="s">
        <v>47</v>
      </c>
    </row>
  </sheetData>
  <phoneticPr fontId="10" type="noConversion"/>
  <conditionalFormatting sqref="D8:D21">
    <cfRule type="cellIs" dxfId="5" priority="1" stopIfTrue="1" operator="greaterThanOrEqual">
      <formula>0</formula>
    </cfRule>
  </conditionalFormatting>
  <pageMargins left="0.75" right="0.75" top="1" bottom="1" header="0.5" footer="0.5"/>
  <pageSetup orientation="portrait" copies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111"/>
  <sheetViews>
    <sheetView showGridLines="0" topLeftCell="A133" workbookViewId="0"/>
  </sheetViews>
  <sheetFormatPr defaultRowHeight="16.5" x14ac:dyDescent="0.15"/>
  <cols>
    <col min="1" max="1" width="2.5" style="29" customWidth="1"/>
    <col min="2" max="2" width="11.75" style="29" customWidth="1"/>
    <col min="3" max="3" width="9" style="29"/>
    <col min="4" max="4" width="5" style="31" customWidth="1"/>
    <col min="5" max="7" width="8.5" style="29" bestFit="1" customWidth="1"/>
    <col min="8" max="9" width="9" style="29"/>
    <col min="10" max="10" width="9" style="30"/>
    <col min="11" max="256" width="9" style="29"/>
    <col min="257" max="257" width="2.5" style="29" customWidth="1"/>
    <col min="258" max="258" width="11.75" style="29" customWidth="1"/>
    <col min="259" max="259" width="9" style="29"/>
    <col min="260" max="260" width="5" style="29" customWidth="1"/>
    <col min="261" max="263" width="8.5" style="29" bestFit="1" customWidth="1"/>
    <col min="264" max="512" width="9" style="29"/>
    <col min="513" max="513" width="2.5" style="29" customWidth="1"/>
    <col min="514" max="514" width="11.75" style="29" customWidth="1"/>
    <col min="515" max="515" width="9" style="29"/>
    <col min="516" max="516" width="5" style="29" customWidth="1"/>
    <col min="517" max="519" width="8.5" style="29" bestFit="1" customWidth="1"/>
    <col min="520" max="768" width="9" style="29"/>
    <col min="769" max="769" width="2.5" style="29" customWidth="1"/>
    <col min="770" max="770" width="11.75" style="29" customWidth="1"/>
    <col min="771" max="771" width="9" style="29"/>
    <col min="772" max="772" width="5" style="29" customWidth="1"/>
    <col min="773" max="775" width="8.5" style="29" bestFit="1" customWidth="1"/>
    <col min="776" max="1024" width="9" style="29"/>
    <col min="1025" max="1025" width="2.5" style="29" customWidth="1"/>
    <col min="1026" max="1026" width="11.75" style="29" customWidth="1"/>
    <col min="1027" max="1027" width="9" style="29"/>
    <col min="1028" max="1028" width="5" style="29" customWidth="1"/>
    <col min="1029" max="1031" width="8.5" style="29" bestFit="1" customWidth="1"/>
    <col min="1032" max="1280" width="9" style="29"/>
    <col min="1281" max="1281" width="2.5" style="29" customWidth="1"/>
    <col min="1282" max="1282" width="11.75" style="29" customWidth="1"/>
    <col min="1283" max="1283" width="9" style="29"/>
    <col min="1284" max="1284" width="5" style="29" customWidth="1"/>
    <col min="1285" max="1287" width="8.5" style="29" bestFit="1" customWidth="1"/>
    <col min="1288" max="1536" width="9" style="29"/>
    <col min="1537" max="1537" width="2.5" style="29" customWidth="1"/>
    <col min="1538" max="1538" width="11.75" style="29" customWidth="1"/>
    <col min="1539" max="1539" width="9" style="29"/>
    <col min="1540" max="1540" width="5" style="29" customWidth="1"/>
    <col min="1541" max="1543" width="8.5" style="29" bestFit="1" customWidth="1"/>
    <col min="1544" max="1792" width="9" style="29"/>
    <col min="1793" max="1793" width="2.5" style="29" customWidth="1"/>
    <col min="1794" max="1794" width="11.75" style="29" customWidth="1"/>
    <col min="1795" max="1795" width="9" style="29"/>
    <col min="1796" max="1796" width="5" style="29" customWidth="1"/>
    <col min="1797" max="1799" width="8.5" style="29" bestFit="1" customWidth="1"/>
    <col min="1800" max="2048" width="9" style="29"/>
    <col min="2049" max="2049" width="2.5" style="29" customWidth="1"/>
    <col min="2050" max="2050" width="11.75" style="29" customWidth="1"/>
    <col min="2051" max="2051" width="9" style="29"/>
    <col min="2052" max="2052" width="5" style="29" customWidth="1"/>
    <col min="2053" max="2055" width="8.5" style="29" bestFit="1" customWidth="1"/>
    <col min="2056" max="2304" width="9" style="29"/>
    <col min="2305" max="2305" width="2.5" style="29" customWidth="1"/>
    <col min="2306" max="2306" width="11.75" style="29" customWidth="1"/>
    <col min="2307" max="2307" width="9" style="29"/>
    <col min="2308" max="2308" width="5" style="29" customWidth="1"/>
    <col min="2309" max="2311" width="8.5" style="29" bestFit="1" customWidth="1"/>
    <col min="2312" max="2560" width="9" style="29"/>
    <col min="2561" max="2561" width="2.5" style="29" customWidth="1"/>
    <col min="2562" max="2562" width="11.75" style="29" customWidth="1"/>
    <col min="2563" max="2563" width="9" style="29"/>
    <col min="2564" max="2564" width="5" style="29" customWidth="1"/>
    <col min="2565" max="2567" width="8.5" style="29" bestFit="1" customWidth="1"/>
    <col min="2568" max="2816" width="9" style="29"/>
    <col min="2817" max="2817" width="2.5" style="29" customWidth="1"/>
    <col min="2818" max="2818" width="11.75" style="29" customWidth="1"/>
    <col min="2819" max="2819" width="9" style="29"/>
    <col min="2820" max="2820" width="5" style="29" customWidth="1"/>
    <col min="2821" max="2823" width="8.5" style="29" bestFit="1" customWidth="1"/>
    <col min="2824" max="3072" width="9" style="29"/>
    <col min="3073" max="3073" width="2.5" style="29" customWidth="1"/>
    <col min="3074" max="3074" width="11.75" style="29" customWidth="1"/>
    <col min="3075" max="3075" width="9" style="29"/>
    <col min="3076" max="3076" width="5" style="29" customWidth="1"/>
    <col min="3077" max="3079" width="8.5" style="29" bestFit="1" customWidth="1"/>
    <col min="3080" max="3328" width="9" style="29"/>
    <col min="3329" max="3329" width="2.5" style="29" customWidth="1"/>
    <col min="3330" max="3330" width="11.75" style="29" customWidth="1"/>
    <col min="3331" max="3331" width="9" style="29"/>
    <col min="3332" max="3332" width="5" style="29" customWidth="1"/>
    <col min="3333" max="3335" width="8.5" style="29" bestFit="1" customWidth="1"/>
    <col min="3336" max="3584" width="9" style="29"/>
    <col min="3585" max="3585" width="2.5" style="29" customWidth="1"/>
    <col min="3586" max="3586" width="11.75" style="29" customWidth="1"/>
    <col min="3587" max="3587" width="9" style="29"/>
    <col min="3588" max="3588" width="5" style="29" customWidth="1"/>
    <col min="3589" max="3591" width="8.5" style="29" bestFit="1" customWidth="1"/>
    <col min="3592" max="3840" width="9" style="29"/>
    <col min="3841" max="3841" width="2.5" style="29" customWidth="1"/>
    <col min="3842" max="3842" width="11.75" style="29" customWidth="1"/>
    <col min="3843" max="3843" width="9" style="29"/>
    <col min="3844" max="3844" width="5" style="29" customWidth="1"/>
    <col min="3845" max="3847" width="8.5" style="29" bestFit="1" customWidth="1"/>
    <col min="3848" max="4096" width="9" style="29"/>
    <col min="4097" max="4097" width="2.5" style="29" customWidth="1"/>
    <col min="4098" max="4098" width="11.75" style="29" customWidth="1"/>
    <col min="4099" max="4099" width="9" style="29"/>
    <col min="4100" max="4100" width="5" style="29" customWidth="1"/>
    <col min="4101" max="4103" width="8.5" style="29" bestFit="1" customWidth="1"/>
    <col min="4104" max="4352" width="9" style="29"/>
    <col min="4353" max="4353" width="2.5" style="29" customWidth="1"/>
    <col min="4354" max="4354" width="11.75" style="29" customWidth="1"/>
    <col min="4355" max="4355" width="9" style="29"/>
    <col min="4356" max="4356" width="5" style="29" customWidth="1"/>
    <col min="4357" max="4359" width="8.5" style="29" bestFit="1" customWidth="1"/>
    <col min="4360" max="4608" width="9" style="29"/>
    <col min="4609" max="4609" width="2.5" style="29" customWidth="1"/>
    <col min="4610" max="4610" width="11.75" style="29" customWidth="1"/>
    <col min="4611" max="4611" width="9" style="29"/>
    <col min="4612" max="4612" width="5" style="29" customWidth="1"/>
    <col min="4613" max="4615" width="8.5" style="29" bestFit="1" customWidth="1"/>
    <col min="4616" max="4864" width="9" style="29"/>
    <col min="4865" max="4865" width="2.5" style="29" customWidth="1"/>
    <col min="4866" max="4866" width="11.75" style="29" customWidth="1"/>
    <col min="4867" max="4867" width="9" style="29"/>
    <col min="4868" max="4868" width="5" style="29" customWidth="1"/>
    <col min="4869" max="4871" width="8.5" style="29" bestFit="1" customWidth="1"/>
    <col min="4872" max="5120" width="9" style="29"/>
    <col min="5121" max="5121" width="2.5" style="29" customWidth="1"/>
    <col min="5122" max="5122" width="11.75" style="29" customWidth="1"/>
    <col min="5123" max="5123" width="9" style="29"/>
    <col min="5124" max="5124" width="5" style="29" customWidth="1"/>
    <col min="5125" max="5127" width="8.5" style="29" bestFit="1" customWidth="1"/>
    <col min="5128" max="5376" width="9" style="29"/>
    <col min="5377" max="5377" width="2.5" style="29" customWidth="1"/>
    <col min="5378" max="5378" width="11.75" style="29" customWidth="1"/>
    <col min="5379" max="5379" width="9" style="29"/>
    <col min="5380" max="5380" width="5" style="29" customWidth="1"/>
    <col min="5381" max="5383" width="8.5" style="29" bestFit="1" customWidth="1"/>
    <col min="5384" max="5632" width="9" style="29"/>
    <col min="5633" max="5633" width="2.5" style="29" customWidth="1"/>
    <col min="5634" max="5634" width="11.75" style="29" customWidth="1"/>
    <col min="5635" max="5635" width="9" style="29"/>
    <col min="5636" max="5636" width="5" style="29" customWidth="1"/>
    <col min="5637" max="5639" width="8.5" style="29" bestFit="1" customWidth="1"/>
    <col min="5640" max="5888" width="9" style="29"/>
    <col min="5889" max="5889" width="2.5" style="29" customWidth="1"/>
    <col min="5890" max="5890" width="11.75" style="29" customWidth="1"/>
    <col min="5891" max="5891" width="9" style="29"/>
    <col min="5892" max="5892" width="5" style="29" customWidth="1"/>
    <col min="5893" max="5895" width="8.5" style="29" bestFit="1" customWidth="1"/>
    <col min="5896" max="6144" width="9" style="29"/>
    <col min="6145" max="6145" width="2.5" style="29" customWidth="1"/>
    <col min="6146" max="6146" width="11.75" style="29" customWidth="1"/>
    <col min="6147" max="6147" width="9" style="29"/>
    <col min="6148" max="6148" width="5" style="29" customWidth="1"/>
    <col min="6149" max="6151" width="8.5" style="29" bestFit="1" customWidth="1"/>
    <col min="6152" max="6400" width="9" style="29"/>
    <col min="6401" max="6401" width="2.5" style="29" customWidth="1"/>
    <col min="6402" max="6402" width="11.75" style="29" customWidth="1"/>
    <col min="6403" max="6403" width="9" style="29"/>
    <col min="6404" max="6404" width="5" style="29" customWidth="1"/>
    <col min="6405" max="6407" width="8.5" style="29" bestFit="1" customWidth="1"/>
    <col min="6408" max="6656" width="9" style="29"/>
    <col min="6657" max="6657" width="2.5" style="29" customWidth="1"/>
    <col min="6658" max="6658" width="11.75" style="29" customWidth="1"/>
    <col min="6659" max="6659" width="9" style="29"/>
    <col min="6660" max="6660" width="5" style="29" customWidth="1"/>
    <col min="6661" max="6663" width="8.5" style="29" bestFit="1" customWidth="1"/>
    <col min="6664" max="6912" width="9" style="29"/>
    <col min="6913" max="6913" width="2.5" style="29" customWidth="1"/>
    <col min="6914" max="6914" width="11.75" style="29" customWidth="1"/>
    <col min="6915" max="6915" width="9" style="29"/>
    <col min="6916" max="6916" width="5" style="29" customWidth="1"/>
    <col min="6917" max="6919" width="8.5" style="29" bestFit="1" customWidth="1"/>
    <col min="6920" max="7168" width="9" style="29"/>
    <col min="7169" max="7169" width="2.5" style="29" customWidth="1"/>
    <col min="7170" max="7170" width="11.75" style="29" customWidth="1"/>
    <col min="7171" max="7171" width="9" style="29"/>
    <col min="7172" max="7172" width="5" style="29" customWidth="1"/>
    <col min="7173" max="7175" width="8.5" style="29" bestFit="1" customWidth="1"/>
    <col min="7176" max="7424" width="9" style="29"/>
    <col min="7425" max="7425" width="2.5" style="29" customWidth="1"/>
    <col min="7426" max="7426" width="11.75" style="29" customWidth="1"/>
    <col min="7427" max="7427" width="9" style="29"/>
    <col min="7428" max="7428" width="5" style="29" customWidth="1"/>
    <col min="7429" max="7431" width="8.5" style="29" bestFit="1" customWidth="1"/>
    <col min="7432" max="7680" width="9" style="29"/>
    <col min="7681" max="7681" width="2.5" style="29" customWidth="1"/>
    <col min="7682" max="7682" width="11.75" style="29" customWidth="1"/>
    <col min="7683" max="7683" width="9" style="29"/>
    <col min="7684" max="7684" width="5" style="29" customWidth="1"/>
    <col min="7685" max="7687" width="8.5" style="29" bestFit="1" customWidth="1"/>
    <col min="7688" max="7936" width="9" style="29"/>
    <col min="7937" max="7937" width="2.5" style="29" customWidth="1"/>
    <col min="7938" max="7938" width="11.75" style="29" customWidth="1"/>
    <col min="7939" max="7939" width="9" style="29"/>
    <col min="7940" max="7940" width="5" style="29" customWidth="1"/>
    <col min="7941" max="7943" width="8.5" style="29" bestFit="1" customWidth="1"/>
    <col min="7944" max="8192" width="9" style="29"/>
    <col min="8193" max="8193" width="2.5" style="29" customWidth="1"/>
    <col min="8194" max="8194" width="11.75" style="29" customWidth="1"/>
    <col min="8195" max="8195" width="9" style="29"/>
    <col min="8196" max="8196" width="5" style="29" customWidth="1"/>
    <col min="8197" max="8199" width="8.5" style="29" bestFit="1" customWidth="1"/>
    <col min="8200" max="8448" width="9" style="29"/>
    <col min="8449" max="8449" width="2.5" style="29" customWidth="1"/>
    <col min="8450" max="8450" width="11.75" style="29" customWidth="1"/>
    <col min="8451" max="8451" width="9" style="29"/>
    <col min="8452" max="8452" width="5" style="29" customWidth="1"/>
    <col min="8453" max="8455" width="8.5" style="29" bestFit="1" customWidth="1"/>
    <col min="8456" max="8704" width="9" style="29"/>
    <col min="8705" max="8705" width="2.5" style="29" customWidth="1"/>
    <col min="8706" max="8706" width="11.75" style="29" customWidth="1"/>
    <col min="8707" max="8707" width="9" style="29"/>
    <col min="8708" max="8708" width="5" style="29" customWidth="1"/>
    <col min="8709" max="8711" width="8.5" style="29" bestFit="1" customWidth="1"/>
    <col min="8712" max="8960" width="9" style="29"/>
    <col min="8961" max="8961" width="2.5" style="29" customWidth="1"/>
    <col min="8962" max="8962" width="11.75" style="29" customWidth="1"/>
    <col min="8963" max="8963" width="9" style="29"/>
    <col min="8964" max="8964" width="5" style="29" customWidth="1"/>
    <col min="8965" max="8967" width="8.5" style="29" bestFit="1" customWidth="1"/>
    <col min="8968" max="9216" width="9" style="29"/>
    <col min="9217" max="9217" width="2.5" style="29" customWidth="1"/>
    <col min="9218" max="9218" width="11.75" style="29" customWidth="1"/>
    <col min="9219" max="9219" width="9" style="29"/>
    <col min="9220" max="9220" width="5" style="29" customWidth="1"/>
    <col min="9221" max="9223" width="8.5" style="29" bestFit="1" customWidth="1"/>
    <col min="9224" max="9472" width="9" style="29"/>
    <col min="9473" max="9473" width="2.5" style="29" customWidth="1"/>
    <col min="9474" max="9474" width="11.75" style="29" customWidth="1"/>
    <col min="9475" max="9475" width="9" style="29"/>
    <col min="9476" max="9476" width="5" style="29" customWidth="1"/>
    <col min="9477" max="9479" width="8.5" style="29" bestFit="1" customWidth="1"/>
    <col min="9480" max="9728" width="9" style="29"/>
    <col min="9729" max="9729" width="2.5" style="29" customWidth="1"/>
    <col min="9730" max="9730" width="11.75" style="29" customWidth="1"/>
    <col min="9731" max="9731" width="9" style="29"/>
    <col min="9732" max="9732" width="5" style="29" customWidth="1"/>
    <col min="9733" max="9735" width="8.5" style="29" bestFit="1" customWidth="1"/>
    <col min="9736" max="9984" width="9" style="29"/>
    <col min="9985" max="9985" width="2.5" style="29" customWidth="1"/>
    <col min="9986" max="9986" width="11.75" style="29" customWidth="1"/>
    <col min="9987" max="9987" width="9" style="29"/>
    <col min="9988" max="9988" width="5" style="29" customWidth="1"/>
    <col min="9989" max="9991" width="8.5" style="29" bestFit="1" customWidth="1"/>
    <col min="9992" max="10240" width="9" style="29"/>
    <col min="10241" max="10241" width="2.5" style="29" customWidth="1"/>
    <col min="10242" max="10242" width="11.75" style="29" customWidth="1"/>
    <col min="10243" max="10243" width="9" style="29"/>
    <col min="10244" max="10244" width="5" style="29" customWidth="1"/>
    <col min="10245" max="10247" width="8.5" style="29" bestFit="1" customWidth="1"/>
    <col min="10248" max="10496" width="9" style="29"/>
    <col min="10497" max="10497" width="2.5" style="29" customWidth="1"/>
    <col min="10498" max="10498" width="11.75" style="29" customWidth="1"/>
    <col min="10499" max="10499" width="9" style="29"/>
    <col min="10500" max="10500" width="5" style="29" customWidth="1"/>
    <col min="10501" max="10503" width="8.5" style="29" bestFit="1" customWidth="1"/>
    <col min="10504" max="10752" width="9" style="29"/>
    <col min="10753" max="10753" width="2.5" style="29" customWidth="1"/>
    <col min="10754" max="10754" width="11.75" style="29" customWidth="1"/>
    <col min="10755" max="10755" width="9" style="29"/>
    <col min="10756" max="10756" width="5" style="29" customWidth="1"/>
    <col min="10757" max="10759" width="8.5" style="29" bestFit="1" customWidth="1"/>
    <col min="10760" max="11008" width="9" style="29"/>
    <col min="11009" max="11009" width="2.5" style="29" customWidth="1"/>
    <col min="11010" max="11010" width="11.75" style="29" customWidth="1"/>
    <col min="11011" max="11011" width="9" style="29"/>
    <col min="11012" max="11012" width="5" style="29" customWidth="1"/>
    <col min="11013" max="11015" width="8.5" style="29" bestFit="1" customWidth="1"/>
    <col min="11016" max="11264" width="9" style="29"/>
    <col min="11265" max="11265" width="2.5" style="29" customWidth="1"/>
    <col min="11266" max="11266" width="11.75" style="29" customWidth="1"/>
    <col min="11267" max="11267" width="9" style="29"/>
    <col min="11268" max="11268" width="5" style="29" customWidth="1"/>
    <col min="11269" max="11271" width="8.5" style="29" bestFit="1" customWidth="1"/>
    <col min="11272" max="11520" width="9" style="29"/>
    <col min="11521" max="11521" width="2.5" style="29" customWidth="1"/>
    <col min="11522" max="11522" width="11.75" style="29" customWidth="1"/>
    <col min="11523" max="11523" width="9" style="29"/>
    <col min="11524" max="11524" width="5" style="29" customWidth="1"/>
    <col min="11525" max="11527" width="8.5" style="29" bestFit="1" customWidth="1"/>
    <col min="11528" max="11776" width="9" style="29"/>
    <col min="11777" max="11777" width="2.5" style="29" customWidth="1"/>
    <col min="11778" max="11778" width="11.75" style="29" customWidth="1"/>
    <col min="11779" max="11779" width="9" style="29"/>
    <col min="11780" max="11780" width="5" style="29" customWidth="1"/>
    <col min="11781" max="11783" width="8.5" style="29" bestFit="1" customWidth="1"/>
    <col min="11784" max="12032" width="9" style="29"/>
    <col min="12033" max="12033" width="2.5" style="29" customWidth="1"/>
    <col min="12034" max="12034" width="11.75" style="29" customWidth="1"/>
    <col min="12035" max="12035" width="9" style="29"/>
    <col min="12036" max="12036" width="5" style="29" customWidth="1"/>
    <col min="12037" max="12039" width="8.5" style="29" bestFit="1" customWidth="1"/>
    <col min="12040" max="12288" width="9" style="29"/>
    <col min="12289" max="12289" width="2.5" style="29" customWidth="1"/>
    <col min="12290" max="12290" width="11.75" style="29" customWidth="1"/>
    <col min="12291" max="12291" width="9" style="29"/>
    <col min="12292" max="12292" width="5" style="29" customWidth="1"/>
    <col min="12293" max="12295" width="8.5" style="29" bestFit="1" customWidth="1"/>
    <col min="12296" max="12544" width="9" style="29"/>
    <col min="12545" max="12545" width="2.5" style="29" customWidth="1"/>
    <col min="12546" max="12546" width="11.75" style="29" customWidth="1"/>
    <col min="12547" max="12547" width="9" style="29"/>
    <col min="12548" max="12548" width="5" style="29" customWidth="1"/>
    <col min="12549" max="12551" width="8.5" style="29" bestFit="1" customWidth="1"/>
    <col min="12552" max="12800" width="9" style="29"/>
    <col min="12801" max="12801" width="2.5" style="29" customWidth="1"/>
    <col min="12802" max="12802" width="11.75" style="29" customWidth="1"/>
    <col min="12803" max="12803" width="9" style="29"/>
    <col min="12804" max="12804" width="5" style="29" customWidth="1"/>
    <col min="12805" max="12807" width="8.5" style="29" bestFit="1" customWidth="1"/>
    <col min="12808" max="13056" width="9" style="29"/>
    <col min="13057" max="13057" width="2.5" style="29" customWidth="1"/>
    <col min="13058" max="13058" width="11.75" style="29" customWidth="1"/>
    <col min="13059" max="13059" width="9" style="29"/>
    <col min="13060" max="13060" width="5" style="29" customWidth="1"/>
    <col min="13061" max="13063" width="8.5" style="29" bestFit="1" customWidth="1"/>
    <col min="13064" max="13312" width="9" style="29"/>
    <col min="13313" max="13313" width="2.5" style="29" customWidth="1"/>
    <col min="13314" max="13314" width="11.75" style="29" customWidth="1"/>
    <col min="13315" max="13315" width="9" style="29"/>
    <col min="13316" max="13316" width="5" style="29" customWidth="1"/>
    <col min="13317" max="13319" width="8.5" style="29" bestFit="1" customWidth="1"/>
    <col min="13320" max="13568" width="9" style="29"/>
    <col min="13569" max="13569" width="2.5" style="29" customWidth="1"/>
    <col min="13570" max="13570" width="11.75" style="29" customWidth="1"/>
    <col min="13571" max="13571" width="9" style="29"/>
    <col min="13572" max="13572" width="5" style="29" customWidth="1"/>
    <col min="13573" max="13575" width="8.5" style="29" bestFit="1" customWidth="1"/>
    <col min="13576" max="13824" width="9" style="29"/>
    <col min="13825" max="13825" width="2.5" style="29" customWidth="1"/>
    <col min="13826" max="13826" width="11.75" style="29" customWidth="1"/>
    <col min="13827" max="13827" width="9" style="29"/>
    <col min="13828" max="13828" width="5" style="29" customWidth="1"/>
    <col min="13829" max="13831" width="8.5" style="29" bestFit="1" customWidth="1"/>
    <col min="13832" max="14080" width="9" style="29"/>
    <col min="14081" max="14081" width="2.5" style="29" customWidth="1"/>
    <col min="14082" max="14082" width="11.75" style="29" customWidth="1"/>
    <col min="14083" max="14083" width="9" style="29"/>
    <col min="14084" max="14084" width="5" style="29" customWidth="1"/>
    <col min="14085" max="14087" width="8.5" style="29" bestFit="1" customWidth="1"/>
    <col min="14088" max="14336" width="9" style="29"/>
    <col min="14337" max="14337" width="2.5" style="29" customWidth="1"/>
    <col min="14338" max="14338" width="11.75" style="29" customWidth="1"/>
    <col min="14339" max="14339" width="9" style="29"/>
    <col min="14340" max="14340" width="5" style="29" customWidth="1"/>
    <col min="14341" max="14343" width="8.5" style="29" bestFit="1" customWidth="1"/>
    <col min="14344" max="14592" width="9" style="29"/>
    <col min="14593" max="14593" width="2.5" style="29" customWidth="1"/>
    <col min="14594" max="14594" width="11.75" style="29" customWidth="1"/>
    <col min="14595" max="14595" width="9" style="29"/>
    <col min="14596" max="14596" width="5" style="29" customWidth="1"/>
    <col min="14597" max="14599" width="8.5" style="29" bestFit="1" customWidth="1"/>
    <col min="14600" max="14848" width="9" style="29"/>
    <col min="14849" max="14849" width="2.5" style="29" customWidth="1"/>
    <col min="14850" max="14850" width="11.75" style="29" customWidth="1"/>
    <col min="14851" max="14851" width="9" style="29"/>
    <col min="14852" max="14852" width="5" style="29" customWidth="1"/>
    <col min="14853" max="14855" width="8.5" style="29" bestFit="1" customWidth="1"/>
    <col min="14856" max="15104" width="9" style="29"/>
    <col min="15105" max="15105" width="2.5" style="29" customWidth="1"/>
    <col min="15106" max="15106" width="11.75" style="29" customWidth="1"/>
    <col min="15107" max="15107" width="9" style="29"/>
    <col min="15108" max="15108" width="5" style="29" customWidth="1"/>
    <col min="15109" max="15111" width="8.5" style="29" bestFit="1" customWidth="1"/>
    <col min="15112" max="15360" width="9" style="29"/>
    <col min="15361" max="15361" width="2.5" style="29" customWidth="1"/>
    <col min="15362" max="15362" width="11.75" style="29" customWidth="1"/>
    <col min="15363" max="15363" width="9" style="29"/>
    <col min="15364" max="15364" width="5" style="29" customWidth="1"/>
    <col min="15365" max="15367" width="8.5" style="29" bestFit="1" customWidth="1"/>
    <col min="15368" max="15616" width="9" style="29"/>
    <col min="15617" max="15617" width="2.5" style="29" customWidth="1"/>
    <col min="15618" max="15618" width="11.75" style="29" customWidth="1"/>
    <col min="15619" max="15619" width="9" style="29"/>
    <col min="15620" max="15620" width="5" style="29" customWidth="1"/>
    <col min="15621" max="15623" width="8.5" style="29" bestFit="1" customWidth="1"/>
    <col min="15624" max="15872" width="9" style="29"/>
    <col min="15873" max="15873" width="2.5" style="29" customWidth="1"/>
    <col min="15874" max="15874" width="11.75" style="29" customWidth="1"/>
    <col min="15875" max="15875" width="9" style="29"/>
    <col min="15876" max="15876" width="5" style="29" customWidth="1"/>
    <col min="15877" max="15879" width="8.5" style="29" bestFit="1" customWidth="1"/>
    <col min="15880" max="16128" width="9" style="29"/>
    <col min="16129" max="16129" width="2.5" style="29" customWidth="1"/>
    <col min="16130" max="16130" width="11.75" style="29" customWidth="1"/>
    <col min="16131" max="16131" width="9" style="29"/>
    <col min="16132" max="16132" width="5" style="29" customWidth="1"/>
    <col min="16133" max="16135" width="8.5" style="29" bestFit="1" customWidth="1"/>
    <col min="16136" max="16384" width="9" style="29"/>
  </cols>
  <sheetData>
    <row r="3" spans="1:10" x14ac:dyDescent="0.15">
      <c r="B3" s="30" t="s">
        <v>67</v>
      </c>
      <c r="J3" s="30" t="s">
        <v>68</v>
      </c>
    </row>
    <row r="5" spans="1:10" x14ac:dyDescent="0.15">
      <c r="B5" s="31" t="s">
        <v>69</v>
      </c>
      <c r="E5" s="31" t="s">
        <v>70</v>
      </c>
    </row>
    <row r="6" spans="1:10" x14ac:dyDescent="0.15">
      <c r="B6" s="31"/>
      <c r="J6" s="30" t="s">
        <v>71</v>
      </c>
    </row>
    <row r="7" spans="1:10" x14ac:dyDescent="0.35">
      <c r="B7" s="34" t="s">
        <v>72</v>
      </c>
      <c r="C7" s="35" t="s">
        <v>73</v>
      </c>
      <c r="D7" s="36"/>
      <c r="E7" s="59" t="s">
        <v>74</v>
      </c>
      <c r="F7" s="59" t="s">
        <v>75</v>
      </c>
      <c r="G7" s="78" t="s">
        <v>83</v>
      </c>
    </row>
    <row r="8" spans="1:10" s="37" customFormat="1" x14ac:dyDescent="0.2">
      <c r="A8" s="29"/>
      <c r="B8" s="39" t="s">
        <v>49</v>
      </c>
      <c r="C8" s="40">
        <v>421.80247000000003</v>
      </c>
      <c r="D8" s="41"/>
      <c r="E8" s="61">
        <v>0</v>
      </c>
      <c r="F8" s="61">
        <f>SUM($C$8:C8)</f>
        <v>421.80247000000003</v>
      </c>
      <c r="G8" s="61"/>
      <c r="J8" s="30"/>
    </row>
    <row r="9" spans="1:10" s="37" customFormat="1" x14ac:dyDescent="0.2">
      <c r="A9" s="29"/>
      <c r="B9" s="43" t="s">
        <v>50</v>
      </c>
      <c r="C9" s="42">
        <v>-182.52810895109999</v>
      </c>
      <c r="D9" s="36"/>
      <c r="E9" s="61">
        <f t="shared" ref="E9:E20" si="0">F8</f>
        <v>421.80247000000003</v>
      </c>
      <c r="F9" s="61">
        <f>SUM($C$8:C9)</f>
        <v>239.27436104890003</v>
      </c>
      <c r="G9" s="61"/>
      <c r="J9" s="30"/>
    </row>
    <row r="10" spans="1:10" s="37" customFormat="1" x14ac:dyDescent="0.2">
      <c r="A10" s="29"/>
      <c r="B10" s="43" t="s">
        <v>60</v>
      </c>
      <c r="C10" s="42">
        <v>-87.250091358700004</v>
      </c>
      <c r="D10" s="36"/>
      <c r="E10" s="61">
        <f t="shared" si="0"/>
        <v>239.27436104890003</v>
      </c>
      <c r="F10" s="61">
        <f>SUM($C$8:C10)</f>
        <v>152.02426969020001</v>
      </c>
      <c r="G10" s="61"/>
      <c r="J10" s="30"/>
    </row>
    <row r="11" spans="1:10" s="37" customFormat="1" x14ac:dyDescent="0.2">
      <c r="A11" s="29"/>
      <c r="B11" s="43" t="s">
        <v>62</v>
      </c>
      <c r="C11" s="42">
        <v>-21.036085</v>
      </c>
      <c r="D11" s="36"/>
      <c r="E11" s="61">
        <f t="shared" si="0"/>
        <v>152.02426969020001</v>
      </c>
      <c r="F11" s="61">
        <f>SUM($C$8:C11)</f>
        <v>130.9881846902</v>
      </c>
      <c r="G11" s="61"/>
      <c r="J11" s="30"/>
    </row>
    <row r="12" spans="1:10" s="37" customFormat="1" x14ac:dyDescent="0.2">
      <c r="A12" s="29"/>
      <c r="B12" s="43" t="s">
        <v>51</v>
      </c>
      <c r="C12" s="42">
        <v>-12.561418999999997</v>
      </c>
      <c r="D12" s="36"/>
      <c r="E12" s="61">
        <f t="shared" si="0"/>
        <v>130.9881846902</v>
      </c>
      <c r="F12" s="61">
        <f>SUM($C$8:C12)</f>
        <v>118.4267656902</v>
      </c>
      <c r="G12" s="61"/>
      <c r="J12" s="30"/>
    </row>
    <row r="13" spans="1:10" s="37" customFormat="1" x14ac:dyDescent="0.2">
      <c r="A13" s="29"/>
      <c r="B13" s="43" t="s">
        <v>52</v>
      </c>
      <c r="C13" s="42">
        <v>-4.5664859999999994</v>
      </c>
      <c r="D13" s="36"/>
      <c r="E13" s="61">
        <f t="shared" si="0"/>
        <v>118.4267656902</v>
      </c>
      <c r="F13" s="61">
        <f>SUM($C$8:C13)</f>
        <v>113.8602796902</v>
      </c>
      <c r="G13" s="61"/>
      <c r="J13" s="30"/>
    </row>
    <row r="14" spans="1:10" s="37" customFormat="1" x14ac:dyDescent="0.2">
      <c r="A14" s="29"/>
      <c r="B14" s="43" t="s">
        <v>53</v>
      </c>
      <c r="C14" s="42">
        <v>-16.4811384295</v>
      </c>
      <c r="D14" s="36"/>
      <c r="E14" s="61">
        <f t="shared" si="0"/>
        <v>113.8602796902</v>
      </c>
      <c r="F14" s="61">
        <f>SUM($C$8:C14)</f>
        <v>97.37914126070001</v>
      </c>
      <c r="G14" s="61"/>
      <c r="J14" s="30"/>
    </row>
    <row r="15" spans="1:10" s="37" customFormat="1" x14ac:dyDescent="0.2">
      <c r="A15" s="29"/>
      <c r="B15" s="43" t="s">
        <v>54</v>
      </c>
      <c r="C15" s="42">
        <v>-8.7346000000000004</v>
      </c>
      <c r="D15" s="36"/>
      <c r="E15" s="61">
        <f t="shared" si="0"/>
        <v>97.37914126070001</v>
      </c>
      <c r="F15" s="61">
        <f>SUM($C$8:C15)</f>
        <v>88.644541260700009</v>
      </c>
      <c r="G15" s="61"/>
      <c r="J15" s="30"/>
    </row>
    <row r="16" spans="1:10" s="37" customFormat="1" x14ac:dyDescent="0.2">
      <c r="A16" s="29"/>
      <c r="B16" s="43" t="s">
        <v>65</v>
      </c>
      <c r="C16" s="42">
        <v>-13.2057650051</v>
      </c>
      <c r="D16" s="36"/>
      <c r="E16" s="61">
        <f t="shared" si="0"/>
        <v>88.644541260700009</v>
      </c>
      <c r="F16" s="61">
        <f>SUM($C$8:C16)</f>
        <v>75.438776255600004</v>
      </c>
      <c r="G16" s="61"/>
      <c r="J16" s="30"/>
    </row>
    <row r="17" spans="1:10" s="37" customFormat="1" x14ac:dyDescent="0.2">
      <c r="A17" s="29"/>
      <c r="B17" s="43" t="s">
        <v>55</v>
      </c>
      <c r="C17" s="42">
        <v>-1.1144946344</v>
      </c>
      <c r="D17" s="36"/>
      <c r="E17" s="61">
        <f t="shared" si="0"/>
        <v>75.438776255600004</v>
      </c>
      <c r="F17" s="61">
        <f>SUM($C$8:C17)</f>
        <v>74.324281621200001</v>
      </c>
      <c r="G17" s="61"/>
      <c r="J17" s="30"/>
    </row>
    <row r="18" spans="1:10" s="37" customFormat="1" x14ac:dyDescent="0.2">
      <c r="A18" s="29"/>
      <c r="B18" s="43" t="s">
        <v>56</v>
      </c>
      <c r="C18" s="42">
        <v>-9.0147929999999992</v>
      </c>
      <c r="D18" s="36"/>
      <c r="E18" s="61">
        <f t="shared" si="0"/>
        <v>74.324281621200001</v>
      </c>
      <c r="F18" s="61">
        <f>SUM($C$8:C18)</f>
        <v>65.309488621200003</v>
      </c>
      <c r="G18" s="61"/>
      <c r="J18" s="30"/>
    </row>
    <row r="19" spans="1:10" s="37" customFormat="1" x14ac:dyDescent="0.2">
      <c r="A19" s="29"/>
      <c r="B19" s="43" t="s">
        <v>57</v>
      </c>
      <c r="C19" s="42">
        <v>-20.486354000000002</v>
      </c>
      <c r="D19" s="36"/>
      <c r="E19" s="61">
        <f t="shared" si="0"/>
        <v>65.309488621200003</v>
      </c>
      <c r="F19" s="61">
        <f>SUM($C$8:C19)</f>
        <v>44.823134621199998</v>
      </c>
      <c r="G19" s="61"/>
      <c r="J19" s="30"/>
    </row>
    <row r="20" spans="1:10" s="37" customFormat="1" x14ac:dyDescent="0.2">
      <c r="A20" s="29"/>
      <c r="B20" s="44" t="s">
        <v>58</v>
      </c>
      <c r="C20" s="45">
        <v>-88.038267533999999</v>
      </c>
      <c r="D20" s="36"/>
      <c r="E20" s="62">
        <f t="shared" si="0"/>
        <v>44.823134621199998</v>
      </c>
      <c r="F20" s="62">
        <f>SUM($C$8:C20)</f>
        <v>-43.215132912800001</v>
      </c>
      <c r="G20" s="61"/>
      <c r="J20" s="30"/>
    </row>
    <row r="21" spans="1:10" s="37" customFormat="1" x14ac:dyDescent="0.2">
      <c r="A21" s="29"/>
      <c r="B21" s="43" t="s">
        <v>59</v>
      </c>
      <c r="C21" s="42">
        <f>SUM(C8:C20)</f>
        <v>-43.215132912800001</v>
      </c>
      <c r="D21" s="36"/>
      <c r="E21" s="61">
        <v>0</v>
      </c>
      <c r="F21" s="61">
        <f>C21</f>
        <v>-43.215132912800001</v>
      </c>
      <c r="G21" s="61">
        <f>C21</f>
        <v>-43.215132912800001</v>
      </c>
      <c r="J21" s="30"/>
    </row>
    <row r="22" spans="1:10" s="37" customFormat="1" x14ac:dyDescent="0.2">
      <c r="A22" s="29"/>
      <c r="B22" s="46"/>
      <c r="C22" s="42"/>
      <c r="D22" s="36"/>
      <c r="J22" s="30"/>
    </row>
    <row r="23" spans="1:10" x14ac:dyDescent="0.35">
      <c r="C23" s="47"/>
      <c r="D23" s="48"/>
    </row>
    <row r="27" spans="1:10" x14ac:dyDescent="0.15">
      <c r="J27" s="30" t="s">
        <v>76</v>
      </c>
    </row>
    <row r="43" spans="2:10" x14ac:dyDescent="0.15">
      <c r="J43" s="30" t="s">
        <v>77</v>
      </c>
    </row>
    <row r="46" spans="2:10" ht="17.25" thickBot="1" x14ac:dyDescent="0.2"/>
    <row r="47" spans="2:10" ht="15" customHeight="1" thickBot="1" x14ac:dyDescent="0.2">
      <c r="B47" s="76" t="str">
        <f t="shared" ref="B47:C49" si="1">B7</f>
        <v>项目</v>
      </c>
      <c r="C47" s="77" t="str">
        <f t="shared" si="1"/>
        <v>金额</v>
      </c>
      <c r="D47" s="76" t="s">
        <v>78</v>
      </c>
      <c r="E47" s="76"/>
      <c r="F47" s="76"/>
      <c r="G47" s="76"/>
    </row>
    <row r="48" spans="2:10" ht="15" customHeight="1" x14ac:dyDescent="0.15">
      <c r="B48" s="73" t="str">
        <f t="shared" si="1"/>
        <v>Revenue</v>
      </c>
      <c r="C48" s="74">
        <f t="shared" si="1"/>
        <v>421.80247000000003</v>
      </c>
      <c r="D48" s="75"/>
      <c r="E48" s="73"/>
      <c r="F48" s="73"/>
      <c r="G48" s="73"/>
    </row>
    <row r="49" spans="2:7" ht="15" customHeight="1" x14ac:dyDescent="0.15">
      <c r="B49" s="66" t="str">
        <f t="shared" si="1"/>
        <v>Cost</v>
      </c>
      <c r="C49" s="64">
        <f t="shared" si="1"/>
        <v>-182.52810895109999</v>
      </c>
      <c r="D49" s="65"/>
      <c r="E49" s="63"/>
      <c r="F49" s="63"/>
      <c r="G49" s="63"/>
    </row>
    <row r="50" spans="2:7" ht="15" customHeight="1" x14ac:dyDescent="0.15">
      <c r="B50" s="66" t="str">
        <f t="shared" ref="B50:C50" si="2">B10</f>
        <v>用人</v>
      </c>
      <c r="C50" s="64">
        <f t="shared" si="2"/>
        <v>-87.250091358700004</v>
      </c>
      <c r="D50" s="65"/>
      <c r="E50" s="63"/>
      <c r="F50" s="63"/>
      <c r="G50" s="63"/>
    </row>
    <row r="51" spans="2:7" ht="15" customHeight="1" x14ac:dyDescent="0.15">
      <c r="B51" s="66" t="str">
        <f t="shared" ref="B51:C51" si="3">B11</f>
        <v>租金</v>
      </c>
      <c r="C51" s="64">
        <f t="shared" si="3"/>
        <v>-21.036085</v>
      </c>
      <c r="D51" s="65"/>
      <c r="E51" s="63"/>
      <c r="F51" s="63"/>
      <c r="G51" s="63"/>
    </row>
    <row r="52" spans="2:7" ht="15" customHeight="1" x14ac:dyDescent="0.15">
      <c r="B52" s="66" t="str">
        <f t="shared" ref="B52:C52" si="4">B12</f>
        <v>商场管理费</v>
      </c>
      <c r="C52" s="64">
        <f t="shared" si="4"/>
        <v>-12.561418999999997</v>
      </c>
      <c r="D52" s="65"/>
      <c r="E52" s="63"/>
      <c r="F52" s="63"/>
      <c r="G52" s="63"/>
    </row>
    <row r="53" spans="2:7" ht="15" customHeight="1" x14ac:dyDescent="0.15">
      <c r="B53" s="66" t="str">
        <f t="shared" ref="B53:C53" si="5">B13</f>
        <v>Mkt</v>
      </c>
      <c r="C53" s="64">
        <f t="shared" si="5"/>
        <v>-4.5664859999999994</v>
      </c>
      <c r="D53" s="65"/>
      <c r="E53" s="63"/>
      <c r="F53" s="63"/>
      <c r="G53" s="63"/>
    </row>
    <row r="54" spans="2:7" ht="15" customHeight="1" x14ac:dyDescent="0.15">
      <c r="B54" s="66" t="str">
        <f t="shared" ref="B54:C54" si="6">B14</f>
        <v>管理費用</v>
      </c>
      <c r="C54" s="64">
        <f t="shared" si="6"/>
        <v>-16.4811384295</v>
      </c>
      <c r="D54" s="65"/>
      <c r="E54" s="63"/>
      <c r="F54" s="63"/>
      <c r="G54" s="63"/>
    </row>
    <row r="55" spans="2:7" ht="15" customHeight="1" x14ac:dyDescent="0.15">
      <c r="B55" s="66" t="str">
        <f t="shared" ref="B55:C55" si="7">B15</f>
        <v>物流費</v>
      </c>
      <c r="C55" s="64">
        <f t="shared" si="7"/>
        <v>-8.7346000000000004</v>
      </c>
      <c r="D55" s="65"/>
      <c r="E55" s="63"/>
      <c r="F55" s="63"/>
      <c r="G55" s="63"/>
    </row>
    <row r="56" spans="2:7" ht="15" customHeight="1" x14ac:dyDescent="0.15">
      <c r="B56" s="66" t="str">
        <f t="shared" ref="B56:C56" si="8">B16</f>
        <v>食材損耗</v>
      </c>
      <c r="C56" s="64">
        <f t="shared" si="8"/>
        <v>-13.2057650051</v>
      </c>
      <c r="D56" s="65"/>
      <c r="E56" s="63"/>
      <c r="F56" s="63"/>
      <c r="G56" s="63"/>
    </row>
    <row r="57" spans="2:7" ht="15" customHeight="1" x14ac:dyDescent="0.15">
      <c r="B57" s="66" t="str">
        <f t="shared" ref="B57:C57" si="9">B17</f>
        <v>促銷成本</v>
      </c>
      <c r="C57" s="64">
        <f t="shared" si="9"/>
        <v>-1.1144946344</v>
      </c>
      <c r="D57" s="65"/>
      <c r="E57" s="63"/>
      <c r="F57" s="63"/>
      <c r="G57" s="63"/>
    </row>
    <row r="58" spans="2:7" ht="15" customHeight="1" x14ac:dyDescent="0.15">
      <c r="B58" s="66" t="str">
        <f t="shared" ref="B58:C58" si="10">B18</f>
        <v>物料消耗</v>
      </c>
      <c r="C58" s="64">
        <f t="shared" si="10"/>
        <v>-9.0147929999999992</v>
      </c>
      <c r="D58" s="65"/>
      <c r="E58" s="63"/>
      <c r="F58" s="63"/>
      <c r="G58" s="63"/>
    </row>
    <row r="59" spans="2:7" ht="15" customHeight="1" x14ac:dyDescent="0.15">
      <c r="B59" s="66" t="str">
        <f t="shared" ref="B59:C59" si="11">B19</f>
        <v>水電瓦斯</v>
      </c>
      <c r="C59" s="64">
        <f t="shared" si="11"/>
        <v>-20.486354000000002</v>
      </c>
      <c r="D59" s="65"/>
      <c r="E59" s="63"/>
      <c r="F59" s="63"/>
      <c r="G59" s="63"/>
    </row>
    <row r="60" spans="2:7" ht="15" customHeight="1" x14ac:dyDescent="0.15">
      <c r="B60" s="66" t="str">
        <f>B20</f>
        <v>攤銷/折舊</v>
      </c>
      <c r="C60" s="64">
        <f>C20</f>
        <v>-88.038267533999999</v>
      </c>
      <c r="D60" s="65"/>
      <c r="E60" s="63"/>
      <c r="F60" s="63"/>
      <c r="G60" s="63"/>
    </row>
    <row r="61" spans="2:7" ht="15" customHeight="1" thickBot="1" x14ac:dyDescent="0.2">
      <c r="B61" s="63" t="str">
        <f>B21</f>
        <v>OP</v>
      </c>
      <c r="C61" s="72">
        <f>C21</f>
        <v>-43.215132912800001</v>
      </c>
      <c r="D61" s="65"/>
      <c r="E61" s="63"/>
      <c r="F61" s="63"/>
      <c r="G61" s="63"/>
    </row>
    <row r="62" spans="2:7" ht="15" customHeight="1" x14ac:dyDescent="0.15">
      <c r="B62" s="69"/>
      <c r="C62" s="70"/>
      <c r="D62" s="69"/>
      <c r="E62" s="69"/>
      <c r="F62" s="69"/>
      <c r="G62" s="69"/>
    </row>
    <row r="63" spans="2:7" ht="17.25" thickBot="1" x14ac:dyDescent="0.2">
      <c r="B63" s="60"/>
      <c r="C63" s="60"/>
      <c r="D63" s="71"/>
      <c r="E63" s="60"/>
      <c r="F63" s="60"/>
      <c r="G63" s="60"/>
    </row>
    <row r="64" spans="2:7" ht="17.25" thickBot="1" x14ac:dyDescent="0.2">
      <c r="B64" s="76" t="s">
        <v>84</v>
      </c>
      <c r="C64" s="77" t="s">
        <v>85</v>
      </c>
      <c r="D64" s="76" t="s">
        <v>86</v>
      </c>
      <c r="E64" s="76"/>
      <c r="F64" s="76"/>
      <c r="G64" s="76"/>
    </row>
    <row r="65" spans="2:10" x14ac:dyDescent="0.15">
      <c r="B65" s="73" t="s">
        <v>49</v>
      </c>
      <c r="C65" s="74">
        <v>421.80247000000003</v>
      </c>
      <c r="D65" s="75"/>
      <c r="E65" s="73"/>
      <c r="F65" s="73"/>
      <c r="G65" s="73"/>
      <c r="J65" s="30" t="s">
        <v>79</v>
      </c>
    </row>
    <row r="66" spans="2:10" x14ac:dyDescent="0.15">
      <c r="B66" s="66" t="s">
        <v>50</v>
      </c>
      <c r="C66" s="64">
        <v>-182.52810895109999</v>
      </c>
      <c r="D66" s="65"/>
      <c r="E66" s="63"/>
      <c r="F66" s="63"/>
      <c r="G66" s="63"/>
    </row>
    <row r="67" spans="2:10" x14ac:dyDescent="0.15">
      <c r="B67" s="66" t="s">
        <v>60</v>
      </c>
      <c r="C67" s="64">
        <v>-87.250091358700004</v>
      </c>
      <c r="D67" s="65"/>
      <c r="E67" s="63"/>
      <c r="F67" s="63"/>
      <c r="G67" s="63"/>
    </row>
    <row r="68" spans="2:10" x14ac:dyDescent="0.15">
      <c r="B68" s="66" t="s">
        <v>62</v>
      </c>
      <c r="C68" s="64">
        <v>-21.036085</v>
      </c>
      <c r="D68" s="65"/>
      <c r="E68" s="63"/>
      <c r="F68" s="63"/>
      <c r="G68" s="63"/>
    </row>
    <row r="69" spans="2:10" x14ac:dyDescent="0.15">
      <c r="B69" s="66" t="s">
        <v>51</v>
      </c>
      <c r="C69" s="64">
        <v>-12.561418999999997</v>
      </c>
      <c r="D69" s="65"/>
      <c r="E69" s="63"/>
      <c r="F69" s="63"/>
      <c r="G69" s="63"/>
    </row>
    <row r="70" spans="2:10" x14ac:dyDescent="0.15">
      <c r="B70" s="66" t="s">
        <v>52</v>
      </c>
      <c r="C70" s="64">
        <v>-4.5664859999999994</v>
      </c>
      <c r="D70" s="65"/>
      <c r="E70" s="63"/>
      <c r="F70" s="63"/>
      <c r="G70" s="63"/>
    </row>
    <row r="71" spans="2:10" x14ac:dyDescent="0.15">
      <c r="B71" s="66" t="s">
        <v>53</v>
      </c>
      <c r="C71" s="64">
        <v>-16.4811384295</v>
      </c>
      <c r="D71" s="65"/>
      <c r="E71" s="63"/>
      <c r="F71" s="63"/>
      <c r="G71" s="63"/>
    </row>
    <row r="72" spans="2:10" x14ac:dyDescent="0.15">
      <c r="B72" s="66" t="s">
        <v>54</v>
      </c>
      <c r="C72" s="64">
        <v>-8.7346000000000004</v>
      </c>
      <c r="D72" s="65"/>
      <c r="E72" s="63"/>
      <c r="F72" s="63"/>
      <c r="G72" s="63"/>
    </row>
    <row r="73" spans="2:10" x14ac:dyDescent="0.15">
      <c r="B73" s="66" t="s">
        <v>65</v>
      </c>
      <c r="C73" s="64">
        <v>-13.2057650051</v>
      </c>
      <c r="D73" s="65"/>
      <c r="E73" s="63"/>
      <c r="F73" s="63"/>
      <c r="G73" s="63"/>
    </row>
    <row r="74" spans="2:10" x14ac:dyDescent="0.15">
      <c r="B74" s="66" t="s">
        <v>55</v>
      </c>
      <c r="C74" s="64">
        <v>-1.1144946344</v>
      </c>
      <c r="D74" s="65"/>
      <c r="E74" s="63"/>
      <c r="F74" s="63"/>
      <c r="G74" s="63"/>
    </row>
    <row r="75" spans="2:10" x14ac:dyDescent="0.15">
      <c r="B75" s="66" t="s">
        <v>56</v>
      </c>
      <c r="C75" s="64">
        <v>-9.0147929999999992</v>
      </c>
      <c r="D75" s="65"/>
      <c r="E75" s="63"/>
      <c r="F75" s="63"/>
      <c r="G75" s="63"/>
    </row>
    <row r="76" spans="2:10" x14ac:dyDescent="0.15">
      <c r="B76" s="66" t="s">
        <v>57</v>
      </c>
      <c r="C76" s="64">
        <v>-20.486354000000002</v>
      </c>
      <c r="D76" s="65"/>
      <c r="E76" s="63"/>
      <c r="F76" s="63"/>
      <c r="G76" s="63"/>
    </row>
    <row r="77" spans="2:10" ht="17.25" thickBot="1" x14ac:dyDescent="0.2">
      <c r="B77" s="79" t="s">
        <v>58</v>
      </c>
      <c r="C77" s="80">
        <v>-88.038267533999999</v>
      </c>
      <c r="D77" s="81"/>
      <c r="E77" s="82"/>
      <c r="F77" s="82"/>
      <c r="G77" s="82"/>
    </row>
    <row r="78" spans="2:10" ht="17.25" thickBot="1" x14ac:dyDescent="0.2">
      <c r="B78" s="83" t="s">
        <v>59</v>
      </c>
      <c r="C78" s="84">
        <v>-43.215132912800001</v>
      </c>
      <c r="D78" s="85"/>
      <c r="E78" s="83"/>
      <c r="F78" s="83"/>
      <c r="G78" s="83"/>
    </row>
    <row r="85" spans="10:10" x14ac:dyDescent="0.15">
      <c r="J85" s="30" t="s">
        <v>80</v>
      </c>
    </row>
    <row r="110" spans="5:10" s="67" customFormat="1" x14ac:dyDescent="0.15">
      <c r="J110" s="68"/>
    </row>
    <row r="111" spans="5:10" x14ac:dyDescent="0.15">
      <c r="E111" s="29" t="s">
        <v>81</v>
      </c>
      <c r="J111" s="30" t="s">
        <v>82</v>
      </c>
    </row>
  </sheetData>
  <phoneticPr fontId="1" type="noConversion"/>
  <conditionalFormatting sqref="D8:D22">
    <cfRule type="cellIs" dxfId="4" priority="2" stopIfTrue="1" operator="greaterThanOrEqual">
      <formula>0</formula>
    </cfRule>
  </conditionalFormatting>
  <conditionalFormatting sqref="C48:C60">
    <cfRule type="cellIs" dxfId="3" priority="3" stopIfTrue="1" operator="lessThanOrEqual">
      <formula>0</formula>
    </cfRule>
  </conditionalFormatting>
  <conditionalFormatting sqref="C65:C77">
    <cfRule type="cellIs" dxfId="2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X店</vt:lpstr>
      <vt:lpstr>Y店</vt:lpstr>
      <vt:lpstr>z店瀑布图</vt:lpstr>
      <vt:lpstr>有负值的瀑布图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2013-02-08T06:27:32Z</dcterms:created>
  <dcterms:modified xsi:type="dcterms:W3CDTF">2018-11-06T13:17:52Z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119481ef-84a4-4582-9437-f8e5ce1c4b2c</vt:lpwstr>
  </property>
</Properties>
</file>