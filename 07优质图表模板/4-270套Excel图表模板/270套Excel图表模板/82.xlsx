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82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9" l="1"/>
  <c r="F5" i="19"/>
  <c r="F6" i="19"/>
  <c r="F7" i="19"/>
  <c r="F8" i="19"/>
  <c r="F9" i="19"/>
  <c r="F10" i="19"/>
  <c r="F3" i="19" l="1"/>
</calcChain>
</file>

<file path=xl/sharedStrings.xml><?xml version="1.0" encoding="utf-8"?>
<sst xmlns="http://schemas.openxmlformats.org/spreadsheetml/2006/main" count="14" uniqueCount="14">
  <si>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</si>
  <si>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</si>
  <si>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</si>
  <si>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</si>
  <si>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</si>
  <si>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</si>
  <si>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</si>
  <si>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</si>
  <si>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F产品</t>
    <phoneticPr fontId="2" type="noConversion"/>
  </si>
  <si>
    <t>G产品</t>
    <phoneticPr fontId="2" type="noConversion"/>
  </si>
  <si>
    <t>H产品</t>
    <phoneticPr fontId="2" type="noConversion"/>
  </si>
  <si>
    <t>辅助1</t>
    <phoneticPr fontId="2" type="noConversion"/>
  </si>
  <si>
    <t>辅助2</t>
    <phoneticPr fontId="2" type="noConversion"/>
  </si>
  <si>
    <t>TUBIAOBIAOTI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</si>
</sst>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7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47A9A"/>
      <color rgb="FFD4E5F4"/>
      <color rgb="FFDFE7F5"/>
      <color rgb="FFD2EEF6"/>
      <color rgb="FFD0DBF0"/>
      <color rgb="FFA3BBE1"/>
      <color rgb="FF2F3194"/>
      <color rgb="FFA1C7E3"/>
      <color rgb="FF608ECD"/>
      <color rgb="FF1E52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'82'!$A$2</c:f>
          <c:strCache>
            <c:ptCount val="1"/>
            <c:pt idx="0">
              <c:v>TUBIAOBIAOTI</c:v>
            </c:pt>
          </c:strCache>
        </c:strRef>
      </c:tx>
      <c:layout>
        <c:manualLayout>
          <c:xMode val="edge"/>
          <c:yMode val="edge"/>
          <c:x val="1.2791075368779477E-3"/>
          <c:y val="1.3008114378180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023601700950177E-2"/>
          <c:y val="0.22302457491260033"/>
          <c:w val="0.8765612389536579"/>
          <c:h val="0.62714314226666068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'82'!$D$2</c:f>
              <c:strCache>
                <c:ptCount val="1"/>
                <c:pt idx="0">
                  <c:v>辅助1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 w="9525">
              <a:noFill/>
            </a:ln>
            <a:effectLst/>
          </c:spPr>
          <c:invertIfNegative val="0"/>
          <c:cat>
            <c:strRef>
              <c:f>'82'!$A$3:$A$10</c:f>
              <c:strCache>
                <c:ptCount val="8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D产品</c:v>
                </c:pt>
                <c:pt idx="4">
                  <c:v>E产品</c:v>
                </c:pt>
                <c:pt idx="5">
                  <c:v>F产品</c:v>
                </c:pt>
                <c:pt idx="6">
                  <c:v>G产品</c:v>
                </c:pt>
                <c:pt idx="7">
                  <c:v>H产品</c:v>
                </c:pt>
              </c:strCache>
            </c:strRef>
          </c:cat>
          <c:val>
            <c:numRef>
              <c:f>'82'!$D$3:$D$10</c:f>
              <c:numCache>
                <c:formatCode>General</c:formatCode>
                <c:ptCount val="8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377177824"/>
        <c:axId val="377173472"/>
      </c:barChart>
      <c:scatterChart>
        <c:scatterStyle val="lineMarker"/>
        <c:varyColors val="0"/>
        <c:ser>
          <c:idx val="0"/>
          <c:order val="0"/>
          <c:tx>
            <c:strRef>
              <c:f>'82'!$B$2</c:f>
              <c:strCache>
                <c:ptCount val="1"/>
                <c:pt idx="0">
                  <c:v>2016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bg1">
                  <a:lumMod val="95000"/>
                </a:schemeClr>
              </a:solid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'82'!$F$3:$F$10</c:f>
                <c:numCache>
                  <c:formatCode>General</c:formatCode>
                  <c:ptCount val="8"/>
                  <c:pt idx="0">
                    <c:v>111</c:v>
                  </c:pt>
                  <c:pt idx="1">
                    <c:v>180</c:v>
                  </c:pt>
                  <c:pt idx="2">
                    <c:v>133</c:v>
                  </c:pt>
                  <c:pt idx="3">
                    <c:v>255</c:v>
                  </c:pt>
                  <c:pt idx="4">
                    <c:v>311</c:v>
                  </c:pt>
                  <c:pt idx="5">
                    <c:v>271</c:v>
                  </c:pt>
                  <c:pt idx="6">
                    <c:v>160</c:v>
                  </c:pt>
                  <c:pt idx="7">
                    <c:v>80</c:v>
                  </c:pt>
                </c:numCache>
              </c:numRef>
            </c:minus>
            <c:spPr>
              <a:ln w="44450">
                <a:solidFill>
                  <a:schemeClr val="bg1">
                    <a:lumMod val="65000"/>
                  </a:schemeClr>
                </a:solidFill>
              </a:ln>
            </c:spPr>
          </c:errBars>
          <c:xVal>
            <c:numRef>
              <c:f>'82'!$B$3:$B$10</c:f>
              <c:numCache>
                <c:formatCode>General</c:formatCode>
                <c:ptCount val="8"/>
                <c:pt idx="0">
                  <c:v>200</c:v>
                </c:pt>
                <c:pt idx="1">
                  <c:v>300</c:v>
                </c:pt>
                <c:pt idx="2">
                  <c:v>210</c:v>
                </c:pt>
                <c:pt idx="3">
                  <c:v>350</c:v>
                </c:pt>
                <c:pt idx="4">
                  <c:v>420</c:v>
                </c:pt>
                <c:pt idx="5">
                  <c:v>360</c:v>
                </c:pt>
                <c:pt idx="6">
                  <c:v>280</c:v>
                </c:pt>
                <c:pt idx="7">
                  <c:v>190</c:v>
                </c:pt>
              </c:numCache>
            </c:numRef>
          </c:xVal>
          <c:yVal>
            <c:numRef>
              <c:f>'82'!$E$3:$E$10</c:f>
              <c:numCache>
                <c:formatCode>General</c:formatCode>
                <c:ptCount val="8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'82'!$C$2</c:f>
              <c:strCache>
                <c:ptCount val="1"/>
                <c:pt idx="0">
                  <c:v>2017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bg1">
                  <a:lumMod val="95000"/>
                </a:schemeClr>
              </a:solidFill>
              <a:ln w="25400">
                <a:solidFill>
                  <a:srgbClr val="C00000"/>
                </a:solidFill>
              </a:ln>
              <a:effectLst/>
            </c:spPr>
          </c:marker>
          <c:xVal>
            <c:numRef>
              <c:f>'82'!$C$3:$C$10</c:f>
              <c:numCache>
                <c:formatCode>General</c:formatCode>
                <c:ptCount val="8"/>
                <c:pt idx="0">
                  <c:v>89</c:v>
                </c:pt>
                <c:pt idx="1">
                  <c:v>120</c:v>
                </c:pt>
                <c:pt idx="2">
                  <c:v>77</c:v>
                </c:pt>
                <c:pt idx="3">
                  <c:v>95</c:v>
                </c:pt>
                <c:pt idx="4">
                  <c:v>109</c:v>
                </c:pt>
                <c:pt idx="5">
                  <c:v>89</c:v>
                </c:pt>
                <c:pt idx="6">
                  <c:v>120</c:v>
                </c:pt>
                <c:pt idx="7">
                  <c:v>110</c:v>
                </c:pt>
              </c:numCache>
            </c:numRef>
          </c:xVal>
          <c:yVal>
            <c:numRef>
              <c:f>'82'!$E$3:$E$10</c:f>
              <c:numCache>
                <c:formatCode>General</c:formatCode>
                <c:ptCount val="8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178912"/>
        <c:axId val="377178368"/>
      </c:scatterChart>
      <c:catAx>
        <c:axId val="37717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377173472"/>
        <c:crosses val="autoZero"/>
        <c:auto val="1"/>
        <c:lblAlgn val="ctr"/>
        <c:lblOffset val="100"/>
        <c:noMultiLvlLbl val="0"/>
      </c:catAx>
      <c:valAx>
        <c:axId val="377173472"/>
        <c:scaling>
          <c:orientation val="minMax"/>
          <c:max val="500"/>
        </c:scaling>
        <c:delete val="1"/>
        <c:axPos val="b"/>
        <c:majorGridlines>
          <c:spPr>
            <a:ln w="190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77177824"/>
        <c:crosses val="autoZero"/>
        <c:crossBetween val="between"/>
        <c:majorUnit val="100"/>
      </c:valAx>
      <c:valAx>
        <c:axId val="37717836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377178912"/>
        <c:crosses val="max"/>
        <c:crossBetween val="midCat"/>
      </c:valAx>
      <c:valAx>
        <c:axId val="377178912"/>
        <c:scaling>
          <c:orientation val="minMax"/>
          <c:max val="50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7178368"/>
        <c:crosses val="max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6113842810900417"/>
          <c:y val="0.11181488658970777"/>
          <c:w val="0.16003703662220031"/>
          <c:h val="4.5993780622066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1</xdr:row>
      <xdr:rowOff>102870</xdr:rowOff>
    </xdr:from>
    <xdr:to>
      <xdr:col>15</xdr:col>
      <xdr:colOff>327660</xdr:colOff>
      <xdr:row>27</xdr:row>
      <xdr:rowOff>7620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0.01991</cdr:x>
      <cdr:y>0.10548</cdr:y>
    </cdr:from>
    <cdr:to>
      <cdr:x>0.5377</cdr:x>
      <cdr:y>0.16926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6680" y="491490"/>
          <a:ext cx="27736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XIAOBIAOTI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0.02276</cdr:x>
      <cdr:y>0.92968</cdr:y>
    </cdr:from>
    <cdr:to>
      <cdr:x>0.25178</cdr:x>
      <cdr:y>0.99019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21920" y="4331970"/>
          <a:ext cx="1226820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SOURCE:</a:t>
          </a:r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workbookViewId="0">
      <selection activeCell="B11" sqref="B11"/>
    </sheetView>
  </sheetViews>
  <sheetFormatPr defaultRowHeight="14.4" x14ac:dyDescent="0.25"/>
  <sheetData>
    <row r="1" spans="1:20" s="1" customFormat="1" ht="22.2" x14ac:dyDescent="0.25">
      <c r="A1" s="7" t="s">
        <v>1</v>
      </c>
      <c r="B1" s="7"/>
      <c r="C1" s="7"/>
      <c r="D1" s="7"/>
      <c r="E1" s="7"/>
      <c r="F1" s="6"/>
      <c r="G1" s="7" t="s">
        <v>0</v>
      </c>
      <c r="H1" s="7"/>
      <c r="I1" s="7"/>
      <c r="J1" s="7"/>
      <c r="K1" s="7"/>
      <c r="L1" s="7"/>
      <c r="M1" s="7"/>
      <c r="N1" s="7"/>
      <c r="O1" s="7"/>
      <c r="P1" s="7"/>
      <c r="Q1" s="8" t="s">
        <v>2</v>
      </c>
      <c r="R1" s="8"/>
      <c r="S1" s="8"/>
      <c r="T1" s="8"/>
    </row>
    <row r="2" spans="1:20" s="1" customFormat="1" x14ac:dyDescent="0.25">
      <c r="A2" s="5" t="s">
        <v>13</v>
      </c>
      <c r="B2" s="5">
        <v>2016</v>
      </c>
      <c r="C2" s="5">
        <v>2017</v>
      </c>
      <c r="D2" s="2" t="s">
        <v>11</v>
      </c>
      <c r="E2" s="2" t="s">
        <v>12</v>
      </c>
      <c r="F2" s="2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0" s="1" customFormat="1" x14ac:dyDescent="0.25">
      <c r="A3" s="5" t="s">
        <v>3</v>
      </c>
      <c r="B3" s="5">
        <v>200</v>
      </c>
      <c r="C3" s="5">
        <v>89</v>
      </c>
      <c r="D3" s="2">
        <v>500</v>
      </c>
      <c r="E3" s="2">
        <v>0.5</v>
      </c>
      <c r="F3" s="2">
        <f>IF(B3&gt;C3,B3-C3,0)</f>
        <v>111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0" s="1" customFormat="1" x14ac:dyDescent="0.25">
      <c r="A4" s="5" t="s">
        <v>4</v>
      </c>
      <c r="B4" s="5">
        <v>300</v>
      </c>
      <c r="C4" s="5">
        <v>120</v>
      </c>
      <c r="D4" s="2">
        <v>500</v>
      </c>
      <c r="E4" s="2">
        <v>1.5</v>
      </c>
      <c r="F4" s="2">
        <f t="shared" ref="F4:F10" si="0">IF(B4&gt;C4,B4-C4,0)</f>
        <v>180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spans="1:20" s="1" customFormat="1" x14ac:dyDescent="0.25">
      <c r="A5" s="5" t="s">
        <v>5</v>
      </c>
      <c r="B5" s="5">
        <v>210</v>
      </c>
      <c r="C5" s="5">
        <v>77</v>
      </c>
      <c r="D5" s="2">
        <v>500</v>
      </c>
      <c r="E5" s="2">
        <v>2.5</v>
      </c>
      <c r="F5" s="2">
        <f t="shared" si="0"/>
        <v>133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20" s="1" customFormat="1" x14ac:dyDescent="0.25">
      <c r="A6" s="5" t="s">
        <v>6</v>
      </c>
      <c r="B6" s="5">
        <v>350</v>
      </c>
      <c r="C6" s="5">
        <v>95</v>
      </c>
      <c r="D6" s="2">
        <v>500</v>
      </c>
      <c r="E6" s="2">
        <v>3.5</v>
      </c>
      <c r="F6" s="2">
        <f t="shared" si="0"/>
        <v>255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20" s="1" customFormat="1" x14ac:dyDescent="0.25">
      <c r="A7" s="5" t="s">
        <v>7</v>
      </c>
      <c r="B7" s="5">
        <v>420</v>
      </c>
      <c r="C7" s="5">
        <v>109</v>
      </c>
      <c r="D7" s="2">
        <v>500</v>
      </c>
      <c r="E7" s="2">
        <v>4.5</v>
      </c>
      <c r="F7" s="2">
        <f t="shared" si="0"/>
        <v>311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0" s="1" customFormat="1" x14ac:dyDescent="0.25">
      <c r="A8" s="5" t="s">
        <v>8</v>
      </c>
      <c r="B8" s="5">
        <v>360</v>
      </c>
      <c r="C8" s="5">
        <v>89</v>
      </c>
      <c r="D8" s="2">
        <v>500</v>
      </c>
      <c r="E8" s="2">
        <v>5.5</v>
      </c>
      <c r="F8" s="2">
        <f t="shared" si="0"/>
        <v>271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spans="1:20" x14ac:dyDescent="0.25">
      <c r="A9" s="5" t="s">
        <v>9</v>
      </c>
      <c r="B9" s="5">
        <v>280</v>
      </c>
      <c r="C9" s="5">
        <v>120</v>
      </c>
      <c r="D9" s="2">
        <v>500</v>
      </c>
      <c r="E9" s="2">
        <v>6.5</v>
      </c>
      <c r="F9" s="2">
        <f t="shared" si="0"/>
        <v>160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spans="1:20" x14ac:dyDescent="0.25">
      <c r="A10" s="5" t="s">
        <v>10</v>
      </c>
      <c r="B10" s="5">
        <v>190</v>
      </c>
      <c r="C10" s="5">
        <v>110</v>
      </c>
      <c r="D10" s="2">
        <v>500</v>
      </c>
      <c r="E10" s="2">
        <v>7.5</v>
      </c>
      <c r="F10" s="2">
        <f t="shared" si="0"/>
        <v>80</v>
      </c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20" x14ac:dyDescent="0.25"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20" x14ac:dyDescent="0.25"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20" x14ac:dyDescent="0.25"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20" x14ac:dyDescent="0.25"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20" x14ac:dyDescent="0.25"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20" x14ac:dyDescent="0.25"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7:16" x14ac:dyDescent="0.25"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7:16" x14ac:dyDescent="0.25"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7:16" x14ac:dyDescent="0.25"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7:16" x14ac:dyDescent="0.25"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7:16" x14ac:dyDescent="0.25"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7:16" x14ac:dyDescent="0.25"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7:16" x14ac:dyDescent="0.25"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7:16" x14ac:dyDescent="0.25"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7:16" x14ac:dyDescent="0.25"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7:16" x14ac:dyDescent="0.25"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7:16" x14ac:dyDescent="0.25"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7:16" x14ac:dyDescent="0.25"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7:16" x14ac:dyDescent="0.25"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7:16" x14ac:dyDescent="0.25"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7:16" x14ac:dyDescent="0.25"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7:16" x14ac:dyDescent="0.25"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7:16" x14ac:dyDescent="0.25"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7:16" x14ac:dyDescent="0.25"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7:16" x14ac:dyDescent="0.25"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7:16" x14ac:dyDescent="0.25"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7:16" x14ac:dyDescent="0.25"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7:16" x14ac:dyDescent="0.25"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7:16" x14ac:dyDescent="0.25">
      <c r="G39" s="4"/>
      <c r="H39" s="4"/>
      <c r="I39" s="4"/>
      <c r="J39" s="4"/>
      <c r="K39" s="4"/>
      <c r="L39" s="4"/>
      <c r="M39" s="4"/>
      <c r="N39" s="4"/>
      <c r="O39" s="4"/>
      <c r="P39" s="4"/>
    </row>
  </sheetData>
  <mergeCells count="3">
    <mergeCell ref="G1:P1"/>
    <mergeCell ref="Q1:T1"/>
    <mergeCell ref="A1:E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2018-06-10T12:44:36Z</dcterms:modified>
</cp:coreProperties>
</file>