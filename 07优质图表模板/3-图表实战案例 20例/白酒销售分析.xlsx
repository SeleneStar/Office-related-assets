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F:\秋叶文档\课程开发文档\案例文件\按章节整理案例\"/>
    </mc:Choice>
  </mc:AlternateContent>
  <xr:revisionPtr revIDLastSave="0" documentId="13_ncr:1_{0151006C-A14A-4E84-B606-655FE402FA32}" xr6:coauthVersionLast="38" xr6:coauthVersionMax="38" xr10:uidLastSave="{00000000-0000-0000-0000-000000000000}"/>
  <bookViews>
    <workbookView xWindow="0" yWindow="0" windowWidth="13260" windowHeight="10230" activeTab="9" xr2:uid="{00000000-000D-0000-FFFF-FFFF00000000}"/>
  </bookViews>
  <sheets>
    <sheet name="源数据" sheetId="1" r:id="rId1"/>
    <sheet name="河南" sheetId="4" state="hidden" r:id="rId2"/>
    <sheet name="北京" sheetId="5" state="hidden" r:id="rId3"/>
    <sheet name="西安" sheetId="6" state="hidden" r:id="rId4"/>
    <sheet name="徐州" sheetId="7" state="hidden" r:id="rId5"/>
    <sheet name="清洗" sheetId="9" r:id="rId6"/>
    <sheet name="透视表" sheetId="10" r:id="rId7"/>
    <sheet name="过渡表" sheetId="11" r:id="rId8"/>
    <sheet name="整理后数据" sheetId="8" r:id="rId9"/>
    <sheet name="图表" sheetId="13" r:id="rId10"/>
  </sheets>
  <definedNames>
    <definedName name="_xlnm._FilterDatabase" localSheetId="2" hidden="1">北京!$B$2:$O$230</definedName>
    <definedName name="_xlnm._FilterDatabase" localSheetId="7" hidden="1">过渡表!$A$4:$E$67</definedName>
    <definedName name="_xlnm._FilterDatabase" localSheetId="1" hidden="1">河南!$B$2:$O$284</definedName>
    <definedName name="_xlnm._FilterDatabase" localSheetId="5" hidden="1">清洗!$A$1:$AB$64</definedName>
    <definedName name="_xlnm._FilterDatabase" localSheetId="3" hidden="1">西安!$B$2:$O$145</definedName>
    <definedName name="_xlnm._FilterDatabase" localSheetId="4" hidden="1">徐州!$B$2:$O$110</definedName>
    <definedName name="_xlnm._FilterDatabase" localSheetId="0" hidden="1">源数据!$A$4:$AB$43</definedName>
  </definedNames>
  <calcPr calcId="179021"/>
  <pivotCaches>
    <pivotCache cacheId="26" r:id="rId11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6" i="8" l="1"/>
  <c r="F37" i="8"/>
  <c r="D69" i="11"/>
  <c r="E69" i="11"/>
  <c r="D70" i="11"/>
  <c r="E70" i="11"/>
  <c r="D71" i="11"/>
  <c r="E71" i="11"/>
  <c r="D72" i="11"/>
  <c r="E72" i="11"/>
  <c r="C70" i="11"/>
  <c r="C71" i="11"/>
  <c r="C72" i="11"/>
  <c r="C69" i="11"/>
  <c r="D3" i="8"/>
  <c r="D35" i="8" s="1"/>
  <c r="E3" i="8"/>
  <c r="E35" i="8" s="1"/>
  <c r="F3" i="8"/>
  <c r="F35" i="8" s="1"/>
  <c r="D4" i="8"/>
  <c r="D36" i="8" s="1"/>
  <c r="E4" i="8"/>
  <c r="F4" i="8"/>
  <c r="F36" i="8" s="1"/>
  <c r="D5" i="8"/>
  <c r="D37" i="8" s="1"/>
  <c r="E5" i="8"/>
  <c r="E37" i="8" s="1"/>
  <c r="F5" i="8"/>
  <c r="D6" i="8"/>
  <c r="D38" i="8" s="1"/>
  <c r="E6" i="8"/>
  <c r="E38" i="8" s="1"/>
  <c r="F6" i="8"/>
  <c r="F38" i="8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D24" i="8"/>
  <c r="E24" i="8"/>
  <c r="F24" i="8"/>
  <c r="D25" i="8"/>
  <c r="E25" i="8"/>
  <c r="F25" i="8"/>
  <c r="D26" i="8"/>
  <c r="E26" i="8"/>
  <c r="F26" i="8"/>
  <c r="D27" i="8"/>
  <c r="E27" i="8"/>
  <c r="F27" i="8"/>
  <c r="D28" i="8"/>
  <c r="E28" i="8"/>
  <c r="F28" i="8"/>
  <c r="D29" i="8"/>
  <c r="E29" i="8"/>
  <c r="F29" i="8"/>
  <c r="D30" i="8"/>
  <c r="E30" i="8"/>
  <c r="F30" i="8"/>
  <c r="D31" i="8"/>
  <c r="E31" i="8"/>
  <c r="F31" i="8"/>
  <c r="D32" i="8"/>
  <c r="E32" i="8"/>
  <c r="F32" i="8"/>
  <c r="D33" i="8"/>
  <c r="E33" i="8"/>
  <c r="F33" i="8"/>
  <c r="D34" i="8"/>
  <c r="E34" i="8"/>
  <c r="F34" i="8"/>
  <c r="J64" i="9" l="1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21" i="9"/>
  <c r="J20" i="9"/>
  <c r="J19" i="9"/>
  <c r="H18" i="9"/>
  <c r="N18" i="9" s="1"/>
  <c r="H17" i="9"/>
  <c r="J17" i="9" s="1"/>
  <c r="H16" i="9"/>
  <c r="J16" i="9" s="1"/>
  <c r="H15" i="9"/>
  <c r="J15" i="9" s="1"/>
  <c r="J18" i="9" l="1"/>
  <c r="L18" i="9"/>
  <c r="T5" i="1" l="1"/>
  <c r="T9" i="1" s="1"/>
  <c r="V5" i="1"/>
  <c r="X5" i="1"/>
  <c r="Z5" i="1"/>
  <c r="Z9" i="1" s="1"/>
  <c r="AB5" i="1"/>
  <c r="T6" i="1"/>
  <c r="V6" i="1"/>
  <c r="X6" i="1"/>
  <c r="X9" i="1" s="1"/>
  <c r="Z6" i="1"/>
  <c r="T7" i="1"/>
  <c r="V7" i="1"/>
  <c r="X7" i="1"/>
  <c r="Z7" i="1"/>
  <c r="T8" i="1"/>
  <c r="V8" i="1"/>
  <c r="X8" i="1"/>
  <c r="Z8" i="1"/>
  <c r="R9" i="1"/>
  <c r="S9" i="1"/>
  <c r="U9" i="1"/>
  <c r="V9" i="1"/>
  <c r="W9" i="1"/>
  <c r="Y9" i="1"/>
  <c r="T12" i="1"/>
  <c r="V12" i="1"/>
  <c r="T13" i="1"/>
  <c r="V13" i="1"/>
  <c r="T14" i="1"/>
  <c r="V14" i="1"/>
  <c r="T15" i="1"/>
  <c r="V15" i="1"/>
  <c r="R16" i="1"/>
  <c r="S16" i="1"/>
  <c r="T16" i="1"/>
  <c r="U16" i="1"/>
  <c r="T20" i="1"/>
  <c r="W20" i="1"/>
  <c r="T21" i="1"/>
  <c r="W21" i="1"/>
  <c r="T22" i="1"/>
  <c r="W22" i="1"/>
  <c r="I23" i="1"/>
  <c r="I25" i="1" s="1"/>
  <c r="J23" i="1"/>
  <c r="J25" i="1" s="1"/>
  <c r="K23" i="1"/>
  <c r="L23" i="1"/>
  <c r="M23" i="1"/>
  <c r="N23" i="1"/>
  <c r="T23" i="1"/>
  <c r="W23" i="1"/>
  <c r="R24" i="1"/>
  <c r="S24" i="1"/>
  <c r="U24" i="1"/>
  <c r="V24" i="1"/>
  <c r="J26" i="1"/>
  <c r="J28" i="1"/>
  <c r="T28" i="1"/>
  <c r="W28" i="1"/>
  <c r="J29" i="1"/>
  <c r="T29" i="1"/>
  <c r="W29" i="1"/>
  <c r="H30" i="1"/>
  <c r="J30" i="1" s="1"/>
  <c r="J31" i="1" s="1"/>
  <c r="T30" i="1"/>
  <c r="T32" i="1" s="1"/>
  <c r="W30" i="1"/>
  <c r="T31" i="1"/>
  <c r="W31" i="1"/>
  <c r="H32" i="1"/>
  <c r="J32" i="1" s="1"/>
  <c r="J33" i="1" s="1"/>
  <c r="R32" i="1"/>
  <c r="S32" i="1"/>
  <c r="U32" i="1"/>
  <c r="W32" i="1" s="1"/>
  <c r="V32" i="1"/>
  <c r="H34" i="1"/>
  <c r="J34" i="1" s="1"/>
  <c r="J35" i="1" s="1"/>
  <c r="H36" i="1"/>
  <c r="L36" i="1" s="1"/>
  <c r="J38" i="1"/>
  <c r="J39" i="1"/>
  <c r="J40" i="1"/>
  <c r="I41" i="1"/>
  <c r="I43" i="1" s="1"/>
  <c r="K41" i="1"/>
  <c r="L41" i="1"/>
  <c r="M41" i="1"/>
  <c r="N41" i="1"/>
  <c r="I66" i="1"/>
  <c r="I68" i="1" s="1"/>
  <c r="J66" i="1"/>
  <c r="J68" i="1" s="1"/>
  <c r="K66" i="1"/>
  <c r="L66" i="1"/>
  <c r="M66" i="1"/>
  <c r="N66" i="1"/>
  <c r="J69" i="1"/>
  <c r="J70" i="1" s="1"/>
  <c r="J71" i="1"/>
  <c r="J72" i="1" s="1"/>
  <c r="J74" i="1"/>
  <c r="J76" i="1"/>
  <c r="J78" i="1"/>
  <c r="I82" i="1"/>
  <c r="I84" i="1" s="1"/>
  <c r="J82" i="1"/>
  <c r="J84" i="1" s="1"/>
  <c r="K82" i="1"/>
  <c r="L82" i="1"/>
  <c r="M82" i="1"/>
  <c r="N82" i="1"/>
  <c r="J90" i="1"/>
  <c r="J91" i="1"/>
  <c r="J107" i="1" s="1"/>
  <c r="J109" i="1" s="1"/>
  <c r="J92" i="1"/>
  <c r="J95" i="1"/>
  <c r="J96" i="1"/>
  <c r="J99" i="1"/>
  <c r="J101" i="1"/>
  <c r="J103" i="1"/>
  <c r="J104" i="1"/>
  <c r="I107" i="1"/>
  <c r="I109" i="1" s="1"/>
  <c r="K107" i="1"/>
  <c r="L107" i="1"/>
  <c r="M107" i="1"/>
  <c r="N107" i="1"/>
  <c r="J110" i="1"/>
  <c r="J111" i="1" s="1"/>
  <c r="J112" i="1"/>
  <c r="J113" i="1" s="1"/>
  <c r="J114" i="1"/>
  <c r="J115" i="1" s="1"/>
  <c r="J116" i="1"/>
  <c r="J117" i="1" s="1"/>
  <c r="J118" i="1"/>
  <c r="J119" i="1"/>
  <c r="J120" i="1"/>
  <c r="J122" i="1" s="1"/>
  <c r="J124" i="1" s="1"/>
  <c r="J121" i="1"/>
  <c r="I122" i="1"/>
  <c r="I124" i="1" s="1"/>
  <c r="K122" i="1"/>
  <c r="L122" i="1"/>
  <c r="M122" i="1"/>
  <c r="N122" i="1"/>
  <c r="J130" i="1"/>
  <c r="J147" i="1" s="1"/>
  <c r="J149" i="1" s="1"/>
  <c r="J131" i="1"/>
  <c r="J132" i="1"/>
  <c r="J135" i="1"/>
  <c r="J136" i="1"/>
  <c r="J140" i="1"/>
  <c r="I147" i="1"/>
  <c r="I149" i="1" s="1"/>
  <c r="K147" i="1"/>
  <c r="L147" i="1"/>
  <c r="M147" i="1"/>
  <c r="N147" i="1"/>
  <c r="J150" i="1"/>
  <c r="J151" i="1" s="1"/>
  <c r="J152" i="1"/>
  <c r="J153" i="1" s="1"/>
  <c r="J154" i="1"/>
  <c r="J155" i="1" s="1"/>
  <c r="J156" i="1"/>
  <c r="J157" i="1" s="1"/>
  <c r="J158" i="1"/>
  <c r="J159" i="1" s="1"/>
  <c r="J160" i="1"/>
  <c r="I165" i="1"/>
  <c r="J165" i="1"/>
  <c r="W24" i="1" l="1"/>
  <c r="T24" i="1"/>
  <c r="J41" i="1"/>
  <c r="J43" i="1" s="1"/>
  <c r="J27" i="1"/>
  <c r="J44" i="1"/>
  <c r="J36" i="1"/>
  <c r="J37" i="1" s="1"/>
  <c r="V16" i="1"/>
  <c r="N36" i="1"/>
</calcChain>
</file>

<file path=xl/sharedStrings.xml><?xml version="1.0" encoding="utf-8"?>
<sst xmlns="http://schemas.openxmlformats.org/spreadsheetml/2006/main" count="4868" uniqueCount="690">
  <si>
    <t>2018年度酒便利平台泸州老窖销量占比情况</t>
  </si>
  <si>
    <r>
      <t>全国酒便利周明细</t>
    </r>
    <r>
      <rPr>
        <b/>
        <sz val="12"/>
        <color indexed="8"/>
        <rFont val="Arial"/>
        <family val="2"/>
      </rPr>
      <t>—</t>
    </r>
    <r>
      <rPr>
        <b/>
        <sz val="12"/>
        <color indexed="8"/>
        <rFont val="宋体"/>
        <family val="3"/>
        <charset val="134"/>
      </rPr>
      <t>河南</t>
    </r>
  </si>
  <si>
    <t>国窖进2154；国窖出2161。（箱）</t>
  </si>
  <si>
    <t>序号</t>
  </si>
  <si>
    <t>商品编码</t>
  </si>
  <si>
    <t>商品名称</t>
  </si>
  <si>
    <t>规格</t>
  </si>
  <si>
    <t>单价</t>
  </si>
  <si>
    <t>全年计划总量(瓶)</t>
  </si>
  <si>
    <t>全年计划采购总金额</t>
  </si>
  <si>
    <t>成交价</t>
  </si>
  <si>
    <t>20171101-20181031</t>
  </si>
  <si>
    <t>20170501-20171031</t>
  </si>
  <si>
    <t>20180501-20181031</t>
  </si>
  <si>
    <t>本品情况</t>
  </si>
  <si>
    <t>竞品情况</t>
  </si>
  <si>
    <t>出库数量</t>
  </si>
  <si>
    <t>出库金额</t>
  </si>
  <si>
    <t>酒便利各公司白酒销售额（元）</t>
  </si>
  <si>
    <t>酒便利各区域白酒销售总金额（元）</t>
  </si>
  <si>
    <t>我司白酒在各区域销售额（元）</t>
  </si>
  <si>
    <t>占比</t>
  </si>
  <si>
    <t>国窖销售额</t>
  </si>
  <si>
    <t>国窖占比</t>
  </si>
  <si>
    <t>普五销售额</t>
  </si>
  <si>
    <t>普五占比</t>
  </si>
  <si>
    <t>普剑销售额</t>
  </si>
  <si>
    <t>普剑占比</t>
  </si>
  <si>
    <t>52海之蓝销售额</t>
  </si>
  <si>
    <t>海之蓝占比</t>
  </si>
  <si>
    <t>38°国窖1573 500ml</t>
  </si>
  <si>
    <t>500ml*6</t>
  </si>
  <si>
    <t>河南酒便利白酒销售额</t>
  </si>
  <si>
    <t>52°国窖1573 500ml</t>
  </si>
  <si>
    <t>北京酒便利白酒销售额</t>
  </si>
  <si>
    <t>*52°百年泸州老窖酒窖龄30年500ml</t>
  </si>
  <si>
    <t>西安酒便利白酒销售额</t>
  </si>
  <si>
    <t>52°百年泸州老窖酒窖龄60年500ml</t>
  </si>
  <si>
    <t>徐州酒便利白酒销售额</t>
  </si>
  <si>
    <t>38°泸州老窖泸州百年30年窖龄500ml</t>
  </si>
  <si>
    <t>总计</t>
  </si>
  <si>
    <t>38°泸州老窖百年60年窖龄500ml</t>
  </si>
  <si>
    <t>52°泸州老窖特曲500ml</t>
  </si>
  <si>
    <t>酒便利各公司葡萄酒销售额（元）</t>
  </si>
  <si>
    <t>酒便利各区域葡萄酒销售总金额（元）</t>
  </si>
  <si>
    <t>我司葡萄酒在各区域销售额（元）</t>
  </si>
  <si>
    <t>舒富销售额</t>
  </si>
  <si>
    <t>舒富占比</t>
  </si>
  <si>
    <t>52°泸州老窖头曲500ml</t>
  </si>
  <si>
    <t>河南酒便利葡萄酒销售额</t>
  </si>
  <si>
    <t>52°泸州老窖精品头曲D9 500ml</t>
  </si>
  <si>
    <t>北京酒便利葡萄酒销售额</t>
  </si>
  <si>
    <t>52°泸州老窖精品头曲D6 500ml</t>
  </si>
  <si>
    <t>西安酒便利葡萄酒销售额</t>
  </si>
  <si>
    <t>*42°泸小二FOR ME（彩色）酒125ml</t>
  </si>
  <si>
    <t>125ml*24</t>
  </si>
  <si>
    <t>徐州酒便利葡萄酒销售额</t>
  </si>
  <si>
    <t>42°泸州老窖二曲白酒蓝瓶装 500ml</t>
  </si>
  <si>
    <t>52°国窖1573曾娜大师鉴藏版500ml</t>
  </si>
  <si>
    <t>52°泸州老窖2018农历戊戌年金狗佑财1.088L</t>
  </si>
  <si>
    <t>1.088L*3</t>
  </si>
  <si>
    <t>区域</t>
  </si>
  <si>
    <t>白酒销量（瓶）</t>
  </si>
  <si>
    <t>葡萄酒销量（瓶）</t>
  </si>
  <si>
    <t>52°泸州老窖中秋丁酉年节庆酒1L</t>
  </si>
  <si>
    <t>1L*3</t>
  </si>
  <si>
    <t>2017.5.1-2017.10.31</t>
  </si>
  <si>
    <t>2018.5.1-2018.10.31</t>
  </si>
  <si>
    <t>同比</t>
  </si>
  <si>
    <t>53°国窖国韵1L</t>
  </si>
  <si>
    <t>1L*1</t>
  </si>
  <si>
    <t>河南酒便利</t>
  </si>
  <si>
    <t>*22°桃花醉配制酒（时尚版）500ml</t>
  </si>
  <si>
    <t>北京酒便利</t>
  </si>
  <si>
    <t>*22°桃花醉配制酒（仙侠版）500ml</t>
  </si>
  <si>
    <t>西安酒便利</t>
  </si>
  <si>
    <t>老窖白酒合计</t>
  </si>
  <si>
    <t>徐州酒便利</t>
  </si>
  <si>
    <t>河南酒便利平台白酒合计</t>
  </si>
  <si>
    <t>老窖白酒在河南酒便利占比</t>
  </si>
  <si>
    <t>52°五粮液普装500ml（瓶）</t>
  </si>
  <si>
    <t>52°剑南春普装500ml（瓶）</t>
  </si>
  <si>
    <t>竞品信息</t>
  </si>
  <si>
    <t>52°剑南春普装500ml</t>
  </si>
  <si>
    <t>52°五粮液普装500ml</t>
  </si>
  <si>
    <t>52°洋河天之蓝480ml</t>
  </si>
  <si>
    <t>480ml*6</t>
  </si>
  <si>
    <t>52°洋河海之蓝480ml</t>
  </si>
  <si>
    <t>舒富红葡萄酒750ml</t>
  </si>
  <si>
    <t>750ml*6</t>
  </si>
  <si>
    <t>希拉谷西拉红葡萄酒750ml</t>
  </si>
  <si>
    <t>希拉谷庄园西拉红葡萄酒750ml</t>
  </si>
  <si>
    <t>优选葡萄酒合计</t>
  </si>
  <si>
    <t>酒便利平台葡萄酒合计</t>
  </si>
  <si>
    <t>优选葡萄酒在酒便利河南占比</t>
  </si>
  <si>
    <r>
      <rPr>
        <b/>
        <sz val="12"/>
        <color indexed="8"/>
        <rFont val="微软雅黑"/>
        <family val="2"/>
        <charset val="134"/>
      </rPr>
      <t>全国酒便利周明细</t>
    </r>
    <r>
      <rPr>
        <b/>
        <sz val="12"/>
        <color indexed="8"/>
        <rFont val="Arial"/>
        <family val="2"/>
      </rPr>
      <t>—</t>
    </r>
    <r>
      <rPr>
        <b/>
        <sz val="12"/>
        <color indexed="8"/>
        <rFont val="微软雅黑"/>
        <family val="2"/>
        <charset val="134"/>
      </rPr>
      <t>北京</t>
    </r>
  </si>
  <si>
    <t>北京酒便利平台白酒合计</t>
  </si>
  <si>
    <t>老窖白酒北京酒便利占比</t>
  </si>
  <si>
    <t>优选葡萄酒在酒便利北京占比</t>
  </si>
  <si>
    <r>
      <t>全国酒便利周明细</t>
    </r>
    <r>
      <rPr>
        <b/>
        <sz val="12"/>
        <color indexed="8"/>
        <rFont val="Arial"/>
        <family val="2"/>
      </rPr>
      <t>—</t>
    </r>
    <r>
      <rPr>
        <b/>
        <sz val="12"/>
        <color indexed="8"/>
        <rFont val="宋体"/>
        <family val="3"/>
        <charset val="134"/>
      </rPr>
      <t>西安</t>
    </r>
  </si>
  <si>
    <t>西安酒便利平台白酒合计</t>
  </si>
  <si>
    <t>老窖白酒在西安酒便利占比</t>
  </si>
  <si>
    <t>*46°洋河海之蓝480ml</t>
  </si>
  <si>
    <t>西安酒便利平台葡萄酒合计</t>
  </si>
  <si>
    <t>优选葡萄酒在西安酒便利占比</t>
  </si>
  <si>
    <r>
      <t>全国酒便利周明细</t>
    </r>
    <r>
      <rPr>
        <b/>
        <sz val="12"/>
        <color indexed="8"/>
        <rFont val="Arial"/>
        <family val="2"/>
      </rPr>
      <t>—</t>
    </r>
    <r>
      <rPr>
        <b/>
        <sz val="12"/>
        <color indexed="8"/>
        <rFont val="宋体"/>
        <family val="3"/>
        <charset val="134"/>
      </rPr>
      <t>江苏（徐州）</t>
    </r>
  </si>
  <si>
    <t>徐州酒便利平台白酒合计</t>
  </si>
  <si>
    <t>老窖白酒在徐州酒便利占比</t>
  </si>
  <si>
    <t>42°洋河蓝色经典海之蓝480ml</t>
  </si>
  <si>
    <t>351</t>
  </si>
  <si>
    <t>徐州酒便利平台葡萄酒合计</t>
  </si>
  <si>
    <t>优选葡萄酒在徐州酒便利占比</t>
  </si>
  <si>
    <t>商品大类</t>
  </si>
  <si>
    <t>商品类别</t>
  </si>
  <si>
    <t>单位</t>
  </si>
  <si>
    <t>数量</t>
  </si>
  <si>
    <t>成交均价</t>
  </si>
  <si>
    <t>销售额</t>
  </si>
  <si>
    <t>成本</t>
  </si>
  <si>
    <t>毛利</t>
  </si>
  <si>
    <t>毛利率</t>
  </si>
  <si>
    <t>单品客流量</t>
  </si>
  <si>
    <t>销售门店数</t>
  </si>
  <si>
    <t/>
  </si>
  <si>
    <t>白酒</t>
  </si>
  <si>
    <t>白酒-浓香型</t>
  </si>
  <si>
    <t>瓶</t>
  </si>
  <si>
    <t>白酒-酱香型</t>
  </si>
  <si>
    <t>53°飞天茅台酒500ml</t>
  </si>
  <si>
    <t>52°五粮液1618 500ml</t>
  </si>
  <si>
    <t>白酒其它</t>
  </si>
  <si>
    <t>46°+70°仰韶彩陶坊地利(450ml+50ml)</t>
  </si>
  <si>
    <t>(450ml+50ml)*6</t>
  </si>
  <si>
    <t>46°+70°仰韶彩陶坊人和(450m+50ml）</t>
  </si>
  <si>
    <t>52°舍得酒500ml（HN）</t>
  </si>
  <si>
    <t>43°飞天茅台500ml</t>
  </si>
  <si>
    <t>53°茅台酒15年500ml礼盒装</t>
  </si>
  <si>
    <t>盒</t>
  </si>
  <si>
    <t>46°+70°仰韶彩陶坊五星地利(450ml+50ml)</t>
  </si>
  <si>
    <t>（450ml+50ml）*6</t>
  </si>
  <si>
    <t>52°水井坊井台装500ml</t>
  </si>
  <si>
    <t>53°红花郎10年500ml</t>
  </si>
  <si>
    <t>46°赊店老酒元青花500ml</t>
  </si>
  <si>
    <t>46°+70°仰韶彩陶坊献礼版（450ml+50ml）</t>
  </si>
  <si>
    <t>52°水井坊臻酿八号500ml</t>
  </si>
  <si>
    <t>53°习酒窖藏1998 500ml</t>
  </si>
  <si>
    <t>53°习酒金质 500ml</t>
  </si>
  <si>
    <t>白酒-清香型</t>
  </si>
  <si>
    <t>53°汾酒475ml</t>
  </si>
  <si>
    <t>475ml*12</t>
  </si>
  <si>
    <t>53°汾酒30年青花500ml</t>
  </si>
  <si>
    <t>46°+68°双沟珍宝坊君坊(480ml+20ml)</t>
  </si>
  <si>
    <t>(480ml+20ml)*6</t>
  </si>
  <si>
    <t>52°五粮液E60珍品酒 500ml</t>
  </si>
  <si>
    <t>53°茅台王子酒500ml</t>
  </si>
  <si>
    <t>53°茅台迎宾酒500ml</t>
  </si>
  <si>
    <t>52°洋河梦之蓝M3 500ml</t>
  </si>
  <si>
    <t>500ml*4</t>
  </si>
  <si>
    <t>*52°酒鬼酒（天工开物/馥郁天成）1L</t>
  </si>
  <si>
    <t>1L*6</t>
  </si>
  <si>
    <t>53°红花郎15年500ml</t>
  </si>
  <si>
    <t>50°古井贡酒年份原浆5年500ml</t>
  </si>
  <si>
    <t>53°习酒银质500ml</t>
  </si>
  <si>
    <t>53°飞天茅台酒200ml</t>
  </si>
  <si>
    <t>200ml*12</t>
  </si>
  <si>
    <t>51°茅台汉酱500ml</t>
  </si>
  <si>
    <t>53°老白汾酒封坛拾伍年475ml</t>
  </si>
  <si>
    <t>475ml*6</t>
  </si>
  <si>
    <t>53°飞天茅台酒375ml</t>
  </si>
  <si>
    <t>375ml*12</t>
  </si>
  <si>
    <t>53°汾酒20年青花500ml</t>
  </si>
  <si>
    <t>53°老白汾酒特制十年475ml</t>
  </si>
  <si>
    <t>53°飞天茅台鸡年500ml</t>
  </si>
  <si>
    <t>46°+70°仰韶彩陶坊天时（450ml+50ml）</t>
  </si>
  <si>
    <t>(450ml+50ml)*3</t>
  </si>
  <si>
    <t>52°小糊涂仙500ml</t>
  </si>
  <si>
    <t>500ml*12</t>
  </si>
  <si>
    <t>52°泸州窖酒陶坛老酒500ml</t>
  </si>
  <si>
    <t>52°金剑南K6 500ml</t>
  </si>
  <si>
    <t>50°酒祖杜康9窖区500ml</t>
  </si>
  <si>
    <t>50°酒祖杜康12窖区500ml</t>
  </si>
  <si>
    <t>500*4</t>
  </si>
  <si>
    <t>46°+70°仰韶彩陶坊五星人和(450m+50ml）</t>
  </si>
  <si>
    <t>52°五粮液(交杯牌)500ml</t>
  </si>
  <si>
    <t>52°文君酒500ml</t>
  </si>
  <si>
    <t>53°习酒红盒 500ml</t>
  </si>
  <si>
    <t>52°金剑南1号藏品500ml</t>
  </si>
  <si>
    <t>50°汾阳王青花10年500ml</t>
  </si>
  <si>
    <t>52°洋河大曲青瓷500ml</t>
  </si>
  <si>
    <t>53°青花郎酒二十年500ml</t>
  </si>
  <si>
    <t>53°汾酒紫砂陶475ml</t>
  </si>
  <si>
    <t>50°古井贡酒年份原浆8年500ml</t>
  </si>
  <si>
    <t>*52°汾酒清香酒海475ml</t>
  </si>
  <si>
    <t>48°文君凤求凰500ml</t>
  </si>
  <si>
    <t>40°江小白300ml</t>
  </si>
  <si>
    <t>300ml*12</t>
  </si>
  <si>
    <t>53°金沙大匠酒500ml</t>
  </si>
  <si>
    <t>53°茅台王子酒（金王子）500ml</t>
  </si>
  <si>
    <t>53°汾酒蓝瓷475ml</t>
  </si>
  <si>
    <t>50°酒祖杜康6窖区500ml</t>
  </si>
  <si>
    <t>53°摘要酒500ml</t>
  </si>
  <si>
    <t>*53°贵州大曲丁酉鸡年2.5L</t>
  </si>
  <si>
    <t>2.5L*1</t>
  </si>
  <si>
    <t>53°飞天茅台1.68L</t>
  </si>
  <si>
    <t>1.68L*3</t>
  </si>
  <si>
    <t>53°红星八年陈酿蓝瓶二锅头500ml</t>
  </si>
  <si>
    <t>52°习酒3年陈酿500ml</t>
  </si>
  <si>
    <t>46°赊店老酒清青花500ml</t>
  </si>
  <si>
    <t>50°古井贡酒年份原浆幸福版500ml</t>
  </si>
  <si>
    <t>52°洋河梦之蓝M6  500ml</t>
  </si>
  <si>
    <t>50°汾阳王青花5年500ml</t>
  </si>
  <si>
    <t>52°小糊涂神500ml</t>
  </si>
  <si>
    <t>53°赖茅重沙500ml</t>
  </si>
  <si>
    <t>*53°飞天茅台三十年500ml</t>
  </si>
  <si>
    <t>40°江小白100ml</t>
  </si>
  <si>
    <t>100ml*24</t>
  </si>
  <si>
    <t>52°百年泸州老窖酒窖龄30年500ml</t>
  </si>
  <si>
    <t>52°剑南原浆酒500ml</t>
  </si>
  <si>
    <t>52°五粮液六和液盛典装500ml</t>
  </si>
  <si>
    <t>53°茅台王子酒（酱香经典）500ml</t>
  </si>
  <si>
    <t>白酒-浓酱兼香型</t>
  </si>
  <si>
    <t>53°白云边四星陈酿500ml</t>
  </si>
  <si>
    <t>53°飞天茅台玫瑰金版500ml</t>
  </si>
  <si>
    <t>46°赊店老酒明青花500ml</t>
  </si>
  <si>
    <t>52°牛栏山百年陈酿400ml</t>
  </si>
  <si>
    <t>400ml*6</t>
  </si>
  <si>
    <t>50°白云边五星陈酿500ml</t>
  </si>
  <si>
    <t>52°五粮液戊戌（狗）年生肖纪念酒礼盒</t>
  </si>
  <si>
    <t>500ml*4*1</t>
  </si>
  <si>
    <t>50°牛栏山二锅头清雅二十年475ml</t>
  </si>
  <si>
    <t>52°洋河大曲蓝瓷480ml</t>
  </si>
  <si>
    <t>戊戌（狗）年纪念酒*8</t>
  </si>
  <si>
    <t>500ml*8</t>
  </si>
  <si>
    <t>52°汾酒清香酒海品味475ml</t>
  </si>
  <si>
    <t>45°赊店10 元青花500ml</t>
  </si>
  <si>
    <t>53°茅台五十年礼盒装500ml</t>
  </si>
  <si>
    <t>白酒-凤香型</t>
  </si>
  <si>
    <t>*55°西凤酒500ml</t>
  </si>
  <si>
    <t>50°汾阳王15年500ml</t>
  </si>
  <si>
    <t>52°孔府家酒高陶500ml</t>
  </si>
  <si>
    <t>*53°国乡荷花酒500ml</t>
  </si>
  <si>
    <t>53°珍酒珍五500ml</t>
  </si>
  <si>
    <t>53°白云边三星500ml</t>
  </si>
  <si>
    <t>53°飞天茅台金条50ml*5</t>
  </si>
  <si>
    <t>50ml*5</t>
  </si>
  <si>
    <t>52°泸州老窖六年窖头曲450ml</t>
  </si>
  <si>
    <t>450ml *6</t>
  </si>
  <si>
    <t>*52°孔府家酒朋自远方6 500ml</t>
  </si>
  <si>
    <t>50°牛栏山特制精品二锅头450ml</t>
  </si>
  <si>
    <t>450ml*6</t>
  </si>
  <si>
    <t>53°飞天茅台酒250ml</t>
  </si>
  <si>
    <t>250ml*12</t>
  </si>
  <si>
    <t>53°窖客酒·醇厚礼盒装500ml*4</t>
  </si>
  <si>
    <t>52°尖庄曲酒500ml</t>
  </si>
  <si>
    <t>42°百泉春寿酒普装500ml</t>
  </si>
  <si>
    <t>50°五粮醇3D 500ml</t>
  </si>
  <si>
    <t>52°绵竹大曲窖藏500ml</t>
  </si>
  <si>
    <t>*52°五粮液虎符令酒500ml</t>
  </si>
  <si>
    <t>42°牛栏山陈酿白酒500ml</t>
  </si>
  <si>
    <t>*52°全兴1963 500ml</t>
  </si>
  <si>
    <t>40°江小白青春版500ml</t>
  </si>
  <si>
    <t>52°五粮液100年传奇柔和500ml</t>
  </si>
  <si>
    <t>53°牛栏山二锅头清香三十年500ml</t>
  </si>
  <si>
    <t>52°舍得酒250ml</t>
  </si>
  <si>
    <t>42°毛铺苦荞酒金荞500ml</t>
  </si>
  <si>
    <t>*52°全兴古酿500ml</t>
  </si>
  <si>
    <t>52°舍得智慧酒500ml</t>
  </si>
  <si>
    <t>52°牛栏山二锅头十八年陈酿500ml</t>
  </si>
  <si>
    <t>53°新品国乡荷花500ml</t>
  </si>
  <si>
    <t>53°习酒窖藏1988 500ml</t>
  </si>
  <si>
    <t>42.8°毛铺苦荞酒黑荞500ml</t>
  </si>
  <si>
    <t>52°泸州老窖特曲60版500ml</t>
  </si>
  <si>
    <t>*53°国台酱酒1L</t>
  </si>
  <si>
    <t>1L*4</t>
  </si>
  <si>
    <t>45°小郎酒100ml</t>
  </si>
  <si>
    <t>*53°茅台王子酒（黑金）500ml</t>
  </si>
  <si>
    <t>56°炸弹二锅头100ml</t>
  </si>
  <si>
    <t>100ml*20</t>
  </si>
  <si>
    <t>50°五粮醇红淡雅500ml</t>
  </si>
  <si>
    <t>*43°红星蓝界酒500ml</t>
  </si>
  <si>
    <t>53°老珍酒500ml</t>
  </si>
  <si>
    <t>45°竹叶青酒牧童475ml</t>
  </si>
  <si>
    <t>52°五粮特曲500ml</t>
  </si>
  <si>
    <t>45°杏花村福酒五(225ml*2)</t>
  </si>
  <si>
    <t>225ml*2*6</t>
  </si>
  <si>
    <t>42°百泉春特制珍品长寿酒500ml</t>
  </si>
  <si>
    <t>50°汾阳王20年500ml</t>
  </si>
  <si>
    <t>52°酒鬼酒（无上妙品）500ml</t>
  </si>
  <si>
    <t>*52°泸州窖酒窖之绵500ml</t>
  </si>
  <si>
    <t>52°尖庄曲酒450ml*2双瓶礼盒</t>
  </si>
  <si>
    <t>450ml*2*6</t>
  </si>
  <si>
    <t>*53°茅台王子酒酱品500ml</t>
  </si>
  <si>
    <t>56°牛栏山裸瓶500ml</t>
  </si>
  <si>
    <t>53°飞天茅台猴年500ml</t>
  </si>
  <si>
    <t>52°珍品级绵竹大曲蓝盒475ml</t>
  </si>
  <si>
    <t>50°白云边九象6号500ml</t>
  </si>
  <si>
    <t>52°金剑南鉴藏500ml</t>
  </si>
  <si>
    <t>35°中国劲酒258ml</t>
  </si>
  <si>
    <t>258ml*15</t>
  </si>
  <si>
    <t>53°茅台仁酒500ml</t>
  </si>
  <si>
    <t>53°珍酒珍十五500ml</t>
  </si>
  <si>
    <t>53°红星八年陈酿蓝瓶二锅头250ml</t>
  </si>
  <si>
    <t>250ml*24</t>
  </si>
  <si>
    <t>38°竹叶青酒金象500ml</t>
  </si>
  <si>
    <t>50°五粮液五粮人家家酿500ml</t>
  </si>
  <si>
    <t>46°赊店15 元青花500ml</t>
  </si>
  <si>
    <t>50°五粮春500ml</t>
  </si>
  <si>
    <t>54°湘泉盒优500ml</t>
  </si>
  <si>
    <t>52°五粮液丁酉（鸡）年生肖纪念酒礼盒</t>
  </si>
  <si>
    <t>46°双沟大曲500ml</t>
  </si>
  <si>
    <t>52°洋河特曲（珠光金）500ml</t>
  </si>
  <si>
    <t>53°茅台迎宾酒（中国红）500ml</t>
  </si>
  <si>
    <t>52°剑南春鸡年吉祥500ml</t>
  </si>
  <si>
    <t>53°飞天茅台酒 50ml*2</t>
  </si>
  <si>
    <t>50ml*2*30</t>
  </si>
  <si>
    <t>45°五粮春500ml</t>
  </si>
  <si>
    <t>*52°剑南春珍藏级特酿500ml</t>
  </si>
  <si>
    <t>52°西凤凤香经典10年500ml</t>
  </si>
  <si>
    <t>52°牛栏山经典二锅头500ml</t>
  </si>
  <si>
    <t>52°尖庄曲酒300ml</t>
  </si>
  <si>
    <t>300ml*20</t>
  </si>
  <si>
    <t>46°天佑德青稞酒柔和R3 500ml</t>
  </si>
  <si>
    <t>52°文君礼盒套装500ml+100ml</t>
  </si>
  <si>
    <t>500ml+100ml*6</t>
  </si>
  <si>
    <t>53°茅台（飞天）迎宾酒500ml</t>
  </si>
  <si>
    <t>52°吴窖银樽酒500ml</t>
  </si>
  <si>
    <t>53°仁酒·和天下 500ml</t>
  </si>
  <si>
    <t>35°中国劲酒125ml</t>
  </si>
  <si>
    <t>五粮液38°+69°自由度(459ml+207ml</t>
  </si>
  <si>
    <t>（459ml+207ml）*4</t>
  </si>
  <si>
    <t>*52°泸州老窖8年陈头曲500ml</t>
  </si>
  <si>
    <t>*52°泸州老窖精品头曲铁盒07版500ml</t>
  </si>
  <si>
    <t>45°文君酒125ml</t>
  </si>
  <si>
    <t>125ml*36</t>
  </si>
  <si>
    <t>46°剑小绵150ml</t>
  </si>
  <si>
    <t>150ml*20</t>
  </si>
  <si>
    <t>46°老口子窖450ml</t>
  </si>
  <si>
    <t>46°口子窖五年450ml</t>
  </si>
  <si>
    <t>46°赊店20 元青花500ml</t>
  </si>
  <si>
    <t>52°一同发财台湾高粱酒深海蓝500ml</t>
  </si>
  <si>
    <t>55°盘古汾酒500ml</t>
  </si>
  <si>
    <t>*53°贵州华茅酒百年印象500ml</t>
  </si>
  <si>
    <t>42°百泉春龙寿酒礼盒500ml*2</t>
  </si>
  <si>
    <t>1*1</t>
  </si>
  <si>
    <t>52°文君戊戌狗年纪念酒1.5L</t>
  </si>
  <si>
    <t>53°贵州大曲酒（戊戌狗年）2.5L</t>
  </si>
  <si>
    <t>46°赊店小红檀500ml</t>
  </si>
  <si>
    <t>50°白云边九象3号500ml</t>
  </si>
  <si>
    <t>46°赊店大红檀500ml</t>
  </si>
  <si>
    <t>51.8°信阳名片酒480ml</t>
  </si>
  <si>
    <t>42°毛铺苦荞酒125ml</t>
  </si>
  <si>
    <t>52°纯粮经典绵竹大曲（袋装）500ml</t>
  </si>
  <si>
    <t>46°口子窖六年450ml</t>
  </si>
  <si>
    <t>52°仰韶窖香鸿运500ml</t>
  </si>
  <si>
    <t>53°迎囍酒（金标）500ml</t>
  </si>
  <si>
    <t>*42°泸州老窖二曲白酒蓝瓶装 500ml</t>
  </si>
  <si>
    <t>52°仰韶窖香红瓷500ml</t>
  </si>
  <si>
    <t>60°国窖1573酒国韵5L</t>
  </si>
  <si>
    <t>53°贵州茅台酒（澳门回归18年纪念）5L</t>
  </si>
  <si>
    <t>5L*1</t>
  </si>
  <si>
    <t>53°贵州茅台酒（澳门回归18年纪念）陈酿5L</t>
  </si>
  <si>
    <t>52°双沟君坊红2号500ml</t>
  </si>
  <si>
    <t>52°一同发财台湾高粱酒瓷瓶精装300ml</t>
  </si>
  <si>
    <t>300ml*16</t>
  </si>
  <si>
    <t>50°古井贡酒红运H3 500ml</t>
  </si>
  <si>
    <t>52°一同发财台湾高粱酒（大三元/一路发）礼盒300ml*3</t>
  </si>
  <si>
    <t>300ml*3*6</t>
  </si>
  <si>
    <t>53°仁怀酱香酒-仁之义500ml</t>
  </si>
  <si>
    <t>25°江小白拾人饮2L</t>
  </si>
  <si>
    <t>2L*6</t>
  </si>
  <si>
    <t>42°一担粮逗号二锅头480ml</t>
  </si>
  <si>
    <t>480ml*12</t>
  </si>
  <si>
    <t>*68°五粮液普装500ml</t>
  </si>
  <si>
    <t>53°茅台王子酒（戊戌狗年）5L</t>
  </si>
  <si>
    <t>46°柔和双沟银盒五星450ml</t>
  </si>
  <si>
    <t>52°洋河蓝色经典梦之蓝M9 500ml</t>
  </si>
  <si>
    <t>53°珍品茅台500ml</t>
  </si>
  <si>
    <t>53°匠中匠黑金酒500ml</t>
  </si>
  <si>
    <t>53°茅台王子酒（戊戌狗年）500ml</t>
  </si>
  <si>
    <t>53°仁怀酱香酒-仁之信500ml</t>
  </si>
  <si>
    <t>53°迎囍酒（银标）500ml</t>
  </si>
  <si>
    <t>*56°红星二锅头(裸瓶)500ml</t>
  </si>
  <si>
    <t>*53°飞天茅台壕金版 500ml</t>
  </si>
  <si>
    <t>52°吴窖金樽酒500ml</t>
  </si>
  <si>
    <t>45°鸡公山老根酒500ml</t>
  </si>
  <si>
    <t>53°匠中匠蓝金V9酒500ml</t>
  </si>
  <si>
    <t>*46°天佑德海拔2800原生态青稞酒500ml</t>
  </si>
  <si>
    <t>*52°双沟君坊红1号500ml</t>
  </si>
  <si>
    <t>*52°剑南老窖500ml</t>
  </si>
  <si>
    <t>46°柔和双沟红盒三星450ml</t>
  </si>
  <si>
    <t>42°鸡公山粮液700ml</t>
  </si>
  <si>
    <t>700ml*4</t>
  </si>
  <si>
    <t>53°飞天茅台羊年500ml</t>
  </si>
  <si>
    <t>53°飞天茅台马年500ml</t>
  </si>
  <si>
    <t>46°洋河天之蓝480ml</t>
  </si>
  <si>
    <t>45°金谷春蓝淡雅经典装700ml</t>
  </si>
  <si>
    <t>700ml</t>
  </si>
  <si>
    <t>52°文君天弦500ml</t>
  </si>
  <si>
    <t>52°剑南春大唐华章1.5L</t>
  </si>
  <si>
    <t>3L*2</t>
  </si>
  <si>
    <t>53°一壶旺老酒（兴旺发达）1500ml</t>
  </si>
  <si>
    <t>1500ml*2</t>
  </si>
  <si>
    <t>*52°精品绵竹大曲500ml</t>
  </si>
  <si>
    <t>42°一担粮小逗号二锅头251ml</t>
  </si>
  <si>
    <t>251*24</t>
  </si>
  <si>
    <t>53°仁怀酱香酒-仁之诚500ml</t>
  </si>
  <si>
    <t>*50°五粮液十五年礼盒装500ml</t>
  </si>
  <si>
    <t>*52°绵竹大曲500ml</t>
  </si>
  <si>
    <t>52°泸州老窖2018戊戌年.中秋礼盒969ml</t>
  </si>
  <si>
    <t>969ml*3</t>
  </si>
  <si>
    <t>*46°天佑德海拔3200原生态青稞酒500ml</t>
  </si>
  <si>
    <t>40°百泉春口福居500ml</t>
  </si>
  <si>
    <t>*45°天佑德海拔3500原生态青稞酒500ml</t>
  </si>
  <si>
    <t>45°金谷春蓝淡雅500ml</t>
  </si>
  <si>
    <t>*52°泸州老窖会唱歌的小酒（红装）</t>
  </si>
  <si>
    <t>*54°宝丰国色清香15年500ml</t>
  </si>
  <si>
    <t>52°五粮液250ml</t>
  </si>
  <si>
    <t>*46°宝丰国色清香陈坛500ml</t>
  </si>
  <si>
    <t>白酒-老白干香型</t>
  </si>
  <si>
    <t>*52°衡水老白干225ml*2</t>
  </si>
  <si>
    <t>45°金谷春金淡雅500ml</t>
  </si>
  <si>
    <t>58°一同发财台湾高粱酒（大发财）700ml</t>
  </si>
  <si>
    <t>700ml*8</t>
  </si>
  <si>
    <t>58°一同发财台湾高粱酒（笑脸财神）500ml</t>
  </si>
  <si>
    <t>*54°宝丰国色清香25年500ml</t>
  </si>
  <si>
    <t>58°一同发财台湾高粱酒（一同发财）700ml*2</t>
  </si>
  <si>
    <t>720ml*2*4</t>
  </si>
  <si>
    <t>53°一壶旺老酒（壮旺振奋）500ml</t>
  </si>
  <si>
    <t>46°洋河蓝优酒480ml</t>
  </si>
  <si>
    <t>42°乌龙窖藏窖香500ml</t>
  </si>
  <si>
    <t>45°金谷春红淡雅500ml</t>
  </si>
  <si>
    <t>53°白云边金满缘500ml</t>
  </si>
  <si>
    <t>*50°酒祖杜康窖藏500ml</t>
  </si>
  <si>
    <t>*53°飞天茅台酒200ml</t>
  </si>
  <si>
    <t>*52°泸州老酒磨砂二曲酒 500ml</t>
  </si>
  <si>
    <t>45°小糊涂仙小仙酒100ml</t>
  </si>
  <si>
    <t>*52°泸州窖酒窖之柔500ml</t>
  </si>
  <si>
    <t>42°乌龙窖藏9年500ml</t>
  </si>
  <si>
    <t>*50°国花杜康天香酒500ml</t>
  </si>
  <si>
    <t>46°新乡精神百泉春500ml</t>
  </si>
  <si>
    <t>42°乌龙窖藏18年500ml</t>
  </si>
  <si>
    <t>*60°泸州窖酒润泽天下1.58L</t>
  </si>
  <si>
    <t>1.58L*2</t>
  </si>
  <si>
    <t>*50°古井贡酒500ml</t>
  </si>
  <si>
    <t>*50°古井贡酒年份原浆8年425ml</t>
  </si>
  <si>
    <t>425ml*6</t>
  </si>
  <si>
    <t>*55°古井贡酒500ml</t>
  </si>
  <si>
    <t>*50°国花杜康国香酒500ml</t>
  </si>
  <si>
    <t>*42°朗陵罐酒600ml</t>
  </si>
  <si>
    <t>600ml*4</t>
  </si>
  <si>
    <t>*52°银剑南A3 500ml</t>
  </si>
  <si>
    <t>36°牛栏山百年陈酿400ml</t>
  </si>
  <si>
    <t>53°牛栏山三十年珍品二锅头500ml</t>
  </si>
  <si>
    <t>53°飞天茅台酒1L</t>
  </si>
  <si>
    <t>1L*12</t>
  </si>
  <si>
    <t>46°洋河蓝色经典天之蓝480ml</t>
  </si>
  <si>
    <t>53°飞天茅台十五年500ml</t>
  </si>
  <si>
    <t>46°牛栏山三十年珍品二锅头500ml</t>
  </si>
  <si>
    <t>42°汾酒青花二十年500ml</t>
  </si>
  <si>
    <t>53°汾酒二十年陈酿475ml</t>
  </si>
  <si>
    <t>45°牛栏山经典二锅头500ml</t>
  </si>
  <si>
    <t>42°汾酒二十年陈酿475ml</t>
  </si>
  <si>
    <t>39°五粮液新包装500ml</t>
  </si>
  <si>
    <t>42°牛栏山陈酿白瓶500ml</t>
  </si>
  <si>
    <t>53°飞天茅台宝蓝版500ml</t>
  </si>
  <si>
    <t>43°红星蓝瓶八年陈酿750ml</t>
  </si>
  <si>
    <t>38°剑南春500ml</t>
  </si>
  <si>
    <t>39°五粮液1618 500ml</t>
  </si>
  <si>
    <t>43°红星蓝瓶八年陈酿500ml</t>
  </si>
  <si>
    <t>52°舍得酒500ml（BJ）</t>
  </si>
  <si>
    <t>霸王醉典藏礼盒250ml*2</t>
  </si>
  <si>
    <t>250ml*2*5</t>
  </si>
  <si>
    <t>38°牛栏山百年红十年500ml</t>
  </si>
  <si>
    <t>52°红星蓝花瓷珍品二锅头500ml</t>
  </si>
  <si>
    <t>52°红星青花瓷珍品二锅头750ml</t>
  </si>
  <si>
    <t>53°飞天茅台狗年500ml</t>
  </si>
  <si>
    <t>45°牛栏山珍品二锅头400ml</t>
  </si>
  <si>
    <t>53°清香至尊蓝瓷汾酒475ml</t>
  </si>
  <si>
    <t>46°北京二锅头酒（土豪金版）500ml</t>
  </si>
  <si>
    <t>53°飞天茅台酒1.3L</t>
  </si>
  <si>
    <t>1.3L*4</t>
  </si>
  <si>
    <t>42°北京二锅头酒（出口型小方瓶）500ml</t>
  </si>
  <si>
    <t>53°习酒金钻500ml</t>
  </si>
  <si>
    <t>46°牛栏山二锅头绿瓶500ml</t>
  </si>
  <si>
    <t>48°汾酒乳白玻璃瓶酒475ml</t>
  </si>
  <si>
    <t>38°牛栏山百年红八年500ml</t>
  </si>
  <si>
    <t>38°水井坊井台装500ml</t>
  </si>
  <si>
    <t>42°老白汾酒封坛十五年475ml</t>
  </si>
  <si>
    <t>42°汾酒紫砂475ml</t>
  </si>
  <si>
    <t>53°老习酒酱香型500ml</t>
  </si>
  <si>
    <t>38°小糊涂仙500ml</t>
  </si>
  <si>
    <t>53°飞天茅台酒2012年500ml</t>
  </si>
  <si>
    <t>52°牛栏山二十年珍品二锅头450ml</t>
  </si>
  <si>
    <t>53°红星蓝瓶八年陈酿750ml</t>
  </si>
  <si>
    <t>48°汾酒青花三十年500ml</t>
  </si>
  <si>
    <t>46°红星蓝花瓷珍品二锅头500ml</t>
  </si>
  <si>
    <t>42°牛栏山百年特酿红十二年500ml</t>
  </si>
  <si>
    <t>53°飞天茅台酒750ml</t>
  </si>
  <si>
    <t>53°习酒窖藏1998（2016红）500ml</t>
  </si>
  <si>
    <t>39°牛栏山百年十二年红龙500ml</t>
  </si>
  <si>
    <t>52°五粮液国宾酒500ml</t>
  </si>
  <si>
    <t>42º牛栏山建厂特制酒1972年500ml</t>
  </si>
  <si>
    <t>53°红星蓝瓶八年陈酿500ml</t>
  </si>
  <si>
    <t>39°牛栏山金牛珍品陈酿500ml</t>
  </si>
  <si>
    <t>53°飞天茅台酒3L</t>
  </si>
  <si>
    <t>50°古井贡酒幸福版500ml</t>
  </si>
  <si>
    <t>52°牛栏山金牛珍品陈酿500ml</t>
  </si>
  <si>
    <t>43°华都天安门庆典红500ml</t>
  </si>
  <si>
    <t>56°红星大二锅头500ml</t>
  </si>
  <si>
    <t>35°牛栏山百年六年红龙500ml</t>
  </si>
  <si>
    <t>52°西凤凤香醇500ml</t>
  </si>
  <si>
    <t>53°飞天茅台酒125ml</t>
  </si>
  <si>
    <t>125ml*48</t>
  </si>
  <si>
    <t>50°古井贡原浆十六年500ml</t>
  </si>
  <si>
    <t>56°牛栏山二锅头白酒出口美国750ml</t>
  </si>
  <si>
    <t>42°洋河老窖青瓷500ml</t>
  </si>
  <si>
    <t>42°北京二锅头酒（蓝色版）500ml</t>
  </si>
  <si>
    <t>38°泸州老窖特曲500ml</t>
  </si>
  <si>
    <t>43°红星蓝瓶八年陈酿250ml</t>
  </si>
  <si>
    <t>53°飞天茅台酒1.5L</t>
  </si>
  <si>
    <t>1.5L*4</t>
  </si>
  <si>
    <t>43°红星百年酒醇和紫坛500ml</t>
  </si>
  <si>
    <t>45°洋河梦之蓝M3 500ml</t>
  </si>
  <si>
    <t>50°北京二锅头酒（咖色版）500ml</t>
  </si>
  <si>
    <t>42°洋河特曲（珠光蓝）500ml</t>
  </si>
  <si>
    <t>45°牛栏山百年经典特酿四星500ml</t>
  </si>
  <si>
    <t>53°习酒红习酱500ml</t>
  </si>
  <si>
    <t>52°红星百年酒500ml</t>
  </si>
  <si>
    <t>52°五粮国宾酒（佳酿）500ml</t>
  </si>
  <si>
    <t>50°红星典藏10年500ml</t>
  </si>
  <si>
    <t>52º牛栏山百年珍品特酿二锅头500ml</t>
  </si>
  <si>
    <t>42°清香至尊红瓷汾酒475ml</t>
  </si>
  <si>
    <t>42°牛栏山陈酿白瓶265ml</t>
  </si>
  <si>
    <t>265ml*20</t>
  </si>
  <si>
    <t>50º牛栏山精酿500ml</t>
  </si>
  <si>
    <t>43°红星二锅头古酿500ml</t>
  </si>
  <si>
    <t>52°金六福四星500ml</t>
  </si>
  <si>
    <t>42º牛栏山特酿二锅头500ml</t>
  </si>
  <si>
    <t>53°飞天茅台银条50ml*5</t>
  </si>
  <si>
    <t>43°国窖1573有机派500ml</t>
  </si>
  <si>
    <t>42°汾阳王5年500ml</t>
  </si>
  <si>
    <t>*52°泸州老窖六年陈头曲500ml</t>
  </si>
  <si>
    <t>43°红星苏式扁瓶二锅头500ml</t>
  </si>
  <si>
    <t>38°泸州老窖八年陈头曲500ml</t>
  </si>
  <si>
    <t>42°汾阳王10年500ml</t>
  </si>
  <si>
    <t>56°牛栏山二锅头绿瓶500ml</t>
  </si>
  <si>
    <t>白酒-特香型</t>
  </si>
  <si>
    <t>45°四特酒500ml</t>
  </si>
  <si>
    <t>38°泸州老窖六年陈头曲500ml</t>
  </si>
  <si>
    <t>45º牛栏山百年浓香经典至尊500ml</t>
  </si>
  <si>
    <t>38°金六福四星500ml</t>
  </si>
  <si>
    <t>70°霸王醉君享500ml</t>
  </si>
  <si>
    <t>53°红星蓝瓶八年陈酿250ml</t>
  </si>
  <si>
    <t>38°茅台500ml</t>
  </si>
  <si>
    <t>38º牛栏山特酿二锅头500ml</t>
  </si>
  <si>
    <t>42°牛栏山三星500ml</t>
  </si>
  <si>
    <t>36°牛栏山百年喜酒500ml</t>
  </si>
  <si>
    <t>38°牛栏山百年特酿500ml</t>
  </si>
  <si>
    <t>53°茅台珍品王子500ml</t>
  </si>
  <si>
    <t>45°古井贡原浆十六年500ml</t>
  </si>
  <si>
    <t>52°牛栏山珍品特制二锅头400ml</t>
  </si>
  <si>
    <t>霸王醉分享礼盒125ml*4</t>
  </si>
  <si>
    <t>46°红星珍品古钟二锅头450ml</t>
  </si>
  <si>
    <t>42°汾酒青花三十年500ml</t>
  </si>
  <si>
    <t>43°红星苏式扁瓶二锅头150ml</t>
  </si>
  <si>
    <t>150ml*24</t>
  </si>
  <si>
    <t>42°蒙巴汉纯粮白酒480ml</t>
  </si>
  <si>
    <t>53°牛栏山三十年窖藏二锅头500ml</t>
  </si>
  <si>
    <t>39°牛栏山二星500ml</t>
  </si>
  <si>
    <t>52°石花原浆酒天成500ml</t>
  </si>
  <si>
    <t>53°习酒窖藏1988雅致版500ml</t>
  </si>
  <si>
    <t>43°红星品鉴酒500ml</t>
  </si>
  <si>
    <t>*50°古井贡酒年份原浆献礼500ml</t>
  </si>
  <si>
    <t>45°西凤凤香醇100ml</t>
  </si>
  <si>
    <t>56°红星小二锅头100ml</t>
  </si>
  <si>
    <t>100ml*40</t>
  </si>
  <si>
    <t>52°红星清香典范10年二锅头500ml</t>
  </si>
  <si>
    <t>56°牛栏山二锅头酒100ml</t>
  </si>
  <si>
    <t>46º牛栏山二十年陈酿500ml</t>
  </si>
  <si>
    <t>52º牛栏山百年浓香经典至尊500ml</t>
  </si>
  <si>
    <t>38°金六福五星500ml</t>
  </si>
  <si>
    <t>43°红星苏式扁瓶二锅头248ml</t>
  </si>
  <si>
    <t>248ml*12</t>
  </si>
  <si>
    <t>39°红星五年陈酿500ml</t>
  </si>
  <si>
    <t>56°红星小二锅头白扁瓶（新）100ml</t>
  </si>
  <si>
    <t>*53°老郎酒1956 500ml</t>
  </si>
  <si>
    <t>52°泸州老窖百年30年窖龄500ml bj</t>
  </si>
  <si>
    <t>39°五粮液500ml</t>
  </si>
  <si>
    <t>52°金六福五星500ml</t>
  </si>
  <si>
    <t>52°新装五粮液六和液盛典装500ml</t>
  </si>
  <si>
    <t>45°西凤6年陈酿500ml</t>
  </si>
  <si>
    <t>45°西凤华山论剑20年500ml</t>
  </si>
  <si>
    <t>45°西凤华山论剑10年500ml</t>
  </si>
  <si>
    <t>45°西凤15年陈酿500ml</t>
  </si>
  <si>
    <t>52°西凤国花瓷30年500ml</t>
  </si>
  <si>
    <t>55°西凤酒红西风500ml</t>
  </si>
  <si>
    <t>45°西凤国花瓷12年500ml</t>
  </si>
  <si>
    <t>45°华山论剑西凤酒30年500ml</t>
  </si>
  <si>
    <t>45°西凤酒375ml</t>
  </si>
  <si>
    <t>375ml*20</t>
  </si>
  <si>
    <t>45°西凤国花瓷5年500ml</t>
  </si>
  <si>
    <t>45°1956西凤酒日月藏500ml</t>
  </si>
  <si>
    <t>53°习酒金典500ml</t>
  </si>
  <si>
    <t>45°老榆林十年500ml</t>
  </si>
  <si>
    <t>52°酒鬼酒红坛500ml</t>
  </si>
  <si>
    <t>45°西凤十五年珍藏酒500ml</t>
  </si>
  <si>
    <t>45°西凤六年珍藏酒500ml</t>
  </si>
  <si>
    <t>45°1956西凤酒150ml</t>
  </si>
  <si>
    <t>150ml*6</t>
  </si>
  <si>
    <t>52°剑南窖藏18 500ml</t>
  </si>
  <si>
    <t>52°剑南窖藏9 500ml</t>
  </si>
  <si>
    <t>45°酒海窖龄西凤酒10年 500ml</t>
  </si>
  <si>
    <t>45°道远太白30年 500ml</t>
  </si>
  <si>
    <t>45°1956西凤酒玉石藏500ml</t>
  </si>
  <si>
    <t>45°老陕西凤酒唐500ml</t>
  </si>
  <si>
    <t>45°老陕西凤酒380ml</t>
  </si>
  <si>
    <t>380*20</t>
  </si>
  <si>
    <t>45°老陕西凤酒秦500ml</t>
  </si>
  <si>
    <t>46°1956西凤酒亿家福六星500ml</t>
  </si>
  <si>
    <t>45°酒海窖龄西凤酒20年500ml</t>
  </si>
  <si>
    <t>45°1956西凤酒红西凤500ml</t>
  </si>
  <si>
    <t>42°国缘对开500ml</t>
  </si>
  <si>
    <t>42°洋河天之蓝480ml</t>
  </si>
  <si>
    <t>41.8°+68°双沟珍宝坊君坊(480ml+20ml)</t>
  </si>
  <si>
    <t>40.8°洋河梦之蓝M3 500ml</t>
  </si>
  <si>
    <t>42°国缘四开500ml</t>
  </si>
  <si>
    <t>40.8°洋河梦之蓝M6 500ml</t>
  </si>
  <si>
    <t>42°百年迎驾贡典藏450ml</t>
  </si>
  <si>
    <t>450ml*4</t>
  </si>
  <si>
    <t xml:space="preserve">40.8°口子窖五年400ml </t>
  </si>
  <si>
    <t>400ml *6</t>
  </si>
  <si>
    <t>42°今世缘典藏10年500ml</t>
  </si>
  <si>
    <t>42°国缘淡雅500ml</t>
  </si>
  <si>
    <t>42°三星百年迎驾贡450ml</t>
  </si>
  <si>
    <t>42°习酒虹钻500ml</t>
  </si>
  <si>
    <t>41°十年口子窖500ml</t>
  </si>
  <si>
    <t>41.8°今世缘典藏15年500ml</t>
  </si>
  <si>
    <t>42°习酒铂钻500ml</t>
  </si>
  <si>
    <t>41°六年口子窖450ml</t>
  </si>
  <si>
    <t>52°习酒天辰500ml</t>
  </si>
  <si>
    <t>46°濉溪老口子450ml</t>
  </si>
  <si>
    <t>42°迎驾贡酒大乐450ml</t>
  </si>
  <si>
    <t>42°今世缘典藏5年500ml</t>
  </si>
  <si>
    <t>42°习酒双喜500ml</t>
  </si>
  <si>
    <t>42°迎驾贡酒小乐320ml</t>
  </si>
  <si>
    <t>国窖1573</t>
  </si>
  <si>
    <t>国窖1573</t>
    <phoneticPr fontId="35" type="noConversion"/>
  </si>
  <si>
    <t>窖龄</t>
  </si>
  <si>
    <t>窖龄</t>
    <phoneticPr fontId="35" type="noConversion"/>
  </si>
  <si>
    <t>特曲</t>
  </si>
  <si>
    <t>特曲</t>
    <phoneticPr fontId="35" type="noConversion"/>
  </si>
  <si>
    <t>头曲</t>
  </si>
  <si>
    <t>头曲</t>
    <phoneticPr fontId="35" type="noConversion"/>
  </si>
  <si>
    <t>二曲</t>
  </si>
  <si>
    <t>二曲</t>
    <phoneticPr fontId="35" type="noConversion"/>
  </si>
  <si>
    <t>五粮液</t>
  </si>
  <si>
    <t>五粮液</t>
    <phoneticPr fontId="35" type="noConversion"/>
  </si>
  <si>
    <t>剑南春</t>
  </si>
  <si>
    <t>剑南春</t>
    <phoneticPr fontId="35" type="noConversion"/>
  </si>
  <si>
    <t>洋河</t>
  </si>
  <si>
    <t>洋河</t>
    <phoneticPr fontId="35" type="noConversion"/>
  </si>
  <si>
    <t>其它</t>
  </si>
  <si>
    <t>其它</t>
    <phoneticPr fontId="35" type="noConversion"/>
  </si>
  <si>
    <t>2018年5月
至2018年10月</t>
  </si>
  <si>
    <t>2018年5月
至2018年10月</t>
    <phoneticPr fontId="35" type="noConversion"/>
  </si>
  <si>
    <t>地区</t>
  </si>
  <si>
    <t>地区</t>
    <phoneticPr fontId="35" type="noConversion"/>
  </si>
  <si>
    <t>河南</t>
  </si>
  <si>
    <t>河南</t>
    <phoneticPr fontId="35" type="noConversion"/>
  </si>
  <si>
    <t>北京</t>
  </si>
  <si>
    <t>北京</t>
    <phoneticPr fontId="35" type="noConversion"/>
  </si>
  <si>
    <t>西安</t>
  </si>
  <si>
    <t>西安</t>
    <phoneticPr fontId="35" type="noConversion"/>
  </si>
  <si>
    <t>徐州</t>
  </si>
  <si>
    <t>徐州</t>
    <phoneticPr fontId="35" type="noConversion"/>
  </si>
  <si>
    <t>2017.11-2018.10出库金额</t>
    <phoneticPr fontId="35" type="noConversion"/>
  </si>
  <si>
    <t>2018.5-2018.10出库金额</t>
    <phoneticPr fontId="35" type="noConversion"/>
  </si>
  <si>
    <t>求和项:2017.11-2018.10出库金额</t>
  </si>
  <si>
    <t>数据</t>
  </si>
  <si>
    <t>求和项:2018.5-2018.10出库金额</t>
  </si>
  <si>
    <t>北京</t>
    <phoneticPr fontId="35" type="noConversion"/>
  </si>
  <si>
    <t>西安</t>
    <phoneticPr fontId="35" type="noConversion"/>
  </si>
  <si>
    <t>2017年5月
至2017年10月</t>
  </si>
  <si>
    <t>2017年5月
至2017年10月</t>
    <phoneticPr fontId="35" type="noConversion"/>
  </si>
  <si>
    <t>2017年11月
至2018年10月</t>
  </si>
  <si>
    <t>2017年11月
至2018年10月</t>
    <phoneticPr fontId="35" type="noConversion"/>
  </si>
  <si>
    <t>2017.5-2017.10出库金额</t>
    <phoneticPr fontId="35" type="noConversion"/>
  </si>
  <si>
    <t>总计</t>
    <phoneticPr fontId="35" type="noConversion"/>
  </si>
  <si>
    <t>求和项:2017.5-2017.10出库金额</t>
  </si>
  <si>
    <t>辅助区域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</si>
</sst>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[$-10804]0.00%"/>
    <numFmt numFmtId="177" formatCode="[$-10804]#,##0.00"/>
    <numFmt numFmtId="178" formatCode="0_);[Red]\(0\)"/>
    <numFmt numFmtId="179" formatCode="0.00_);[Red]\(0.00\)"/>
    <numFmt numFmtId="180" formatCode="_ * #,##0.0_ ;_ * \-#,##0.0_ ;_ * &quot;-&quot;??_ ;_ @_ "/>
  </numFmts>
  <fonts count="42">
    <font>
      <sz val="12"/>
      <name val="宋体"/>
      <charset val="134"/>
    </font>
    <font>
      <sz val="9"/>
      <color theme="1"/>
      <name val="微软雅黑"/>
      <family val="2"/>
      <charset val="134"/>
    </font>
    <font>
      <b/>
      <sz val="12"/>
      <name val="宋体"/>
      <family val="3"/>
      <charset val="134"/>
    </font>
    <font>
      <b/>
      <sz val="12"/>
      <color indexed="8"/>
      <name val="微软雅黑"/>
      <family val="2"/>
      <charset val="134"/>
    </font>
    <font>
      <b/>
      <sz val="12"/>
      <color indexed="8"/>
      <name val="Arial"/>
      <family val="2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name val="宋体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theme="1"/>
      <name val="微软雅黑"/>
      <family val="2"/>
      <charset val="134"/>
    </font>
    <font>
      <b/>
      <sz val="12"/>
      <color theme="1"/>
      <name val="Arial"/>
      <family val="2"/>
    </font>
    <font>
      <sz val="8"/>
      <color theme="1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8"/>
      <color rgb="FF666666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color rgb="FF666666"/>
      <name val="Simsun"/>
      <charset val="134"/>
    </font>
    <font>
      <b/>
      <sz val="12"/>
      <color theme="1"/>
      <name val="宋体"/>
      <family val="3"/>
      <charset val="134"/>
    </font>
    <font>
      <b/>
      <sz val="8"/>
      <color theme="1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 Unicode MS"/>
      <family val="2"/>
      <charset val="134"/>
    </font>
    <font>
      <sz val="10"/>
      <color rgb="FF000000"/>
      <name val="Arial Unicode MS"/>
      <family val="2"/>
      <charset val="134"/>
    </font>
    <font>
      <sz val="10"/>
      <color theme="1"/>
      <name val="Arial Unicode MS"/>
      <family val="2"/>
      <charset val="134"/>
    </font>
    <font>
      <sz val="10"/>
      <color rgb="FFFF0000"/>
      <name val="Arial Unicode MS"/>
      <family val="2"/>
      <charset val="134"/>
    </font>
    <font>
      <sz val="10"/>
      <color rgb="FF666666"/>
      <name val="Arial Unicode MS"/>
      <family val="2"/>
      <charset val="134"/>
    </font>
    <font>
      <b/>
      <sz val="10"/>
      <color theme="0"/>
      <name val="Arial Unicode MS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FD8F9"/>
        <bgColor rgb="FF9FD8F9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9FD8F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theme="8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D3D3D3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8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13" fillId="0" borderId="0"/>
    <xf numFmtId="176" fontId="12" fillId="0" borderId="0">
      <alignment vertical="center"/>
    </xf>
    <xf numFmtId="176" fontId="13" fillId="0" borderId="0"/>
    <xf numFmtId="176" fontId="11" fillId="0" borderId="0"/>
    <xf numFmtId="0" fontId="14" fillId="0" borderId="0"/>
  </cellStyleXfs>
  <cellXfs count="391">
    <xf numFmtId="0" fontId="0" fillId="0" borderId="0" xfId="0">
      <alignment vertical="center"/>
    </xf>
    <xf numFmtId="0" fontId="15" fillId="0" borderId="0" xfId="0" applyFont="1" applyFill="1" applyBorder="1" applyAlignment="1"/>
    <xf numFmtId="0" fontId="16" fillId="3" borderId="16" xfId="0" applyNumberFormat="1" applyFont="1" applyFill="1" applyBorder="1" applyAlignment="1">
      <alignment horizontal="center" vertical="center" wrapText="1" readingOrder="1"/>
    </xf>
    <xf numFmtId="0" fontId="17" fillId="4" borderId="16" xfId="0" applyNumberFormat="1" applyFont="1" applyFill="1" applyBorder="1" applyAlignment="1">
      <alignment horizontal="center" vertical="center" wrapText="1" readingOrder="1"/>
    </xf>
    <xf numFmtId="0" fontId="18" fillId="0" borderId="16" xfId="0" applyNumberFormat="1" applyFont="1" applyFill="1" applyBorder="1" applyAlignment="1">
      <alignment horizontal="left" vertical="center" wrapText="1" readingOrder="1"/>
    </xf>
    <xf numFmtId="0" fontId="18" fillId="0" borderId="16" xfId="0" applyNumberFormat="1" applyFont="1" applyFill="1" applyBorder="1" applyAlignment="1">
      <alignment horizontal="right" vertical="center" wrapText="1" readingOrder="1"/>
    </xf>
    <xf numFmtId="177" fontId="17" fillId="4" borderId="16" xfId="0" applyNumberFormat="1" applyFont="1" applyFill="1" applyBorder="1" applyAlignment="1">
      <alignment horizontal="center" vertical="center" wrapText="1" readingOrder="1"/>
    </xf>
    <xf numFmtId="177" fontId="18" fillId="0" borderId="16" xfId="0" applyNumberFormat="1" applyFont="1" applyFill="1" applyBorder="1" applyAlignment="1">
      <alignment horizontal="right" vertical="center" wrapText="1" readingOrder="1"/>
    </xf>
    <xf numFmtId="176" fontId="18" fillId="0" borderId="16" xfId="0" applyNumberFormat="1" applyFont="1" applyFill="1" applyBorder="1" applyAlignment="1">
      <alignment horizontal="right" vertical="center" wrapText="1" readingOrder="1"/>
    </xf>
    <xf numFmtId="0" fontId="15" fillId="5" borderId="0" xfId="0" applyFont="1" applyFill="1" applyBorder="1" applyAlignment="1"/>
    <xf numFmtId="0" fontId="18" fillId="5" borderId="16" xfId="0" applyNumberFormat="1" applyFont="1" applyFill="1" applyBorder="1" applyAlignment="1">
      <alignment horizontal="left" vertical="center" wrapText="1" readingOrder="1"/>
    </xf>
    <xf numFmtId="0" fontId="18" fillId="5" borderId="16" xfId="0" applyNumberFormat="1" applyFont="1" applyFill="1" applyBorder="1" applyAlignment="1">
      <alignment horizontal="right" vertical="center" wrapText="1" readingOrder="1"/>
    </xf>
    <xf numFmtId="177" fontId="18" fillId="5" borderId="16" xfId="0" applyNumberFormat="1" applyFont="1" applyFill="1" applyBorder="1" applyAlignment="1">
      <alignment horizontal="right" vertical="center" wrapText="1" readingOrder="1"/>
    </xf>
    <xf numFmtId="176" fontId="18" fillId="5" borderId="16" xfId="0" applyNumberFormat="1" applyFont="1" applyFill="1" applyBorder="1" applyAlignment="1">
      <alignment horizontal="right" vertical="center" wrapText="1" readingOrder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 wrapText="1"/>
    </xf>
    <xf numFmtId="178" fontId="6" fillId="0" borderId="2" xfId="6" applyNumberFormat="1" applyFont="1" applyFill="1" applyBorder="1" applyAlignment="1">
      <alignment horizontal="center" vertical="center"/>
    </xf>
    <xf numFmtId="0" fontId="21" fillId="7" borderId="2" xfId="5" applyNumberFormat="1" applyFont="1" applyFill="1" applyBorder="1" applyAlignment="1">
      <alignment horizontal="center" vertical="center" wrapText="1"/>
    </xf>
    <xf numFmtId="178" fontId="21" fillId="7" borderId="2" xfId="5" applyNumberFormat="1" applyFont="1" applyFill="1" applyBorder="1" applyAlignment="1">
      <alignment horizontal="center" vertical="center" wrapText="1"/>
    </xf>
    <xf numFmtId="179" fontId="21" fillId="7" borderId="2" xfId="4" applyNumberFormat="1" applyFont="1" applyFill="1" applyBorder="1" applyAlignment="1">
      <alignment horizontal="center" vertical="center"/>
    </xf>
    <xf numFmtId="178" fontId="21" fillId="7" borderId="2" xfId="4" applyNumberFormat="1" applyFont="1" applyFill="1" applyBorder="1" applyAlignment="1">
      <alignment horizontal="center" vertical="center"/>
    </xf>
    <xf numFmtId="178" fontId="21" fillId="7" borderId="5" xfId="4" applyNumberFormat="1" applyFont="1" applyFill="1" applyBorder="1" applyAlignment="1">
      <alignment horizontal="center" vertical="center"/>
    </xf>
    <xf numFmtId="0" fontId="21" fillId="7" borderId="2" xfId="0" applyNumberFormat="1" applyFont="1" applyFill="1" applyBorder="1" applyAlignment="1">
      <alignment horizontal="center" vertical="center" wrapText="1" readingOrder="1"/>
    </xf>
    <xf numFmtId="0" fontId="21" fillId="7" borderId="2" xfId="3" applyNumberFormat="1" applyFont="1" applyFill="1" applyBorder="1" applyAlignment="1">
      <alignment horizontal="center" vertical="center" readingOrder="1"/>
    </xf>
    <xf numFmtId="179" fontId="21" fillId="7" borderId="2" xfId="3" applyNumberFormat="1" applyFont="1" applyFill="1" applyBorder="1" applyAlignment="1">
      <alignment horizontal="center" vertical="center" readingOrder="1"/>
    </xf>
    <xf numFmtId="178" fontId="6" fillId="0" borderId="6" xfId="6" applyNumberFormat="1" applyFont="1" applyFill="1" applyBorder="1" applyAlignment="1">
      <alignment horizontal="center" vertical="center"/>
    </xf>
    <xf numFmtId="0" fontId="21" fillId="7" borderId="6" xfId="5" applyNumberFormat="1" applyFont="1" applyFill="1" applyBorder="1" applyAlignment="1">
      <alignment horizontal="center" vertical="center" wrapText="1"/>
    </xf>
    <xf numFmtId="0" fontId="21" fillId="7" borderId="6" xfId="3" applyNumberFormat="1" applyFont="1" applyFill="1" applyBorder="1" applyAlignment="1">
      <alignment horizontal="center" vertical="center" readingOrder="1"/>
    </xf>
    <xf numFmtId="179" fontId="21" fillId="7" borderId="6" xfId="3" applyNumberFormat="1" applyFont="1" applyFill="1" applyBorder="1" applyAlignment="1">
      <alignment horizontal="center" vertical="center" readingOrder="1"/>
    </xf>
    <xf numFmtId="178" fontId="21" fillId="7" borderId="6" xfId="4" applyNumberFormat="1" applyFont="1" applyFill="1" applyBorder="1" applyAlignment="1">
      <alignment horizontal="center" vertical="center"/>
    </xf>
    <xf numFmtId="178" fontId="21" fillId="7" borderId="3" xfId="4" applyNumberFormat="1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wrapText="1"/>
    </xf>
    <xf numFmtId="0" fontId="24" fillId="0" borderId="17" xfId="5" applyNumberFormat="1" applyFont="1" applyFill="1" applyBorder="1" applyAlignment="1">
      <alignment horizontal="center" vertical="center" wrapText="1"/>
    </xf>
    <xf numFmtId="0" fontId="24" fillId="0" borderId="17" xfId="3" applyNumberFormat="1" applyFont="1" applyFill="1" applyBorder="1" applyAlignment="1">
      <alignment horizontal="center" vertical="center" readingOrder="1"/>
    </xf>
    <xf numFmtId="178" fontId="23" fillId="0" borderId="17" xfId="0" applyNumberFormat="1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 wrapText="1"/>
    </xf>
    <xf numFmtId="178" fontId="23" fillId="0" borderId="17" xfId="0" applyNumberFormat="1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178" fontId="21" fillId="5" borderId="2" xfId="5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78" fontId="21" fillId="7" borderId="7" xfId="5" applyNumberFormat="1" applyFont="1" applyFill="1" applyBorder="1" applyAlignment="1">
      <alignment horizontal="center" vertical="center" wrapText="1"/>
    </xf>
    <xf numFmtId="178" fontId="21" fillId="0" borderId="17" xfId="0" applyNumberFormat="1" applyFont="1" applyFill="1" applyBorder="1" applyAlignment="1">
      <alignment horizontal="center"/>
    </xf>
    <xf numFmtId="0" fontId="21" fillId="0" borderId="17" xfId="5" applyNumberFormat="1" applyFont="1" applyFill="1" applyBorder="1" applyAlignment="1">
      <alignment horizontal="center" vertical="center" wrapText="1"/>
    </xf>
    <xf numFmtId="0" fontId="21" fillId="0" borderId="17" xfId="3" applyNumberFormat="1" applyFont="1" applyFill="1" applyBorder="1" applyAlignment="1">
      <alignment horizontal="center" vertical="center" readingOrder="1"/>
    </xf>
    <xf numFmtId="0" fontId="21" fillId="0" borderId="17" xfId="0" applyFont="1" applyFill="1" applyBorder="1" applyAlignment="1">
      <alignment horizontal="center"/>
    </xf>
    <xf numFmtId="178" fontId="21" fillId="0" borderId="18" xfId="0" applyNumberFormat="1" applyFont="1" applyFill="1" applyBorder="1" applyAlignment="1">
      <alignment horizontal="center"/>
    </xf>
    <xf numFmtId="178" fontId="21" fillId="0" borderId="2" xfId="4" applyNumberFormat="1" applyFont="1" applyFill="1" applyBorder="1" applyAlignment="1">
      <alignment horizontal="center" vertical="center"/>
    </xf>
    <xf numFmtId="178" fontId="6" fillId="0" borderId="17" xfId="6" applyNumberFormat="1" applyFont="1" applyFill="1" applyBorder="1" applyAlignment="1">
      <alignment horizontal="center" vertical="center"/>
    </xf>
    <xf numFmtId="0" fontId="25" fillId="0" borderId="17" xfId="5" applyNumberFormat="1" applyFont="1" applyFill="1" applyBorder="1" applyAlignment="1">
      <alignment horizontal="center" vertical="center" wrapText="1"/>
    </xf>
    <xf numFmtId="178" fontId="6" fillId="7" borderId="17" xfId="5" applyNumberFormat="1" applyFont="1" applyFill="1" applyBorder="1" applyAlignment="1">
      <alignment horizontal="center" vertical="center" wrapText="1"/>
    </xf>
    <xf numFmtId="178" fontId="6" fillId="0" borderId="17" xfId="5" applyNumberFormat="1" applyFont="1" applyFill="1" applyBorder="1" applyAlignment="1">
      <alignment horizontal="center" vertical="center" wrapText="1"/>
    </xf>
    <xf numFmtId="179" fontId="6" fillId="0" borderId="17" xfId="4" applyNumberFormat="1" applyFont="1" applyFill="1" applyBorder="1" applyAlignment="1">
      <alignment horizontal="center" vertical="center"/>
    </xf>
    <xf numFmtId="178" fontId="6" fillId="0" borderId="17" xfId="4" applyNumberFormat="1" applyFont="1" applyFill="1" applyBorder="1" applyAlignment="1">
      <alignment horizontal="center" vertical="center"/>
    </xf>
    <xf numFmtId="178" fontId="6" fillId="0" borderId="18" xfId="4" applyNumberFormat="1" applyFont="1" applyFill="1" applyBorder="1" applyAlignment="1">
      <alignment horizontal="center" vertical="center"/>
    </xf>
    <xf numFmtId="179" fontId="6" fillId="0" borderId="2" xfId="4" applyNumberFormat="1" applyFont="1" applyFill="1" applyBorder="1" applyAlignment="1">
      <alignment horizontal="center" vertical="center"/>
    </xf>
    <xf numFmtId="178" fontId="25" fillId="7" borderId="17" xfId="5" applyNumberFormat="1" applyFont="1" applyFill="1" applyBorder="1" applyAlignment="1">
      <alignment horizontal="center" vertical="center" wrapText="1"/>
    </xf>
    <xf numFmtId="178" fontId="25" fillId="0" borderId="17" xfId="5" applyNumberFormat="1" applyFont="1" applyFill="1" applyBorder="1" applyAlignment="1">
      <alignment horizontal="center" vertical="center" wrapText="1"/>
    </xf>
    <xf numFmtId="178" fontId="24" fillId="0" borderId="17" xfId="0" applyNumberFormat="1" applyFont="1" applyFill="1" applyBorder="1" applyAlignment="1">
      <alignment horizontal="center" wrapText="1"/>
    </xf>
    <xf numFmtId="178" fontId="26" fillId="0" borderId="17" xfId="0" applyNumberFormat="1" applyFont="1" applyFill="1" applyBorder="1" applyAlignment="1">
      <alignment horizontal="center"/>
    </xf>
    <xf numFmtId="0" fontId="6" fillId="0" borderId="17" xfId="3" applyNumberFormat="1" applyFont="1" applyFill="1" applyBorder="1" applyAlignment="1">
      <alignment horizontal="center" vertical="center" readingOrder="1"/>
    </xf>
    <xf numFmtId="0" fontId="27" fillId="0" borderId="17" xfId="0" applyFont="1" applyFill="1" applyBorder="1" applyAlignment="1"/>
    <xf numFmtId="0" fontId="27" fillId="0" borderId="18" xfId="0" applyFont="1" applyFill="1" applyBorder="1" applyAlignment="1"/>
    <xf numFmtId="0" fontId="27" fillId="0" borderId="2" xfId="0" applyFont="1" applyFill="1" applyBorder="1" applyAlignment="1"/>
    <xf numFmtId="178" fontId="23" fillId="0" borderId="17" xfId="0" applyNumberFormat="1" applyFont="1" applyFill="1" applyBorder="1" applyAlignment="1">
      <alignment horizontal="center" wrapText="1"/>
    </xf>
    <xf numFmtId="178" fontId="28" fillId="0" borderId="17" xfId="0" applyNumberFormat="1" applyFont="1" applyFill="1" applyBorder="1" applyAlignment="1">
      <alignment horizontal="center"/>
    </xf>
    <xf numFmtId="178" fontId="28" fillId="0" borderId="18" xfId="0" applyNumberFormat="1" applyFont="1" applyFill="1" applyBorder="1" applyAlignment="1">
      <alignment horizontal="center"/>
    </xf>
    <xf numFmtId="178" fontId="28" fillId="0" borderId="2" xfId="0" applyNumberFormat="1" applyFont="1" applyFill="1" applyBorder="1" applyAlignment="1">
      <alignment horizontal="center"/>
    </xf>
    <xf numFmtId="178" fontId="28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 vertical="center"/>
    </xf>
    <xf numFmtId="178" fontId="6" fillId="7" borderId="2" xfId="6" applyNumberFormat="1" applyFont="1" applyFill="1" applyBorder="1" applyAlignment="1">
      <alignment horizontal="center" vertical="center"/>
    </xf>
    <xf numFmtId="179" fontId="21" fillId="7" borderId="5" xfId="4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4" fillId="0" borderId="0" xfId="0" applyFont="1" applyFill="1" applyBorder="1" applyAlignment="1">
      <alignment wrapText="1"/>
    </xf>
    <xf numFmtId="0" fontId="14" fillId="0" borderId="0" xfId="0" applyFont="1" applyFill="1" applyAlignment="1">
      <alignment wrapText="1"/>
    </xf>
    <xf numFmtId="0" fontId="6" fillId="0" borderId="2" xfId="0" applyFont="1" applyFill="1" applyBorder="1" applyAlignment="1">
      <alignment horizontal="center" vertical="center" wrapText="1"/>
    </xf>
    <xf numFmtId="178" fontId="1" fillId="7" borderId="2" xfId="4" applyNumberFormat="1" applyFont="1" applyFill="1" applyBorder="1" applyAlignment="1">
      <alignment horizontal="center" vertical="center"/>
    </xf>
    <xf numFmtId="178" fontId="1" fillId="7" borderId="5" xfId="4" applyNumberFormat="1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78" fontId="24" fillId="7" borderId="2" xfId="5" applyNumberFormat="1" applyFont="1" applyFill="1" applyBorder="1" applyAlignment="1">
      <alignment horizontal="center" vertical="center" wrapText="1"/>
    </xf>
    <xf numFmtId="178" fontId="24" fillId="7" borderId="5" xfId="5" applyNumberFormat="1" applyFont="1" applyFill="1" applyBorder="1" applyAlignment="1">
      <alignment horizontal="center" vertical="center" wrapText="1"/>
    </xf>
    <xf numFmtId="178" fontId="24" fillId="7" borderId="17" xfId="5" applyNumberFormat="1" applyFont="1" applyFill="1" applyBorder="1" applyAlignment="1">
      <alignment horizontal="center" vertical="center" wrapText="1"/>
    </xf>
    <xf numFmtId="10" fontId="23" fillId="0" borderId="2" xfId="2" applyNumberFormat="1" applyFont="1" applyFill="1" applyBorder="1" applyAlignment="1">
      <alignment horizontal="center"/>
    </xf>
    <xf numFmtId="10" fontId="23" fillId="0" borderId="5" xfId="2" applyNumberFormat="1" applyFont="1" applyFill="1" applyBorder="1" applyAlignment="1">
      <alignment horizontal="center"/>
    </xf>
    <xf numFmtId="10" fontId="23" fillId="0" borderId="5" xfId="2" applyNumberFormat="1" applyFont="1" applyBorder="1" applyAlignment="1">
      <alignment horizontal="center" vertical="center"/>
    </xf>
    <xf numFmtId="10" fontId="23" fillId="0" borderId="17" xfId="2" applyNumberFormat="1" applyFont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10" fontId="24" fillId="7" borderId="17" xfId="2" applyNumberFormat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25" fillId="7" borderId="24" xfId="0" applyFont="1" applyFill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10" fontId="23" fillId="0" borderId="2" xfId="2" applyNumberFormat="1" applyFont="1" applyBorder="1" applyAlignment="1">
      <alignment horizontal="center" vertical="center"/>
    </xf>
    <xf numFmtId="0" fontId="14" fillId="0" borderId="0" xfId="0" applyFont="1" applyFill="1" applyBorder="1" applyAlignment="1"/>
    <xf numFmtId="0" fontId="14" fillId="0" borderId="0" xfId="0" applyFont="1" applyFill="1" applyAlignment="1"/>
    <xf numFmtId="0" fontId="6" fillId="0" borderId="21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178" fontId="7" fillId="7" borderId="2" xfId="5" applyNumberFormat="1" applyFont="1" applyFill="1" applyBorder="1" applyAlignment="1">
      <alignment horizontal="center" vertical="center" wrapText="1"/>
    </xf>
    <xf numFmtId="10" fontId="7" fillId="0" borderId="2" xfId="2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78" fontId="7" fillId="7" borderId="2" xfId="4" applyNumberFormat="1" applyFont="1" applyFill="1" applyBorder="1" applyAlignment="1">
      <alignment horizontal="center" vertical="center"/>
    </xf>
    <xf numFmtId="10" fontId="23" fillId="0" borderId="2" xfId="2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179" fontId="7" fillId="0" borderId="2" xfId="4" applyNumberFormat="1" applyFont="1" applyFill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10" fontId="7" fillId="7" borderId="2" xfId="2" applyNumberFormat="1" applyFont="1" applyFill="1" applyBorder="1" applyAlignment="1" applyProtection="1">
      <alignment horizontal="center" vertical="center" wrapText="1"/>
    </xf>
    <xf numFmtId="10" fontId="7" fillId="7" borderId="2" xfId="2" applyNumberFormat="1" applyFont="1" applyFill="1" applyBorder="1" applyAlignment="1" applyProtection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9" fontId="6" fillId="0" borderId="17" xfId="4" applyNumberFormat="1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23" fillId="0" borderId="2" xfId="0" applyFont="1" applyFill="1" applyBorder="1" applyAlignment="1">
      <alignment horizontal="center" wrapText="1"/>
    </xf>
    <xf numFmtId="0" fontId="24" fillId="0" borderId="2" xfId="5" applyNumberFormat="1" applyFont="1" applyFill="1" applyBorder="1" applyAlignment="1">
      <alignment horizontal="center" vertical="center" wrapText="1"/>
    </xf>
    <xf numFmtId="0" fontId="24" fillId="0" borderId="2" xfId="3" applyNumberFormat="1" applyFont="1" applyFill="1" applyBorder="1" applyAlignment="1">
      <alignment horizontal="center" vertical="center" readingOrder="1"/>
    </xf>
    <xf numFmtId="178" fontId="23" fillId="0" borderId="2" xfId="0" applyNumberFormat="1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5" xfId="0" applyFont="1" applyFill="1" applyBorder="1" applyAlignment="1">
      <alignment horizontal="center"/>
    </xf>
    <xf numFmtId="178" fontId="24" fillId="7" borderId="2" xfId="4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wrapText="1"/>
    </xf>
    <xf numFmtId="178" fontId="23" fillId="0" borderId="2" xfId="0" applyNumberFormat="1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5" xfId="0" applyFont="1" applyFill="1" applyBorder="1" applyAlignment="1">
      <alignment horizontal="center"/>
    </xf>
    <xf numFmtId="178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8" fontId="1" fillId="0" borderId="5" xfId="0" applyNumberFormat="1" applyFont="1" applyFill="1" applyBorder="1" applyAlignment="1">
      <alignment horizontal="center"/>
    </xf>
    <xf numFmtId="178" fontId="21" fillId="7" borderId="2" xfId="6" applyNumberFormat="1" applyFont="1" applyFill="1" applyBorder="1" applyAlignment="1">
      <alignment horizontal="center" vertical="center"/>
    </xf>
    <xf numFmtId="178" fontId="23" fillId="0" borderId="21" xfId="0" applyNumberFormat="1" applyFont="1" applyFill="1" applyBorder="1" applyAlignment="1">
      <alignment horizontal="center" wrapText="1"/>
    </xf>
    <xf numFmtId="178" fontId="28" fillId="0" borderId="21" xfId="0" applyNumberFormat="1" applyFont="1" applyFill="1" applyBorder="1" applyAlignment="1">
      <alignment horizontal="center" wrapText="1"/>
    </xf>
    <xf numFmtId="0" fontId="6" fillId="0" borderId="21" xfId="3" applyNumberFormat="1" applyFont="1" applyFill="1" applyBorder="1" applyAlignment="1">
      <alignment horizontal="center" vertical="center" wrapText="1" readingOrder="1"/>
    </xf>
    <xf numFmtId="0" fontId="31" fillId="0" borderId="21" xfId="0" applyFont="1" applyFill="1" applyBorder="1" applyAlignment="1">
      <alignment wrapText="1"/>
    </xf>
    <xf numFmtId="0" fontId="31" fillId="0" borderId="27" xfId="0" applyFont="1" applyFill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22" fillId="0" borderId="2" xfId="5" applyNumberFormat="1" applyFont="1" applyFill="1" applyBorder="1" applyAlignment="1">
      <alignment horizontal="center" vertical="center" wrapText="1"/>
    </xf>
    <xf numFmtId="0" fontId="5" fillId="0" borderId="2" xfId="3" applyNumberFormat="1" applyFont="1" applyFill="1" applyBorder="1" applyAlignment="1">
      <alignment horizontal="center" vertical="center" wrapText="1" readingOrder="1"/>
    </xf>
    <xf numFmtId="178" fontId="23" fillId="0" borderId="2" xfId="0" applyNumberFormat="1" applyFont="1" applyFill="1" applyBorder="1" applyAlignment="1">
      <alignment horizontal="center" wrapText="1"/>
    </xf>
    <xf numFmtId="0" fontId="23" fillId="0" borderId="5" xfId="0" applyFont="1" applyFill="1" applyBorder="1" applyAlignment="1">
      <alignment horizontal="center" wrapText="1"/>
    </xf>
    <xf numFmtId="0" fontId="6" fillId="0" borderId="17" xfId="0" applyFont="1" applyBorder="1" applyAlignment="1">
      <alignment horizontal="center" vertical="center" wrapText="1"/>
    </xf>
    <xf numFmtId="178" fontId="23" fillId="0" borderId="2" xfId="0" applyNumberFormat="1" applyFont="1" applyFill="1" applyBorder="1" applyAlignment="1">
      <alignment horizontal="center" wrapText="1"/>
    </xf>
    <xf numFmtId="178" fontId="23" fillId="0" borderId="7" xfId="0" applyNumberFormat="1" applyFont="1" applyFill="1" applyBorder="1" applyAlignment="1">
      <alignment horizontal="center" wrapText="1"/>
    </xf>
    <xf numFmtId="0" fontId="23" fillId="0" borderId="5" xfId="0" applyFont="1" applyFill="1" applyBorder="1" applyAlignment="1">
      <alignment horizontal="center" wrapText="1"/>
    </xf>
    <xf numFmtId="0" fontId="5" fillId="0" borderId="2" xfId="3" applyNumberFormat="1" applyFont="1" applyFill="1" applyBorder="1" applyAlignment="1">
      <alignment horizontal="center" vertical="center" readingOrder="1"/>
    </xf>
    <xf numFmtId="178" fontId="23" fillId="0" borderId="7" xfId="0" applyNumberFormat="1" applyFont="1" applyFill="1" applyBorder="1" applyAlignment="1">
      <alignment horizontal="center"/>
    </xf>
    <xf numFmtId="178" fontId="21" fillId="0" borderId="2" xfId="0" applyNumberFormat="1" applyFont="1" applyFill="1" applyBorder="1" applyAlignment="1">
      <alignment horizontal="center"/>
    </xf>
    <xf numFmtId="0" fontId="21" fillId="0" borderId="2" xfId="0" applyFont="1" applyFill="1" applyBorder="1" applyAlignment="1">
      <alignment horizontal="center"/>
    </xf>
    <xf numFmtId="178" fontId="21" fillId="0" borderId="5" xfId="0" applyNumberFormat="1" applyFont="1" applyFill="1" applyBorder="1" applyAlignment="1">
      <alignment horizontal="center"/>
    </xf>
    <xf numFmtId="178" fontId="28" fillId="0" borderId="21" xfId="0" applyNumberFormat="1" applyFont="1" applyFill="1" applyBorder="1" applyAlignment="1">
      <alignment horizontal="center"/>
    </xf>
    <xf numFmtId="178" fontId="28" fillId="0" borderId="21" xfId="0" applyNumberFormat="1" applyFont="1" applyFill="1" applyBorder="1" applyAlignment="1">
      <alignment horizontal="center"/>
    </xf>
    <xf numFmtId="0" fontId="6" fillId="0" borderId="21" xfId="3" applyNumberFormat="1" applyFont="1" applyFill="1" applyBorder="1" applyAlignment="1">
      <alignment horizontal="center" vertical="center" readingOrder="1"/>
    </xf>
    <xf numFmtId="0" fontId="31" fillId="0" borderId="21" xfId="0" applyFont="1" applyFill="1" applyBorder="1" applyAlignment="1"/>
    <xf numFmtId="0" fontId="31" fillId="0" borderId="27" xfId="0" applyFont="1" applyFill="1" applyBorder="1" applyAlignment="1"/>
    <xf numFmtId="0" fontId="31" fillId="0" borderId="17" xfId="0" applyFont="1" applyFill="1" applyBorder="1" applyAlignment="1"/>
    <xf numFmtId="0" fontId="6" fillId="7" borderId="23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0" fontId="24" fillId="7" borderId="2" xfId="2" applyNumberFormat="1" applyFont="1" applyFill="1" applyBorder="1" applyAlignment="1" applyProtection="1">
      <alignment horizontal="center" vertical="center"/>
    </xf>
    <xf numFmtId="0" fontId="25" fillId="0" borderId="17" xfId="0" applyNumberFormat="1" applyFont="1" applyFill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0" fontId="24" fillId="0" borderId="2" xfId="2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10" fontId="24" fillId="0" borderId="17" xfId="2" applyNumberFormat="1" applyFont="1" applyBorder="1" applyAlignment="1">
      <alignment horizontal="center" vertical="center" wrapText="1"/>
    </xf>
    <xf numFmtId="10" fontId="24" fillId="0" borderId="18" xfId="2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0" fontId="24" fillId="0" borderId="4" xfId="2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0" fontId="24" fillId="0" borderId="13" xfId="2" applyNumberFormat="1" applyFont="1" applyBorder="1" applyAlignment="1">
      <alignment horizontal="center" vertical="center" wrapText="1"/>
    </xf>
    <xf numFmtId="10" fontId="24" fillId="0" borderId="18" xfId="2" applyNumberFormat="1" applyFont="1" applyBorder="1" applyAlignment="1">
      <alignment horizontal="center" vertical="center"/>
    </xf>
    <xf numFmtId="10" fontId="24" fillId="0" borderId="5" xfId="2" applyNumberFormat="1" applyFont="1" applyBorder="1" applyAlignment="1">
      <alignment horizontal="center" vertical="center"/>
    </xf>
    <xf numFmtId="10" fontId="24" fillId="0" borderId="2" xfId="2" applyNumberFormat="1" applyFont="1" applyBorder="1" applyAlignment="1">
      <alignment horizontal="center" vertical="center"/>
    </xf>
    <xf numFmtId="10" fontId="24" fillId="0" borderId="18" xfId="2" applyNumberFormat="1" applyFont="1" applyFill="1" applyBorder="1" applyAlignment="1">
      <alignment horizontal="center" vertical="center" wrapText="1"/>
    </xf>
    <xf numFmtId="10" fontId="24" fillId="0" borderId="5" xfId="2" applyNumberFormat="1" applyFont="1" applyFill="1" applyBorder="1" applyAlignment="1">
      <alignment horizontal="center" vertical="center" wrapText="1"/>
    </xf>
    <xf numFmtId="10" fontId="24" fillId="0" borderId="2" xfId="2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4" fillId="7" borderId="1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10" fontId="24" fillId="0" borderId="2" xfId="2" applyNumberFormat="1" applyFont="1" applyBorder="1" applyAlignment="1">
      <alignment horizontal="center" vertical="center" wrapText="1"/>
    </xf>
    <xf numFmtId="10" fontId="24" fillId="0" borderId="0" xfId="2" applyNumberFormat="1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21" fillId="0" borderId="29" xfId="0" applyFont="1" applyFill="1" applyBorder="1" applyAlignment="1">
      <alignment horizontal="center" vertical="center" wrapText="1"/>
    </xf>
    <xf numFmtId="0" fontId="25" fillId="0" borderId="2" xfId="5" applyNumberFormat="1" applyFont="1" applyFill="1" applyBorder="1" applyAlignment="1">
      <alignment horizontal="center" vertical="center" wrapText="1"/>
    </xf>
    <xf numFmtId="178" fontId="25" fillId="7" borderId="2" xfId="5" applyNumberFormat="1" applyFont="1" applyFill="1" applyBorder="1" applyAlignment="1">
      <alignment horizontal="center" vertical="center" wrapText="1"/>
    </xf>
    <xf numFmtId="178" fontId="25" fillId="0" borderId="2" xfId="5" applyNumberFormat="1" applyFont="1" applyFill="1" applyBorder="1" applyAlignment="1">
      <alignment horizontal="center" vertical="center" wrapText="1"/>
    </xf>
    <xf numFmtId="179" fontId="6" fillId="0" borderId="5" xfId="4" applyNumberFormat="1" applyFont="1" applyFill="1" applyBorder="1" applyAlignment="1">
      <alignment horizontal="center" vertical="center"/>
    </xf>
    <xf numFmtId="0" fontId="25" fillId="7" borderId="2" xfId="5" applyNumberFormat="1" applyFont="1" applyFill="1" applyBorder="1" applyAlignment="1">
      <alignment horizontal="center" vertical="center" wrapText="1"/>
    </xf>
    <xf numFmtId="179" fontId="6" fillId="7" borderId="2" xfId="4" applyNumberFormat="1" applyFont="1" applyFill="1" applyBorder="1" applyAlignment="1">
      <alignment horizontal="center" vertical="center"/>
    </xf>
    <xf numFmtId="179" fontId="6" fillId="7" borderId="5" xfId="4" applyNumberFormat="1" applyFont="1" applyFill="1" applyBorder="1" applyAlignment="1">
      <alignment horizontal="center" vertical="center"/>
    </xf>
    <xf numFmtId="0" fontId="25" fillId="0" borderId="2" xfId="3" applyNumberFormat="1" applyFont="1" applyFill="1" applyBorder="1" applyAlignment="1">
      <alignment horizontal="center" vertical="center" readingOrder="1"/>
    </xf>
    <xf numFmtId="0" fontId="25" fillId="0" borderId="2" xfId="3" applyNumberFormat="1" applyFont="1" applyFill="1" applyBorder="1" applyAlignment="1">
      <alignment horizontal="center" vertical="center" readingOrder="1"/>
    </xf>
    <xf numFmtId="179" fontId="25" fillId="0" borderId="2" xfId="3" applyNumberFormat="1" applyFont="1" applyFill="1" applyBorder="1" applyAlignment="1">
      <alignment horizontal="center" vertical="center" readingOrder="1"/>
    </xf>
    <xf numFmtId="179" fontId="25" fillId="0" borderId="5" xfId="3" applyNumberFormat="1" applyFont="1" applyFill="1" applyBorder="1" applyAlignment="1">
      <alignment horizontal="center" vertical="center" readingOrder="1"/>
    </xf>
    <xf numFmtId="0" fontId="25" fillId="0" borderId="2" xfId="5" applyNumberFormat="1" applyFont="1" applyFill="1" applyBorder="1" applyAlignment="1">
      <alignment horizontal="center" vertical="center" wrapText="1"/>
    </xf>
    <xf numFmtId="0" fontId="6" fillId="0" borderId="2" xfId="3" applyNumberFormat="1" applyFont="1" applyFill="1" applyBorder="1" applyAlignment="1">
      <alignment horizontal="center" vertical="center" wrapText="1" readingOrder="1"/>
    </xf>
    <xf numFmtId="0" fontId="6" fillId="0" borderId="5" xfId="3" applyNumberFormat="1" applyFont="1" applyFill="1" applyBorder="1" applyAlignment="1">
      <alignment horizontal="center" vertical="center" wrapText="1" readingOrder="1"/>
    </xf>
    <xf numFmtId="178" fontId="28" fillId="0" borderId="2" xfId="0" applyNumberFormat="1" applyFont="1" applyFill="1" applyBorder="1" applyAlignment="1">
      <alignment horizontal="center" wrapText="1"/>
    </xf>
    <xf numFmtId="178" fontId="28" fillId="0" borderId="2" xfId="0" applyNumberFormat="1" applyFont="1" applyFill="1" applyBorder="1" applyAlignment="1">
      <alignment horizontal="center" wrapText="1"/>
    </xf>
    <xf numFmtId="178" fontId="28" fillId="0" borderId="2" xfId="0" applyNumberFormat="1" applyFont="1" applyFill="1" applyBorder="1" applyAlignment="1">
      <alignment horizontal="center"/>
    </xf>
    <xf numFmtId="178" fontId="25" fillId="5" borderId="2" xfId="5" applyNumberFormat="1" applyFont="1" applyFill="1" applyBorder="1" applyAlignment="1">
      <alignment horizontal="center" vertical="center" wrapText="1"/>
    </xf>
    <xf numFmtId="0" fontId="6" fillId="0" borderId="2" xfId="3" applyNumberFormat="1" applyFont="1" applyFill="1" applyBorder="1" applyAlignment="1">
      <alignment horizontal="center" vertical="center" readingOrder="1"/>
    </xf>
    <xf numFmtId="0" fontId="6" fillId="0" borderId="5" xfId="3" applyNumberFormat="1" applyFont="1" applyFill="1" applyBorder="1" applyAlignment="1">
      <alignment horizontal="center" vertical="center" readingOrder="1"/>
    </xf>
    <xf numFmtId="178" fontId="28" fillId="0" borderId="2" xfId="0" applyNumberFormat="1" applyFont="1" applyFill="1" applyBorder="1" applyAlignment="1">
      <alignment horizontal="center"/>
    </xf>
    <xf numFmtId="178" fontId="28" fillId="0" borderId="5" xfId="0" applyNumberFormat="1" applyFont="1" applyFill="1" applyBorder="1" applyAlignment="1">
      <alignment horizontal="center"/>
    </xf>
    <xf numFmtId="0" fontId="31" fillId="0" borderId="13" xfId="0" applyFont="1" applyFill="1" applyBorder="1" applyAlignment="1"/>
    <xf numFmtId="0" fontId="31" fillId="0" borderId="4" xfId="0" applyFont="1" applyFill="1" applyBorder="1" applyAlignment="1"/>
    <xf numFmtId="178" fontId="1" fillId="0" borderId="2" xfId="0" applyNumberFormat="1" applyFont="1" applyFill="1" applyBorder="1" applyAlignment="1">
      <alignment horizontal="center"/>
    </xf>
    <xf numFmtId="0" fontId="31" fillId="0" borderId="13" xfId="0" applyFont="1" applyFill="1" applyBorder="1" applyAlignment="1"/>
    <xf numFmtId="0" fontId="31" fillId="0" borderId="4" xfId="0" applyFont="1" applyFill="1" applyBorder="1" applyAlignment="1"/>
    <xf numFmtId="0" fontId="6" fillId="7" borderId="2" xfId="5" applyNumberFormat="1" applyFont="1" applyFill="1" applyBorder="1" applyAlignment="1">
      <alignment horizontal="center" vertical="center" wrapText="1"/>
    </xf>
    <xf numFmtId="178" fontId="6" fillId="7" borderId="2" xfId="5" applyNumberFormat="1" applyFont="1" applyFill="1" applyBorder="1" applyAlignment="1">
      <alignment horizontal="center" vertical="center" wrapText="1"/>
    </xf>
    <xf numFmtId="178" fontId="6" fillId="7" borderId="5" xfId="5" applyNumberFormat="1" applyFont="1" applyFill="1" applyBorder="1" applyAlignment="1">
      <alignment horizontal="center" vertical="center" wrapText="1"/>
    </xf>
    <xf numFmtId="178" fontId="25" fillId="7" borderId="5" xfId="5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79" fontId="6" fillId="0" borderId="17" xfId="4" applyNumberFormat="1" applyFont="1" applyFill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49" fontId="6" fillId="7" borderId="17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10" fontId="24" fillId="0" borderId="2" xfId="2" applyNumberFormat="1" applyFont="1" applyBorder="1" applyAlignment="1">
      <alignment horizontal="center" vertical="center" wrapText="1"/>
    </xf>
    <xf numFmtId="10" fontId="24" fillId="0" borderId="2" xfId="2" applyNumberFormat="1" applyFont="1" applyBorder="1" applyAlignment="1">
      <alignment horizontal="center" vertical="center"/>
    </xf>
    <xf numFmtId="10" fontId="24" fillId="0" borderId="2" xfId="2" applyNumberFormat="1" applyFont="1" applyFill="1" applyBorder="1" applyAlignment="1" applyProtection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0" fontId="24" fillId="7" borderId="17" xfId="0" applyFont="1" applyFill="1" applyBorder="1" applyAlignment="1">
      <alignment horizontal="center" vertical="center"/>
    </xf>
    <xf numFmtId="49" fontId="24" fillId="7" borderId="17" xfId="0" applyNumberFormat="1" applyFont="1" applyFill="1" applyBorder="1" applyAlignment="1">
      <alignment horizontal="center" vertical="center"/>
    </xf>
    <xf numFmtId="49" fontId="24" fillId="7" borderId="17" xfId="0" applyNumberFormat="1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10" fontId="24" fillId="0" borderId="30" xfId="2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0" fontId="34" fillId="0" borderId="0" xfId="0" applyFont="1">
      <alignment vertical="center"/>
    </xf>
    <xf numFmtId="0" fontId="36" fillId="0" borderId="0" xfId="0" applyFont="1" applyFill="1" applyBorder="1" applyAlignment="1">
      <alignment horizontal="right" vertical="center"/>
    </xf>
    <xf numFmtId="176" fontId="36" fillId="0" borderId="0" xfId="6" applyFont="1" applyFill="1" applyBorder="1" applyAlignment="1">
      <alignment horizontal="left" vertical="center"/>
    </xf>
    <xf numFmtId="178" fontId="36" fillId="0" borderId="0" xfId="6" applyNumberFormat="1" applyFont="1" applyFill="1" applyBorder="1" applyAlignment="1">
      <alignment vertical="center"/>
    </xf>
    <xf numFmtId="176" fontId="37" fillId="0" borderId="0" xfId="5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178" fontId="36" fillId="0" borderId="0" xfId="6" applyNumberFormat="1" applyFont="1" applyFill="1" applyBorder="1" applyAlignment="1">
      <alignment horizontal="left" vertical="center"/>
    </xf>
    <xf numFmtId="0" fontId="38" fillId="0" borderId="0" xfId="5" applyNumberFormat="1" applyFont="1" applyFill="1" applyBorder="1" applyAlignment="1">
      <alignment horizontal="center" vertical="center"/>
    </xf>
    <xf numFmtId="178" fontId="38" fillId="0" borderId="0" xfId="5" applyNumberFormat="1" applyFont="1" applyFill="1" applyBorder="1" applyAlignment="1">
      <alignment horizontal="center" vertical="center"/>
    </xf>
    <xf numFmtId="0" fontId="38" fillId="0" borderId="0" xfId="0" applyNumberFormat="1" applyFont="1" applyFill="1" applyBorder="1" applyAlignment="1">
      <alignment horizontal="center" vertical="center"/>
    </xf>
    <xf numFmtId="0" fontId="38" fillId="0" borderId="0" xfId="3" applyNumberFormat="1" applyFont="1" applyFill="1" applyBorder="1" applyAlignment="1">
      <alignment horizontal="center" vertical="center"/>
    </xf>
    <xf numFmtId="178" fontId="38" fillId="0" borderId="0" xfId="0" applyNumberFormat="1" applyFont="1" applyFill="1" applyBorder="1" applyAlignment="1">
      <alignment horizontal="left"/>
    </xf>
    <xf numFmtId="0" fontId="37" fillId="0" borderId="0" xfId="5" applyNumberFormat="1" applyFont="1" applyFill="1" applyBorder="1" applyAlignment="1">
      <alignment horizontal="center" vertical="center"/>
    </xf>
    <xf numFmtId="178" fontId="36" fillId="0" borderId="0" xfId="5" applyNumberFormat="1" applyFont="1" applyFill="1" applyBorder="1" applyAlignment="1">
      <alignment horizontal="center" vertical="center"/>
    </xf>
    <xf numFmtId="178" fontId="37" fillId="0" borderId="0" xfId="5" applyNumberFormat="1" applyFont="1" applyFill="1" applyBorder="1" applyAlignment="1">
      <alignment horizontal="center" vertical="center"/>
    </xf>
    <xf numFmtId="178" fontId="38" fillId="0" borderId="0" xfId="6" applyNumberFormat="1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left" vertical="center"/>
    </xf>
    <xf numFmtId="0" fontId="37" fillId="0" borderId="0" xfId="3" applyNumberFormat="1" applyFont="1" applyFill="1" applyBorder="1" applyAlignment="1">
      <alignment horizontal="center" vertical="center"/>
    </xf>
    <xf numFmtId="0" fontId="36" fillId="0" borderId="0" xfId="5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vertical="center"/>
    </xf>
    <xf numFmtId="176" fontId="37" fillId="0" borderId="0" xfId="5" applyNumberFormat="1" applyFont="1" applyFill="1" applyBorder="1" applyAlignment="1">
      <alignment horizontal="right" vertical="center"/>
    </xf>
    <xf numFmtId="0" fontId="38" fillId="0" borderId="0" xfId="0" applyFont="1" applyFill="1" applyBorder="1" applyAlignment="1">
      <alignment horizontal="right" vertical="center"/>
    </xf>
    <xf numFmtId="43" fontId="38" fillId="0" borderId="0" xfId="1" applyNumberFormat="1" applyFont="1" applyFill="1" applyBorder="1" applyAlignment="1">
      <alignment horizontal="right" vertical="center"/>
    </xf>
    <xf numFmtId="43" fontId="36" fillId="0" borderId="0" xfId="1" applyNumberFormat="1" applyFont="1" applyFill="1" applyBorder="1" applyAlignment="1">
      <alignment horizontal="right" vertical="center"/>
    </xf>
    <xf numFmtId="43" fontId="39" fillId="0" borderId="0" xfId="1" applyNumberFormat="1" applyFont="1" applyFill="1" applyBorder="1" applyAlignment="1">
      <alignment horizontal="right"/>
    </xf>
    <xf numFmtId="43" fontId="38" fillId="0" borderId="0" xfId="1" applyNumberFormat="1" applyFont="1" applyFill="1" applyBorder="1" applyAlignment="1">
      <alignment horizontal="right"/>
    </xf>
    <xf numFmtId="43" fontId="37" fillId="0" borderId="0" xfId="1" applyNumberFormat="1" applyFont="1" applyFill="1" applyBorder="1" applyAlignment="1">
      <alignment horizontal="right" vertical="center"/>
    </xf>
    <xf numFmtId="43" fontId="40" fillId="0" borderId="0" xfId="1" applyNumberFormat="1" applyFont="1" applyFill="1" applyBorder="1" applyAlignment="1">
      <alignment horizontal="right"/>
    </xf>
    <xf numFmtId="176" fontId="37" fillId="0" borderId="0" xfId="5" applyNumberFormat="1" applyFont="1" applyFill="1" applyBorder="1" applyAlignment="1">
      <alignment horizontal="left" vertical="center"/>
    </xf>
    <xf numFmtId="178" fontId="38" fillId="0" borderId="0" xfId="5" applyNumberFormat="1" applyFont="1" applyFill="1" applyBorder="1" applyAlignment="1">
      <alignment horizontal="left" vertical="center"/>
    </xf>
    <xf numFmtId="0" fontId="38" fillId="0" borderId="0" xfId="3" applyNumberFormat="1" applyFont="1" applyFill="1" applyBorder="1" applyAlignment="1">
      <alignment horizontal="left" vertical="center"/>
    </xf>
    <xf numFmtId="178" fontId="36" fillId="0" borderId="0" xfId="5" applyNumberFormat="1" applyFont="1" applyFill="1" applyBorder="1" applyAlignment="1">
      <alignment horizontal="left" vertical="center"/>
    </xf>
    <xf numFmtId="178" fontId="37" fillId="0" borderId="0" xfId="5" applyNumberFormat="1" applyFont="1" applyFill="1" applyBorder="1" applyAlignment="1">
      <alignment horizontal="left" vertical="center"/>
    </xf>
    <xf numFmtId="0" fontId="37" fillId="0" borderId="0" xfId="3" applyNumberFormat="1" applyFont="1" applyFill="1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10" xfId="0" pivotButton="1" applyBorder="1">
      <alignment vertical="center"/>
    </xf>
    <xf numFmtId="0" fontId="0" fillId="0" borderId="35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0" xfId="0" applyNumberFormat="1" applyBorder="1" applyAlignment="1">
      <alignment horizontal="right" vertical="center"/>
    </xf>
    <xf numFmtId="0" fontId="0" fillId="0" borderId="11" xfId="0" applyNumberFormat="1" applyBorder="1" applyAlignment="1">
      <alignment horizontal="right" vertical="center"/>
    </xf>
    <xf numFmtId="0" fontId="0" fillId="0" borderId="8" xfId="0" applyNumberFormat="1" applyBorder="1" applyAlignment="1">
      <alignment horizontal="right" vertical="center"/>
    </xf>
    <xf numFmtId="0" fontId="0" fillId="0" borderId="35" xfId="0" applyNumberFormat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0" borderId="36" xfId="0" applyNumberFormat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2" xfId="0" applyNumberFormat="1" applyBorder="1" applyAlignment="1">
      <alignment horizontal="right" vertical="center"/>
    </xf>
    <xf numFmtId="0" fontId="0" fillId="0" borderId="37" xfId="0" applyNumberFormat="1" applyBorder="1" applyAlignment="1">
      <alignment horizontal="right" vertical="center"/>
    </xf>
    <xf numFmtId="0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0" fontId="0" fillId="0" borderId="10" xfId="0" pivotButton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43" fontId="0" fillId="0" borderId="0" xfId="1" applyFont="1">
      <alignment vertical="center"/>
    </xf>
    <xf numFmtId="0" fontId="38" fillId="0" borderId="38" xfId="0" applyFont="1" applyBorder="1" applyAlignment="1">
      <alignment horizontal="left" vertical="center"/>
    </xf>
    <xf numFmtId="0" fontId="38" fillId="0" borderId="39" xfId="0" applyFont="1" applyBorder="1" applyAlignment="1">
      <alignment horizontal="left" vertical="center"/>
    </xf>
    <xf numFmtId="0" fontId="41" fillId="9" borderId="41" xfId="0" applyFont="1" applyFill="1" applyBorder="1" applyAlignment="1">
      <alignment horizontal="left" vertical="center"/>
    </xf>
    <xf numFmtId="0" fontId="41" fillId="9" borderId="42" xfId="0" applyFont="1" applyFill="1" applyBorder="1" applyAlignment="1">
      <alignment horizontal="left" vertical="center"/>
    </xf>
    <xf numFmtId="0" fontId="41" fillId="9" borderId="42" xfId="0" applyFont="1" applyFill="1" applyBorder="1" applyAlignment="1">
      <alignment horizontal="right" vertical="center" wrapText="1"/>
    </xf>
    <xf numFmtId="0" fontId="41" fillId="9" borderId="43" xfId="0" applyFont="1" applyFill="1" applyBorder="1" applyAlignment="1">
      <alignment horizontal="right" vertical="center" wrapText="1"/>
    </xf>
    <xf numFmtId="0" fontId="38" fillId="0" borderId="41" xfId="0" applyFont="1" applyBorder="1" applyAlignment="1">
      <alignment horizontal="left" vertical="center"/>
    </xf>
    <xf numFmtId="0" fontId="38" fillId="0" borderId="42" xfId="0" applyFont="1" applyBorder="1" applyAlignment="1">
      <alignment horizontal="left" vertical="center"/>
    </xf>
    <xf numFmtId="180" fontId="38" fillId="0" borderId="42" xfId="1" applyNumberFormat="1" applyFont="1" applyBorder="1" applyAlignment="1">
      <alignment horizontal="right" vertical="center"/>
    </xf>
    <xf numFmtId="180" fontId="38" fillId="0" borderId="43" xfId="1" applyNumberFormat="1" applyFont="1" applyBorder="1" applyAlignment="1">
      <alignment horizontal="right" vertical="center"/>
    </xf>
    <xf numFmtId="180" fontId="38" fillId="0" borderId="39" xfId="1" applyNumberFormat="1" applyFont="1" applyBorder="1" applyAlignment="1">
      <alignment horizontal="right" vertical="center"/>
    </xf>
    <xf numFmtId="180" fontId="38" fillId="0" borderId="40" xfId="1" applyNumberFormat="1" applyFont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176" fontId="33" fillId="6" borderId="6" xfId="5" applyNumberFormat="1" applyFont="1" applyFill="1" applyBorder="1" applyAlignment="1">
      <alignment horizontal="center" vertical="center" wrapText="1"/>
    </xf>
    <xf numFmtId="176" fontId="33" fillId="6" borderId="13" xfId="5" applyNumberFormat="1" applyFont="1" applyFill="1" applyBorder="1" applyAlignment="1">
      <alignment horizontal="center" vertical="center" wrapText="1"/>
    </xf>
    <xf numFmtId="176" fontId="22" fillId="6" borderId="6" xfId="5" applyNumberFormat="1" applyFont="1" applyFill="1" applyBorder="1" applyAlignment="1">
      <alignment horizontal="center" vertical="center" wrapText="1"/>
    </xf>
    <xf numFmtId="176" fontId="22" fillId="6" borderId="13" xfId="5" applyNumberFormat="1" applyFont="1" applyFill="1" applyBorder="1" applyAlignment="1">
      <alignment horizontal="center" vertical="center" wrapText="1"/>
    </xf>
    <xf numFmtId="176" fontId="22" fillId="6" borderId="2" xfId="5" applyNumberFormat="1" applyFont="1" applyFill="1" applyBorder="1" applyAlignment="1">
      <alignment horizontal="center" vertical="center" wrapText="1"/>
    </xf>
    <xf numFmtId="176" fontId="33" fillId="6" borderId="14" xfId="5" applyNumberFormat="1" applyFont="1" applyFill="1" applyBorder="1" applyAlignment="1">
      <alignment horizontal="center" vertical="center" wrapText="1"/>
    </xf>
    <xf numFmtId="176" fontId="22" fillId="6" borderId="14" xfId="5" applyNumberFormat="1" applyFont="1" applyFill="1" applyBorder="1" applyAlignment="1">
      <alignment horizontal="center" vertical="center" wrapText="1"/>
    </xf>
    <xf numFmtId="176" fontId="33" fillId="6" borderId="2" xfId="5" applyNumberFormat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78" fontId="5" fillId="0" borderId="2" xfId="6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176" fontId="22" fillId="6" borderId="2" xfId="5" applyNumberFormat="1" applyFont="1" applyFill="1" applyBorder="1" applyAlignment="1">
      <alignment horizontal="center" vertical="center"/>
    </xf>
    <xf numFmtId="176" fontId="33" fillId="6" borderId="2" xfId="5" applyNumberFormat="1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76" fontId="33" fillId="0" borderId="2" xfId="6" applyFont="1" applyFill="1" applyBorder="1" applyAlignment="1">
      <alignment horizontal="center" vertical="center"/>
    </xf>
    <xf numFmtId="176" fontId="5" fillId="0" borderId="2" xfId="6" applyFont="1" applyFill="1" applyBorder="1" applyAlignment="1">
      <alignment horizontal="center" vertical="center"/>
    </xf>
    <xf numFmtId="178" fontId="33" fillId="0" borderId="2" xfId="6" applyNumberFormat="1" applyFont="1" applyFill="1" applyBorder="1" applyAlignment="1">
      <alignment horizontal="center" vertical="center"/>
    </xf>
    <xf numFmtId="178" fontId="28" fillId="0" borderId="0" xfId="0" applyNumberFormat="1" applyFont="1" applyFill="1" applyAlignment="1">
      <alignment horizontal="center"/>
    </xf>
    <xf numFmtId="0" fontId="32" fillId="0" borderId="1" xfId="0" applyFont="1" applyFill="1" applyBorder="1" applyAlignment="1">
      <alignment horizontal="left" vertical="center"/>
    </xf>
    <xf numFmtId="176" fontId="22" fillId="6" borderId="3" xfId="5" applyNumberFormat="1" applyFont="1" applyFill="1" applyBorder="1" applyAlignment="1">
      <alignment horizontal="center" vertical="center" wrapText="1"/>
    </xf>
    <xf numFmtId="176" fontId="22" fillId="6" borderId="4" xfId="5" applyNumberFormat="1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25" xfId="0" applyFill="1" applyBorder="1" applyAlignment="1">
      <alignment horizontal="center" vertical="center"/>
    </xf>
  </cellXfs>
  <cellStyles count="8">
    <cellStyle name="Normal 3" xfId="5" xr:uid="{00000000-0005-0000-0000-000000000000}"/>
    <cellStyle name="Normal 6" xfId="3" xr:uid="{00000000-0005-0000-0000-000001000000}"/>
    <cellStyle name="百分比" xfId="2" builtinId="5"/>
    <cellStyle name="常规" xfId="0" builtinId="0"/>
    <cellStyle name="常规 24" xfId="7" xr:uid="{00000000-0005-0000-0000-000004000000}"/>
    <cellStyle name="常规 7" xfId="6" xr:uid="{00000000-0005-0000-0000-000005000000}"/>
    <cellStyle name="常规 8" xfId="4" xr:uid="{00000000-0005-0000-0000-000006000000}"/>
    <cellStyle name="千位分隔" xfId="1" builtinId="3"/>
  </cellStyles>
  <dxfs count="7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right" readingOrder="0"/>
    </dxf>
    <dxf>
      <alignment horizontal="right" readingOrder="0"/>
    </dxf>
  </dxfs>
  <tableStyles count="1" defaultTableStyle="TableStyleMedium2" defaultPivotStyle="PivotStyleLight16">
    <tableStyle name="MySqlDefault" pivot="0" table="0" count="2" xr9:uid="{91FD5BDD-F524-4735-B0DD-7AA5F7F7EAC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23016914552347E-2"/>
          <c:y val="6.4990342226639145E-2"/>
          <c:w val="0.84898865072421503"/>
          <c:h val="0.7924786745406824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图表!$D$2</c:f>
              <c:strCache>
                <c:ptCount val="1"/>
                <c:pt idx="0">
                  <c:v>2017年11月
至2018年10月</c:v>
                </c:pt>
              </c:strCache>
            </c:strRef>
          </c:tx>
          <c:invertIfNegative val="0"/>
          <c:cat>
            <c:multiLvlStrRef>
              <c:f>图表!$B$3:$C$38</c:f>
              <c:multiLvlStrCache>
                <c:ptCount val="36"/>
                <c:lvl>
                  <c:pt idx="0">
                    <c:v>北京</c:v>
                  </c:pt>
                  <c:pt idx="1">
                    <c:v>河南</c:v>
                  </c:pt>
                  <c:pt idx="2">
                    <c:v>西安</c:v>
                  </c:pt>
                  <c:pt idx="3">
                    <c:v>徐州</c:v>
                  </c:pt>
                  <c:pt idx="4">
                    <c:v>北京</c:v>
                  </c:pt>
                  <c:pt idx="5">
                    <c:v>河南</c:v>
                  </c:pt>
                  <c:pt idx="6">
                    <c:v>西安</c:v>
                  </c:pt>
                  <c:pt idx="7">
                    <c:v>徐州</c:v>
                  </c:pt>
                  <c:pt idx="8">
                    <c:v>北京</c:v>
                  </c:pt>
                  <c:pt idx="9">
                    <c:v>河南</c:v>
                  </c:pt>
                  <c:pt idx="10">
                    <c:v>西安</c:v>
                  </c:pt>
                  <c:pt idx="11">
                    <c:v>徐州</c:v>
                  </c:pt>
                  <c:pt idx="12">
                    <c:v>北京</c:v>
                  </c:pt>
                  <c:pt idx="13">
                    <c:v>河南</c:v>
                  </c:pt>
                  <c:pt idx="14">
                    <c:v>西安</c:v>
                  </c:pt>
                  <c:pt idx="15">
                    <c:v>徐州</c:v>
                  </c:pt>
                  <c:pt idx="16">
                    <c:v>北京</c:v>
                  </c:pt>
                  <c:pt idx="17">
                    <c:v>河南</c:v>
                  </c:pt>
                  <c:pt idx="18">
                    <c:v>西安</c:v>
                  </c:pt>
                  <c:pt idx="19">
                    <c:v>徐州</c:v>
                  </c:pt>
                  <c:pt idx="20">
                    <c:v>北京</c:v>
                  </c:pt>
                  <c:pt idx="21">
                    <c:v>河南</c:v>
                  </c:pt>
                  <c:pt idx="22">
                    <c:v>西安</c:v>
                  </c:pt>
                  <c:pt idx="23">
                    <c:v>徐州</c:v>
                  </c:pt>
                  <c:pt idx="24">
                    <c:v>北京</c:v>
                  </c:pt>
                  <c:pt idx="25">
                    <c:v>河南</c:v>
                  </c:pt>
                  <c:pt idx="26">
                    <c:v>西安</c:v>
                  </c:pt>
                  <c:pt idx="27">
                    <c:v>徐州</c:v>
                  </c:pt>
                  <c:pt idx="28">
                    <c:v>北京</c:v>
                  </c:pt>
                  <c:pt idx="29">
                    <c:v>河南</c:v>
                  </c:pt>
                  <c:pt idx="30">
                    <c:v>西安</c:v>
                  </c:pt>
                  <c:pt idx="31">
                    <c:v>徐州</c:v>
                  </c:pt>
                  <c:pt idx="32">
                    <c:v>北京</c:v>
                  </c:pt>
                  <c:pt idx="33">
                    <c:v>河南</c:v>
                  </c:pt>
                  <c:pt idx="34">
                    <c:v>西安</c:v>
                  </c:pt>
                  <c:pt idx="35">
                    <c:v>徐州</c:v>
                  </c:pt>
                </c:lvl>
                <c:lvl>
                  <c:pt idx="0">
                    <c:v>国窖1573</c:v>
                  </c:pt>
                  <c:pt idx="4">
                    <c:v>窖龄</c:v>
                  </c:pt>
                  <c:pt idx="8">
                    <c:v>特曲</c:v>
                  </c:pt>
                  <c:pt idx="12">
                    <c:v>头曲</c:v>
                  </c:pt>
                  <c:pt idx="16">
                    <c:v>二曲</c:v>
                  </c:pt>
                  <c:pt idx="20">
                    <c:v>五粮液</c:v>
                  </c:pt>
                  <c:pt idx="24">
                    <c:v>剑南春</c:v>
                  </c:pt>
                  <c:pt idx="28">
                    <c:v>洋河</c:v>
                  </c:pt>
                  <c:pt idx="32">
                    <c:v>其它</c:v>
                  </c:pt>
                </c:lvl>
              </c:multiLvlStrCache>
            </c:multiLvlStrRef>
          </c:cat>
          <c:val>
            <c:numRef>
              <c:f>图表!$D$3:$D$38</c:f>
              <c:numCache>
                <c:formatCode>_ * #,##0.0_ ;_ * \-#,##0.0_ ;_ * "-"??_ ;_ @_ </c:formatCode>
                <c:ptCount val="36"/>
                <c:pt idx="0">
                  <c:v>6421424.9000000004</c:v>
                </c:pt>
                <c:pt idx="1">
                  <c:v>11078697.929999998</c:v>
                </c:pt>
                <c:pt idx="2">
                  <c:v>2739484.93</c:v>
                </c:pt>
                <c:pt idx="3">
                  <c:v>94002.44</c:v>
                </c:pt>
                <c:pt idx="4">
                  <c:v>1359211.6</c:v>
                </c:pt>
                <c:pt idx="5">
                  <c:v>2035553.3599999999</c:v>
                </c:pt>
                <c:pt idx="6">
                  <c:v>380377</c:v>
                </c:pt>
                <c:pt idx="7">
                  <c:v>10120</c:v>
                </c:pt>
                <c:pt idx="8">
                  <c:v>516695.31</c:v>
                </c:pt>
                <c:pt idx="9">
                  <c:v>9353998.1600000001</c:v>
                </c:pt>
                <c:pt idx="10">
                  <c:v>316626.87</c:v>
                </c:pt>
                <c:pt idx="11">
                  <c:v>26453.699999999997</c:v>
                </c:pt>
                <c:pt idx="12">
                  <c:v>128511.56</c:v>
                </c:pt>
                <c:pt idx="13">
                  <c:v>1949026.2700000003</c:v>
                </c:pt>
                <c:pt idx="14">
                  <c:v>80250.12</c:v>
                </c:pt>
                <c:pt idx="15">
                  <c:v>8796.9600000000009</c:v>
                </c:pt>
                <c:pt idx="16">
                  <c:v>0</c:v>
                </c:pt>
                <c:pt idx="17">
                  <c:v>39580.979999999996</c:v>
                </c:pt>
                <c:pt idx="18">
                  <c:v>0</c:v>
                </c:pt>
                <c:pt idx="19">
                  <c:v>550</c:v>
                </c:pt>
                <c:pt idx="20">
                  <c:v>9755378.9600000009</c:v>
                </c:pt>
                <c:pt idx="21">
                  <c:v>55255963.490000002</c:v>
                </c:pt>
                <c:pt idx="22">
                  <c:v>4432500</c:v>
                </c:pt>
                <c:pt idx="23">
                  <c:v>428653.68</c:v>
                </c:pt>
                <c:pt idx="24">
                  <c:v>3324629.55</c:v>
                </c:pt>
                <c:pt idx="25">
                  <c:v>55386699.100000001</c:v>
                </c:pt>
                <c:pt idx="26">
                  <c:v>1414867.5</c:v>
                </c:pt>
                <c:pt idx="27">
                  <c:v>64774.29</c:v>
                </c:pt>
                <c:pt idx="28">
                  <c:v>102674</c:v>
                </c:pt>
                <c:pt idx="29">
                  <c:v>20691770.850000001</c:v>
                </c:pt>
                <c:pt idx="30">
                  <c:v>170198.83000000002</c:v>
                </c:pt>
                <c:pt idx="31">
                  <c:v>446936</c:v>
                </c:pt>
                <c:pt idx="32">
                  <c:v>934732.67000000551</c:v>
                </c:pt>
                <c:pt idx="33">
                  <c:v>3995261.7299999893</c:v>
                </c:pt>
                <c:pt idx="34">
                  <c:v>555543.04999999888</c:v>
                </c:pt>
                <c:pt idx="35">
                  <c:v>40479.299999999814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E-43EE-A8F9-D8F46134FC73}"/>
            </c:ext>
          </c:extLst>
        </c:ser>
        <c:ser>
          <c:idx val="2"/>
          <c:order val="1"/>
          <c:tx>
            <c:strRef>
              <c:f>图表!$E$2</c:f>
              <c:strCache>
                <c:ptCount val="1"/>
                <c:pt idx="0">
                  <c:v>2017年5月
至2017年10月</c:v>
                </c:pt>
              </c:strCache>
            </c:strRef>
          </c:tx>
          <c:invertIfNegative val="0"/>
          <c:cat>
            <c:multiLvlStrRef>
              <c:f>图表!$B$3:$C$38</c:f>
              <c:multiLvlStrCache>
                <c:ptCount val="36"/>
                <c:lvl>
                  <c:pt idx="0">
                    <c:v>北京</c:v>
                  </c:pt>
                  <c:pt idx="1">
                    <c:v>河南</c:v>
                  </c:pt>
                  <c:pt idx="2">
                    <c:v>西安</c:v>
                  </c:pt>
                  <c:pt idx="3">
                    <c:v>徐州</c:v>
                  </c:pt>
                  <c:pt idx="4">
                    <c:v>北京</c:v>
                  </c:pt>
                  <c:pt idx="5">
                    <c:v>河南</c:v>
                  </c:pt>
                  <c:pt idx="6">
                    <c:v>西安</c:v>
                  </c:pt>
                  <c:pt idx="7">
                    <c:v>徐州</c:v>
                  </c:pt>
                  <c:pt idx="8">
                    <c:v>北京</c:v>
                  </c:pt>
                  <c:pt idx="9">
                    <c:v>河南</c:v>
                  </c:pt>
                  <c:pt idx="10">
                    <c:v>西安</c:v>
                  </c:pt>
                  <c:pt idx="11">
                    <c:v>徐州</c:v>
                  </c:pt>
                  <c:pt idx="12">
                    <c:v>北京</c:v>
                  </c:pt>
                  <c:pt idx="13">
                    <c:v>河南</c:v>
                  </c:pt>
                  <c:pt idx="14">
                    <c:v>西安</c:v>
                  </c:pt>
                  <c:pt idx="15">
                    <c:v>徐州</c:v>
                  </c:pt>
                  <c:pt idx="16">
                    <c:v>北京</c:v>
                  </c:pt>
                  <c:pt idx="17">
                    <c:v>河南</c:v>
                  </c:pt>
                  <c:pt idx="18">
                    <c:v>西安</c:v>
                  </c:pt>
                  <c:pt idx="19">
                    <c:v>徐州</c:v>
                  </c:pt>
                  <c:pt idx="20">
                    <c:v>北京</c:v>
                  </c:pt>
                  <c:pt idx="21">
                    <c:v>河南</c:v>
                  </c:pt>
                  <c:pt idx="22">
                    <c:v>西安</c:v>
                  </c:pt>
                  <c:pt idx="23">
                    <c:v>徐州</c:v>
                  </c:pt>
                  <c:pt idx="24">
                    <c:v>北京</c:v>
                  </c:pt>
                  <c:pt idx="25">
                    <c:v>河南</c:v>
                  </c:pt>
                  <c:pt idx="26">
                    <c:v>西安</c:v>
                  </c:pt>
                  <c:pt idx="27">
                    <c:v>徐州</c:v>
                  </c:pt>
                  <c:pt idx="28">
                    <c:v>北京</c:v>
                  </c:pt>
                  <c:pt idx="29">
                    <c:v>河南</c:v>
                  </c:pt>
                  <c:pt idx="30">
                    <c:v>西安</c:v>
                  </c:pt>
                  <c:pt idx="31">
                    <c:v>徐州</c:v>
                  </c:pt>
                  <c:pt idx="32">
                    <c:v>北京</c:v>
                  </c:pt>
                  <c:pt idx="33">
                    <c:v>河南</c:v>
                  </c:pt>
                  <c:pt idx="34">
                    <c:v>西安</c:v>
                  </c:pt>
                  <c:pt idx="35">
                    <c:v>徐州</c:v>
                  </c:pt>
                </c:lvl>
                <c:lvl>
                  <c:pt idx="0">
                    <c:v>国窖1573</c:v>
                  </c:pt>
                  <c:pt idx="4">
                    <c:v>窖龄</c:v>
                  </c:pt>
                  <c:pt idx="8">
                    <c:v>特曲</c:v>
                  </c:pt>
                  <c:pt idx="12">
                    <c:v>头曲</c:v>
                  </c:pt>
                  <c:pt idx="16">
                    <c:v>二曲</c:v>
                  </c:pt>
                  <c:pt idx="20">
                    <c:v>五粮液</c:v>
                  </c:pt>
                  <c:pt idx="24">
                    <c:v>剑南春</c:v>
                  </c:pt>
                  <c:pt idx="28">
                    <c:v>洋河</c:v>
                  </c:pt>
                  <c:pt idx="32">
                    <c:v>其它</c:v>
                  </c:pt>
                </c:lvl>
              </c:multiLvlStrCache>
            </c:multiLvlStrRef>
          </c:cat>
          <c:val>
            <c:numRef>
              <c:f>图表!$E$3:$E$38</c:f>
              <c:numCache>
                <c:formatCode>_ * #,##0.0_ ;_ * \-#,##0.0_ ;_ * "-"??_ ;_ @_ </c:formatCode>
                <c:ptCount val="36"/>
                <c:pt idx="0">
                  <c:v>2396430.66</c:v>
                </c:pt>
                <c:pt idx="1">
                  <c:v>4390187.34</c:v>
                </c:pt>
                <c:pt idx="2">
                  <c:v>586577.97000000009</c:v>
                </c:pt>
                <c:pt idx="3">
                  <c:v>0</c:v>
                </c:pt>
                <c:pt idx="4">
                  <c:v>415094.14</c:v>
                </c:pt>
                <c:pt idx="5">
                  <c:v>910104.3</c:v>
                </c:pt>
                <c:pt idx="6">
                  <c:v>102884.06</c:v>
                </c:pt>
                <c:pt idx="7">
                  <c:v>0</c:v>
                </c:pt>
                <c:pt idx="8">
                  <c:v>173707.44</c:v>
                </c:pt>
                <c:pt idx="9">
                  <c:v>4392554.05</c:v>
                </c:pt>
                <c:pt idx="10">
                  <c:v>73699.360000000001</c:v>
                </c:pt>
                <c:pt idx="11">
                  <c:v>0</c:v>
                </c:pt>
                <c:pt idx="12">
                  <c:v>42079.55</c:v>
                </c:pt>
                <c:pt idx="13">
                  <c:v>798866.07000000007</c:v>
                </c:pt>
                <c:pt idx="14">
                  <c:v>8101.1299999999992</c:v>
                </c:pt>
                <c:pt idx="15">
                  <c:v>0</c:v>
                </c:pt>
                <c:pt idx="16">
                  <c:v>0</c:v>
                </c:pt>
                <c:pt idx="17">
                  <c:v>14807.99</c:v>
                </c:pt>
                <c:pt idx="18">
                  <c:v>0</c:v>
                </c:pt>
                <c:pt idx="19">
                  <c:v>25</c:v>
                </c:pt>
                <c:pt idx="20">
                  <c:v>3294765.52</c:v>
                </c:pt>
                <c:pt idx="21">
                  <c:v>26177581.990000002</c:v>
                </c:pt>
                <c:pt idx="22">
                  <c:v>851926.5</c:v>
                </c:pt>
                <c:pt idx="23">
                  <c:v>6941.76</c:v>
                </c:pt>
                <c:pt idx="24">
                  <c:v>1485636.78</c:v>
                </c:pt>
                <c:pt idx="25">
                  <c:v>24563242.680000003</c:v>
                </c:pt>
                <c:pt idx="26">
                  <c:v>416542.5</c:v>
                </c:pt>
                <c:pt idx="27">
                  <c:v>0</c:v>
                </c:pt>
                <c:pt idx="28">
                  <c:v>0</c:v>
                </c:pt>
                <c:pt idx="29">
                  <c:v>9712714.9500000011</c:v>
                </c:pt>
                <c:pt idx="30">
                  <c:v>20225.73</c:v>
                </c:pt>
                <c:pt idx="31">
                  <c:v>242.9</c:v>
                </c:pt>
                <c:pt idx="32">
                  <c:v>130270.76999999955</c:v>
                </c:pt>
                <c:pt idx="33">
                  <c:v>954276.06999997795</c:v>
                </c:pt>
                <c:pt idx="34">
                  <c:v>45694.399999999907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E-43EE-A8F9-D8F46134FC73}"/>
            </c:ext>
          </c:extLst>
        </c:ser>
        <c:ser>
          <c:idx val="3"/>
          <c:order val="2"/>
          <c:tx>
            <c:strRef>
              <c:f>图表!$F$2</c:f>
              <c:strCache>
                <c:ptCount val="1"/>
                <c:pt idx="0">
                  <c:v>2018年5月
至2018年10月</c:v>
                </c:pt>
              </c:strCache>
            </c:strRef>
          </c:tx>
          <c:invertIfNegative val="0"/>
          <c:cat>
            <c:multiLvlStrRef>
              <c:f>图表!$B$3:$C$38</c:f>
              <c:multiLvlStrCache>
                <c:ptCount val="36"/>
                <c:lvl>
                  <c:pt idx="0">
                    <c:v>北京</c:v>
                  </c:pt>
                  <c:pt idx="1">
                    <c:v>河南</c:v>
                  </c:pt>
                  <c:pt idx="2">
                    <c:v>西安</c:v>
                  </c:pt>
                  <c:pt idx="3">
                    <c:v>徐州</c:v>
                  </c:pt>
                  <c:pt idx="4">
                    <c:v>北京</c:v>
                  </c:pt>
                  <c:pt idx="5">
                    <c:v>河南</c:v>
                  </c:pt>
                  <c:pt idx="6">
                    <c:v>西安</c:v>
                  </c:pt>
                  <c:pt idx="7">
                    <c:v>徐州</c:v>
                  </c:pt>
                  <c:pt idx="8">
                    <c:v>北京</c:v>
                  </c:pt>
                  <c:pt idx="9">
                    <c:v>河南</c:v>
                  </c:pt>
                  <c:pt idx="10">
                    <c:v>西安</c:v>
                  </c:pt>
                  <c:pt idx="11">
                    <c:v>徐州</c:v>
                  </c:pt>
                  <c:pt idx="12">
                    <c:v>北京</c:v>
                  </c:pt>
                  <c:pt idx="13">
                    <c:v>河南</c:v>
                  </c:pt>
                  <c:pt idx="14">
                    <c:v>西安</c:v>
                  </c:pt>
                  <c:pt idx="15">
                    <c:v>徐州</c:v>
                  </c:pt>
                  <c:pt idx="16">
                    <c:v>北京</c:v>
                  </c:pt>
                  <c:pt idx="17">
                    <c:v>河南</c:v>
                  </c:pt>
                  <c:pt idx="18">
                    <c:v>西安</c:v>
                  </c:pt>
                  <c:pt idx="19">
                    <c:v>徐州</c:v>
                  </c:pt>
                  <c:pt idx="20">
                    <c:v>北京</c:v>
                  </c:pt>
                  <c:pt idx="21">
                    <c:v>河南</c:v>
                  </c:pt>
                  <c:pt idx="22">
                    <c:v>西安</c:v>
                  </c:pt>
                  <c:pt idx="23">
                    <c:v>徐州</c:v>
                  </c:pt>
                  <c:pt idx="24">
                    <c:v>北京</c:v>
                  </c:pt>
                  <c:pt idx="25">
                    <c:v>河南</c:v>
                  </c:pt>
                  <c:pt idx="26">
                    <c:v>西安</c:v>
                  </c:pt>
                  <c:pt idx="27">
                    <c:v>徐州</c:v>
                  </c:pt>
                  <c:pt idx="28">
                    <c:v>北京</c:v>
                  </c:pt>
                  <c:pt idx="29">
                    <c:v>河南</c:v>
                  </c:pt>
                  <c:pt idx="30">
                    <c:v>西安</c:v>
                  </c:pt>
                  <c:pt idx="31">
                    <c:v>徐州</c:v>
                  </c:pt>
                  <c:pt idx="32">
                    <c:v>北京</c:v>
                  </c:pt>
                  <c:pt idx="33">
                    <c:v>河南</c:v>
                  </c:pt>
                  <c:pt idx="34">
                    <c:v>西安</c:v>
                  </c:pt>
                  <c:pt idx="35">
                    <c:v>徐州</c:v>
                  </c:pt>
                </c:lvl>
                <c:lvl>
                  <c:pt idx="0">
                    <c:v>国窖1573</c:v>
                  </c:pt>
                  <c:pt idx="4">
                    <c:v>窖龄</c:v>
                  </c:pt>
                  <c:pt idx="8">
                    <c:v>特曲</c:v>
                  </c:pt>
                  <c:pt idx="12">
                    <c:v>头曲</c:v>
                  </c:pt>
                  <c:pt idx="16">
                    <c:v>二曲</c:v>
                  </c:pt>
                  <c:pt idx="20">
                    <c:v>五粮液</c:v>
                  </c:pt>
                  <c:pt idx="24">
                    <c:v>剑南春</c:v>
                  </c:pt>
                  <c:pt idx="28">
                    <c:v>洋河</c:v>
                  </c:pt>
                  <c:pt idx="32">
                    <c:v>其它</c:v>
                  </c:pt>
                </c:lvl>
              </c:multiLvlStrCache>
            </c:multiLvlStrRef>
          </c:cat>
          <c:val>
            <c:numRef>
              <c:f>图表!$F$3:$F$38</c:f>
              <c:numCache>
                <c:formatCode>_ * #,##0.0_ ;_ * \-#,##0.0_ ;_ * "-"??_ ;_ @_ </c:formatCode>
                <c:ptCount val="36"/>
                <c:pt idx="0">
                  <c:v>3746659.52</c:v>
                </c:pt>
                <c:pt idx="1">
                  <c:v>4222295.72</c:v>
                </c:pt>
                <c:pt idx="2">
                  <c:v>1492286.89</c:v>
                </c:pt>
                <c:pt idx="3">
                  <c:v>62391</c:v>
                </c:pt>
                <c:pt idx="4">
                  <c:v>681167.48</c:v>
                </c:pt>
                <c:pt idx="5">
                  <c:v>883753.26</c:v>
                </c:pt>
                <c:pt idx="6">
                  <c:v>174444.74</c:v>
                </c:pt>
                <c:pt idx="7">
                  <c:v>4742</c:v>
                </c:pt>
                <c:pt idx="8">
                  <c:v>267728.7</c:v>
                </c:pt>
                <c:pt idx="9">
                  <c:v>4320478.4000000004</c:v>
                </c:pt>
                <c:pt idx="10">
                  <c:v>193260.55</c:v>
                </c:pt>
                <c:pt idx="11">
                  <c:v>17215.899999999998</c:v>
                </c:pt>
                <c:pt idx="12">
                  <c:v>63518.62</c:v>
                </c:pt>
                <c:pt idx="13">
                  <c:v>889651.29</c:v>
                </c:pt>
                <c:pt idx="14">
                  <c:v>63558.53</c:v>
                </c:pt>
                <c:pt idx="15">
                  <c:v>5742.46</c:v>
                </c:pt>
                <c:pt idx="16">
                  <c:v>0</c:v>
                </c:pt>
                <c:pt idx="17">
                  <c:v>15286.31</c:v>
                </c:pt>
                <c:pt idx="18">
                  <c:v>0</c:v>
                </c:pt>
                <c:pt idx="19">
                  <c:v>425</c:v>
                </c:pt>
                <c:pt idx="20">
                  <c:v>5176962.4800000004</c:v>
                </c:pt>
                <c:pt idx="21">
                  <c:v>23844272.830000002</c:v>
                </c:pt>
                <c:pt idx="22">
                  <c:v>2307559.5</c:v>
                </c:pt>
                <c:pt idx="23">
                  <c:v>288950.76</c:v>
                </c:pt>
                <c:pt idx="24">
                  <c:v>1817896.89</c:v>
                </c:pt>
                <c:pt idx="25">
                  <c:v>25412162.440000001</c:v>
                </c:pt>
                <c:pt idx="26">
                  <c:v>644512.5</c:v>
                </c:pt>
                <c:pt idx="27">
                  <c:v>38787</c:v>
                </c:pt>
                <c:pt idx="28">
                  <c:v>102674</c:v>
                </c:pt>
                <c:pt idx="29">
                  <c:v>9405690.8000000007</c:v>
                </c:pt>
                <c:pt idx="30">
                  <c:v>89571.09</c:v>
                </c:pt>
                <c:pt idx="31">
                  <c:v>294394.8</c:v>
                </c:pt>
                <c:pt idx="32">
                  <c:v>549980.61999999918</c:v>
                </c:pt>
                <c:pt idx="33">
                  <c:v>3904152.4399999976</c:v>
                </c:pt>
                <c:pt idx="34">
                  <c:v>392240.71999999974</c:v>
                </c:pt>
                <c:pt idx="35">
                  <c:v>34654.230000000098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3E-43EE-A8F9-D8F46134F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3750144"/>
        <c:axId val="173892352"/>
      </c:barChart>
      <c:catAx>
        <c:axId val="173750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3892352"/>
        <c:crosses val="autoZero"/>
        <c:auto val="1"/>
        <c:lblAlgn val="ctr"/>
        <c:lblOffset val="100"/>
        <c:noMultiLvlLbl val="0"/>
      </c:catAx>
      <c:valAx>
        <c:axId val="173892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_);[Red]\(#,##0\)" sourceLinked="0"/>
        <c:majorTickMark val="out"/>
        <c:minorTickMark val="none"/>
        <c:tickLblPos val="nextTo"/>
        <c:crossAx val="173750144"/>
        <c:crosses val="autoZero"/>
        <c:crossBetween val="between"/>
        <c:dispUnits>
          <c:builtInUnit val="tenThousands"/>
          <c:dispUnitsLbl/>
        </c:dispUnits>
      </c:valAx>
    </c:plotArea>
    <c:legend>
      <c:legendPos val="r"/>
      <c:layout>
        <c:manualLayout>
          <c:xMode val="edge"/>
          <c:yMode val="edge"/>
          <c:x val="0.84338030662833807"/>
          <c:y val="0.40573179133858267"/>
          <c:w val="0.14868318543515394"/>
          <c:h val="0.18853641732283463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, Tarzan 苏华侨" refreshedDate="43413.581139351852" createdVersion="4" refreshedVersion="4" recordCount="63" xr:uid="{00000000-000A-0000-FFFF-FFFF49000000}">
  <cacheSource type="worksheet">
    <worksheetSource ref="A1:O64" sheet="清洗"/>
  </cacheSource>
  <cacheFields count="15">
    <cacheField name="序号" numFmtId="0">
      <sharedItems containsMixedTypes="1" containsNumber="1" containsInteger="1" minValue="1" maxValue="16"/>
    </cacheField>
    <cacheField name="商品编码" numFmtId="0">
      <sharedItems containsSemiMixedTypes="0" containsString="0" containsNumber="1" containsInteger="1" minValue="101010001" maxValue="104020592"/>
    </cacheField>
    <cacheField name="商品名称" numFmtId="0">
      <sharedItems count="25">
        <s v="52°国窖1573 500ml"/>
        <s v="*52°百年泸州老窖酒窖龄30年500ml"/>
        <s v="52°百年泸州老窖酒窖龄60年500ml"/>
        <s v="52°泸州老窖特曲500ml"/>
        <s v="52°泸州老窖头曲500ml"/>
        <s v="52°泸州老窖精品头曲D9 500ml"/>
        <s v="52°泸州老窖精品头曲D6 500ml"/>
        <s v="*42°泸小二FOR ME（彩色）酒125ml"/>
        <s v="42°泸州老窖二曲白酒蓝瓶装 500ml"/>
        <s v="52°国窖1573曾娜大师鉴藏版500ml"/>
        <s v="52°泸州老窖2018农历戊戌年金狗佑财1.088L"/>
        <s v="52°泸州老窖中秋丁酉年节庆酒1L"/>
        <s v="53°国窖国韵1L"/>
        <s v="52°剑南春普装500ml"/>
        <s v="52°五粮液普装500ml"/>
        <s v="52°洋河天之蓝480ml"/>
        <s v="52°洋河海之蓝480ml"/>
        <s v="舒富红葡萄酒750ml"/>
        <s v="希拉谷西拉红葡萄酒750ml"/>
        <s v="希拉谷庄园西拉红葡萄酒750ml"/>
        <s v="38°国窖1573 500ml"/>
        <s v="38°泸州老窖泸州百年30年窖龄500ml"/>
        <s v="38°泸州老窖百年60年窖龄500ml"/>
        <s v="*46°洋河海之蓝480ml"/>
        <s v="42°洋河蓝色经典海之蓝480ml"/>
      </sharedItems>
    </cacheField>
    <cacheField name="规格" numFmtId="0">
      <sharedItems/>
    </cacheField>
    <cacheField name="单价" numFmtId="43">
      <sharedItems containsString="0" containsBlank="1" containsNumber="1" minValue="11" maxValue="2220"/>
    </cacheField>
    <cacheField name="全年计划总量(瓶)" numFmtId="43">
      <sharedItems containsString="0" containsBlank="1" containsNumber="1" containsInteger="1" minValue="0" maxValue="85020"/>
    </cacheField>
    <cacheField name="全年计划采购总金额" numFmtId="43">
      <sharedItems containsString="0" containsBlank="1" containsNumber="1" minValue="0" maxValue="14283360"/>
    </cacheField>
    <cacheField name="成交价" numFmtId="43">
      <sharedItems containsSemiMixedTypes="0" containsString="0" containsNumber="1" minValue="11.93" maxValue="2918.67"/>
    </cacheField>
    <cacheField name="出库数量" numFmtId="43">
      <sharedItems containsSemiMixedTypes="0" containsString="0" containsNumber="1" containsInteger="1" minValue="3" maxValue="145885"/>
    </cacheField>
    <cacheField name="2017.11-2018.10出库金额" numFmtId="43">
      <sharedItems containsSemiMixedTypes="0" containsString="0" containsNumber="1" minValue="550" maxValue="55386699.100000001"/>
    </cacheField>
    <cacheField name="出库数量2" numFmtId="43">
      <sharedItems containsString="0" containsBlank="1" containsNumber="1" containsInteger="1" minValue="1" maxValue="64698"/>
    </cacheField>
    <cacheField name="2017.5-2017.10出库金额" numFmtId="43">
      <sharedItems containsString="0" containsBlank="1" containsNumber="1" minValue="0" maxValue="26177581.990000002"/>
    </cacheField>
    <cacheField name="出库数量3" numFmtId="43">
      <sharedItems containsSemiMixedTypes="0" containsString="0" containsNumber="1" containsInteger="1" minValue="3" maxValue="66934"/>
    </cacheField>
    <cacheField name="2018.5-2018.10出库金额" numFmtId="43">
      <sharedItems containsSemiMixedTypes="0" containsString="0" containsNumber="1" minValue="425" maxValue="25412162.440000001"/>
    </cacheField>
    <cacheField name="地区" numFmtId="0">
      <sharedItems count="4">
        <s v="河南"/>
        <s v="北京"/>
        <s v="西安"/>
        <s v="徐州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n v="2"/>
    <n v="101010099"/>
    <x v="0"/>
    <s v="500ml*6"/>
    <n v="740"/>
    <n v="15600"/>
    <n v="11544000"/>
    <n v="830.06"/>
    <n v="13122"/>
    <n v="10892047.319999998"/>
    <n v="5289"/>
    <n v="4390187.34"/>
    <n v="4995"/>
    <n v="4146149.7"/>
    <x v="0"/>
  </r>
  <r>
    <n v="3"/>
    <n v="101010114"/>
    <x v="1"/>
    <s v="500ml*6"/>
    <n v="165"/>
    <n v="7812"/>
    <n v="1288980"/>
    <n v="210.82"/>
    <n v="2770"/>
    <n v="583971.4"/>
    <n v="1131"/>
    <n v="238437.42"/>
    <n v="1269"/>
    <n v="267530.58"/>
    <x v="0"/>
  </r>
  <r>
    <n v="4"/>
    <n v="101010115"/>
    <x v="2"/>
    <s v="500ml*6"/>
    <n v="200"/>
    <n v="15612"/>
    <n v="3122400"/>
    <n v="264.02"/>
    <n v="5498"/>
    <n v="1451581.96"/>
    <n v="2544"/>
    <n v="671666.88"/>
    <n v="2334"/>
    <n v="616222.67999999993"/>
    <x v="0"/>
  </r>
  <r>
    <n v="7"/>
    <n v="101010036"/>
    <x v="3"/>
    <s v="500ml*6"/>
    <n v="168"/>
    <n v="85020"/>
    <n v="14283360"/>
    <n v="203.03"/>
    <n v="46072"/>
    <n v="9353998.1600000001"/>
    <n v="21635"/>
    <n v="4392554.05"/>
    <n v="21280"/>
    <n v="4320478.4000000004"/>
    <x v="0"/>
  </r>
  <r>
    <n v="8"/>
    <n v="101010024"/>
    <x v="4"/>
    <s v="500ml*6"/>
    <n v="37.869999999999997"/>
    <n v="39000"/>
    <n v="1476930"/>
    <n v="60.09"/>
    <n v="21460"/>
    <n v="1289531.4000000001"/>
    <n v="7817"/>
    <n v="469723.53"/>
    <n v="9236"/>
    <n v="554991.24"/>
    <x v="0"/>
  </r>
  <r>
    <n v="9"/>
    <n v="101010503"/>
    <x v="5"/>
    <s v="500ml*6"/>
    <n v="75"/>
    <n v="7962"/>
    <n v="597150"/>
    <n v="144.86000000000001"/>
    <n v="2772"/>
    <n v="401551.92000000004"/>
    <n v="1804"/>
    <n v="261327.44000000003"/>
    <n v="1505"/>
    <n v="218014.3"/>
    <x v="0"/>
  </r>
  <r>
    <n v="10"/>
    <n v="101010502"/>
    <x v="6"/>
    <s v="500ml*6"/>
    <n v="63"/>
    <n v="15606"/>
    <n v="983178"/>
    <n v="94.45"/>
    <n v="2731"/>
    <n v="257942.95"/>
    <n v="718"/>
    <n v="67815.100000000006"/>
    <n v="1235"/>
    <n v="116645.75"/>
    <x v="0"/>
  </r>
  <r>
    <n v="11"/>
    <n v="101010501"/>
    <x v="7"/>
    <s v="125ml*24"/>
    <n v="11"/>
    <n v="0"/>
    <n v="0"/>
    <n v="11.93"/>
    <n v="6343"/>
    <n v="75671.990000000005"/>
    <n v="3600"/>
    <n v="42948"/>
    <n v="1564"/>
    <n v="18658.52"/>
    <x v="0"/>
  </r>
  <r>
    <n v="12"/>
    <n v="101010504"/>
    <x v="8"/>
    <s v="500ml*6"/>
    <n v="12"/>
    <n v="0"/>
    <n v="0"/>
    <n v="19.93"/>
    <n v="1986"/>
    <n v="39580.979999999996"/>
    <n v="743"/>
    <n v="14807.99"/>
    <n v="767"/>
    <n v="15286.31"/>
    <x v="0"/>
  </r>
  <r>
    <n v="13"/>
    <n v="101010521"/>
    <x v="9"/>
    <s v="500ml*6"/>
    <n v="740"/>
    <n v="0"/>
    <n v="0"/>
    <n v="928.61"/>
    <n v="201"/>
    <n v="186650.61"/>
    <m/>
    <m/>
    <n v="82"/>
    <n v="76146.02"/>
    <x v="0"/>
  </r>
  <r>
    <n v="14"/>
    <n v="101010525"/>
    <x v="10"/>
    <s v="1.088L*3"/>
    <n v="468"/>
    <n v="0"/>
    <n v="0"/>
    <n v="408.05"/>
    <n v="112"/>
    <n v="45701.599999999999"/>
    <m/>
    <m/>
    <n v="25"/>
    <n v="10201.25"/>
    <x v="0"/>
  </r>
  <r>
    <n v="15"/>
    <n v="101020055"/>
    <x v="11"/>
    <s v="1L*3"/>
    <n v="268"/>
    <n v="0"/>
    <n v="0"/>
    <n v="88.85"/>
    <n v="261"/>
    <n v="23189.85"/>
    <n v="769"/>
    <n v="68325.649999999994"/>
    <n v="46"/>
    <n v="4087.1"/>
    <x v="0"/>
  </r>
  <r>
    <n v="16"/>
    <n v="101020063"/>
    <x v="12"/>
    <s v="1L*1"/>
    <n v="2220"/>
    <n v="0"/>
    <n v="0"/>
    <n v="2536.98"/>
    <n v="53"/>
    <n v="134459.94"/>
    <m/>
    <m/>
    <n v="49"/>
    <n v="124312.02"/>
    <x v="0"/>
  </r>
  <r>
    <s v="竞品信息"/>
    <n v="101010002"/>
    <x v="13"/>
    <s v="500ml*6"/>
    <m/>
    <m/>
    <m/>
    <n v="379.66"/>
    <n v="145885"/>
    <n v="55386699.100000001"/>
    <n v="64698"/>
    <n v="24563242.680000003"/>
    <n v="66934"/>
    <n v="25412162.440000001"/>
    <x v="0"/>
  </r>
  <r>
    <s v="竞品信息"/>
    <n v="101010001"/>
    <x v="14"/>
    <s v="500ml*6"/>
    <m/>
    <m/>
    <m/>
    <n v="879.83"/>
    <n v="62803"/>
    <n v="55255963.490000002"/>
    <n v="29753"/>
    <n v="26177581.990000002"/>
    <n v="27101"/>
    <n v="23844272.830000002"/>
    <x v="0"/>
  </r>
  <r>
    <s v="竞品信息"/>
    <n v="101010004"/>
    <x v="15"/>
    <s v="480ml*6"/>
    <m/>
    <m/>
    <m/>
    <n v="346.05"/>
    <n v="15225"/>
    <n v="5268611.25"/>
    <n v="6887"/>
    <n v="2383246.35"/>
    <n v="7096"/>
    <n v="2455570.8000000003"/>
    <x v="0"/>
  </r>
  <r>
    <s v="竞品信息"/>
    <n v="101010098"/>
    <x v="16"/>
    <s v="480ml*6"/>
    <m/>
    <m/>
    <m/>
    <n v="145.4"/>
    <n v="106074"/>
    <n v="15423159.600000001"/>
    <n v="50409"/>
    <n v="7329468.6000000006"/>
    <n v="47800"/>
    <n v="6950120"/>
    <x v="0"/>
  </r>
  <r>
    <n v="1"/>
    <n v="104020590"/>
    <x v="17"/>
    <s v="750ml*6"/>
    <n v="40.909999999999997"/>
    <n v="53298"/>
    <n v="2398410"/>
    <n v="90.42"/>
    <n v="56585"/>
    <n v="2314892.3499999996"/>
    <n v="3133"/>
    <n v="283285.86"/>
    <n v="19866"/>
    <n v="1796283.72"/>
    <x v="0"/>
  </r>
  <r>
    <n v="2"/>
    <n v="104020591"/>
    <x v="18"/>
    <s v="750ml*6"/>
    <n v="90"/>
    <n v="10008"/>
    <n v="900720"/>
    <n v="161.46"/>
    <n v="14256"/>
    <n v="1283040"/>
    <n v="1601"/>
    <n v="258497.46000000002"/>
    <n v="10846"/>
    <n v="1751195.16"/>
    <x v="0"/>
  </r>
  <r>
    <n v="3"/>
    <n v="104020592"/>
    <x v="19"/>
    <s v="750ml*6"/>
    <n v="149"/>
    <n v="7800"/>
    <n v="1162200"/>
    <n v="381.29"/>
    <n v="794"/>
    <n v="118306"/>
    <n v="790"/>
    <n v="301219.10000000003"/>
    <n v="523"/>
    <n v="199414.67"/>
    <x v="0"/>
  </r>
  <r>
    <n v="1"/>
    <n v="101010397"/>
    <x v="20"/>
    <s v="500ml*6"/>
    <n v="530"/>
    <n v="2880"/>
    <n v="1526400"/>
    <n v="654.03"/>
    <n v="1628"/>
    <n v="1064760.8399999999"/>
    <n v="1174"/>
    <n v="767831.22"/>
    <n v="1121"/>
    <n v="733167.63"/>
    <x v="1"/>
  </r>
  <r>
    <n v="2"/>
    <n v="101010099"/>
    <x v="0"/>
    <s v="500ml*6"/>
    <n v="740"/>
    <n v="4890"/>
    <n v="3618600"/>
    <n v="824.19"/>
    <n v="6445"/>
    <n v="5311904.5500000007"/>
    <n v="1976"/>
    <n v="1628599.4400000002"/>
    <n v="3602"/>
    <n v="2968732.3800000004"/>
    <x v="1"/>
  </r>
  <r>
    <n v="3"/>
    <n v="101010114"/>
    <x v="1"/>
    <s v="500ml*6"/>
    <n v="165"/>
    <n v="1140"/>
    <n v="188100"/>
    <n v="224.39"/>
    <n v="1115"/>
    <n v="250194.84999999998"/>
    <n v="241"/>
    <n v="54077.99"/>
    <n v="656"/>
    <n v="147199.84"/>
    <x v="1"/>
  </r>
  <r>
    <n v="4"/>
    <n v="101010115"/>
    <x v="2"/>
    <s v="500ml*6"/>
    <n v="200"/>
    <n v="2640"/>
    <n v="528000"/>
    <n v="260.79000000000002"/>
    <n v="2949"/>
    <n v="769069.71000000008"/>
    <n v="782"/>
    <n v="203937.78000000003"/>
    <n v="1387"/>
    <n v="361715.73000000004"/>
    <x v="1"/>
  </r>
  <r>
    <n v="5"/>
    <n v="101010294"/>
    <x v="21"/>
    <s v="500ml*6"/>
    <n v="145"/>
    <n v="780"/>
    <n v="113100"/>
    <n v="200.19"/>
    <n v="616"/>
    <n v="123317.04"/>
    <n v="353"/>
    <n v="70667.069999999992"/>
    <n v="329"/>
    <n v="65862.509999999995"/>
    <x v="1"/>
  </r>
  <r>
    <n v="6"/>
    <n v="101010297"/>
    <x v="22"/>
    <s v="500ml*6"/>
    <n v="180"/>
    <n v="750"/>
    <n v="135000"/>
    <n v="240.7"/>
    <n v="900"/>
    <n v="216630"/>
    <n v="359"/>
    <n v="86411.3"/>
    <n v="442"/>
    <n v="106389.4"/>
    <x v="1"/>
  </r>
  <r>
    <n v="7"/>
    <n v="101010036"/>
    <x v="3"/>
    <s v="500ml*6"/>
    <n v="168"/>
    <n v="3180"/>
    <n v="534240"/>
    <n v="210.81"/>
    <n v="2451"/>
    <n v="516695.31"/>
    <n v="824"/>
    <n v="173707.44"/>
    <n v="1270"/>
    <n v="267728.7"/>
    <x v="1"/>
  </r>
  <r>
    <n v="8"/>
    <n v="101010024"/>
    <x v="4"/>
    <s v="500ml*6"/>
    <n v="37.869999999999997"/>
    <n v="1860"/>
    <n v="70438.2"/>
    <n v="61.43"/>
    <n v="2092"/>
    <n v="128511.56"/>
    <n v="685"/>
    <n v="42079.55"/>
    <n v="1034"/>
    <n v="63518.62"/>
    <x v="1"/>
  </r>
  <r>
    <n v="11"/>
    <n v="101010501"/>
    <x v="7"/>
    <s v="125ml*24"/>
    <n v="11"/>
    <n v="0"/>
    <n v="0"/>
    <n v="23.48"/>
    <n v="1009"/>
    <n v="23691.32"/>
    <n v="526"/>
    <n v="12350.48"/>
    <n v="446"/>
    <n v="10472.08"/>
    <x v="1"/>
  </r>
  <r>
    <n v="13"/>
    <n v="101010521"/>
    <x v="9"/>
    <s v="500ml*6"/>
    <n v="740"/>
    <n v="0"/>
    <n v="0"/>
    <n v="952.33"/>
    <n v="47"/>
    <n v="44759.51"/>
    <m/>
    <m/>
    <n v="47"/>
    <n v="44759.51"/>
    <x v="1"/>
  </r>
  <r>
    <n v="15"/>
    <n v="101020055"/>
    <x v="11"/>
    <s v="1L*3"/>
    <n v="268"/>
    <n v="0"/>
    <n v="0"/>
    <n v="376.39"/>
    <n v="32"/>
    <n v="12044.48"/>
    <n v="241"/>
    <n v="90709.99"/>
    <n v="14"/>
    <n v="5269.46"/>
    <x v="1"/>
  </r>
  <r>
    <n v="16"/>
    <n v="101020063"/>
    <x v="12"/>
    <s v="1L*1"/>
    <n v="2220"/>
    <n v="0"/>
    <n v="0"/>
    <n v="2918.67"/>
    <n v="3"/>
    <n v="8756.01"/>
    <m/>
    <m/>
    <n v="3"/>
    <n v="8756.01"/>
    <x v="1"/>
  </r>
  <r>
    <s v="竞品信息"/>
    <n v="101010001"/>
    <x v="14"/>
    <s v="500ml*6"/>
    <m/>
    <m/>
    <m/>
    <n v="920.84"/>
    <n v="10594"/>
    <n v="9755378.9600000009"/>
    <n v="3578"/>
    <n v="3294765.52"/>
    <n v="5622"/>
    <n v="5176962.4800000004"/>
    <x v="1"/>
  </r>
  <r>
    <s v="竞品信息"/>
    <n v="101010002"/>
    <x v="13"/>
    <s v="500ml*6"/>
    <m/>
    <m/>
    <m/>
    <n v="405.69"/>
    <n v="8195"/>
    <n v="3324629.55"/>
    <n v="3662"/>
    <n v="1485636.78"/>
    <n v="4481"/>
    <n v="1817896.89"/>
    <x v="1"/>
  </r>
  <r>
    <s v="竞品信息"/>
    <n v="101010004"/>
    <x v="15"/>
    <s v="480ml*6"/>
    <m/>
    <m/>
    <m/>
    <n v="359"/>
    <n v="286"/>
    <n v="102674"/>
    <m/>
    <m/>
    <n v="286"/>
    <n v="102674"/>
    <x v="1"/>
  </r>
  <r>
    <n v="1"/>
    <n v="104020590"/>
    <x v="17"/>
    <s v="750ml*6"/>
    <n v="40.909999999999997"/>
    <n v="2400"/>
    <n v="108000"/>
    <n v="98.98"/>
    <n v="7708"/>
    <n v="762937.84000000008"/>
    <n v="200"/>
    <n v="19796"/>
    <n v="4509"/>
    <n v="446300.82"/>
    <x v="1"/>
  </r>
  <r>
    <n v="2"/>
    <n v="104020591"/>
    <x v="18"/>
    <s v="750ml*6"/>
    <n v="90"/>
    <n v="780"/>
    <n v="70200"/>
    <n v="230"/>
    <n v="357"/>
    <n v="82110"/>
    <n v="15"/>
    <n v="3450"/>
    <n v="215"/>
    <n v="49450"/>
    <x v="1"/>
  </r>
  <r>
    <n v="3"/>
    <n v="104020592"/>
    <x v="19"/>
    <s v="750ml*6"/>
    <n v="149"/>
    <n v="480"/>
    <n v="71520"/>
    <n v="396.43"/>
    <n v="114"/>
    <n v="45193.02"/>
    <n v="10"/>
    <n v="3964.3"/>
    <n v="75"/>
    <n v="29732.25"/>
    <x v="1"/>
  </r>
  <r>
    <n v="2"/>
    <n v="101010099"/>
    <x v="0"/>
    <s v="500ml*6"/>
    <n v="740"/>
    <n v="2760"/>
    <n v="2042400"/>
    <n v="822.69"/>
    <n v="3297"/>
    <n v="2712408.93"/>
    <n v="713"/>
    <n v="586577.97000000009"/>
    <n v="1781"/>
    <n v="1465210.89"/>
    <x v="2"/>
  </r>
  <r>
    <n v="3"/>
    <n v="101010114"/>
    <x v="1"/>
    <s v="500ml*6"/>
    <n v="165"/>
    <n v="1830"/>
    <n v="301950"/>
    <n v="204.38"/>
    <n v="665"/>
    <n v="135912.69999999998"/>
    <n v="292"/>
    <n v="59678.96"/>
    <n v="313"/>
    <n v="63970.939999999995"/>
    <x v="2"/>
  </r>
  <r>
    <n v="4"/>
    <n v="101010115"/>
    <x v="2"/>
    <s v="500ml*6"/>
    <n v="200"/>
    <n v="1140"/>
    <n v="228000"/>
    <n v="273.45"/>
    <n v="894"/>
    <n v="244464.3"/>
    <n v="158"/>
    <n v="43205.1"/>
    <n v="404"/>
    <n v="110473.79999999999"/>
    <x v="2"/>
  </r>
  <r>
    <n v="7"/>
    <n v="101010036"/>
    <x v="3"/>
    <s v="500ml*6"/>
    <n v="168"/>
    <n v="1620"/>
    <n v="272160"/>
    <n v="200.27"/>
    <n v="1581"/>
    <n v="316626.87"/>
    <n v="368"/>
    <n v="73699.360000000001"/>
    <n v="965"/>
    <n v="193260.55"/>
    <x v="2"/>
  </r>
  <r>
    <n v="8"/>
    <n v="101010024"/>
    <x v="4"/>
    <s v="500ml*6"/>
    <n v="37.869999999999997"/>
    <n v="990"/>
    <n v="37491.300000000003"/>
    <n v="54.37"/>
    <n v="1476"/>
    <n v="80250.12"/>
    <n v="149"/>
    <n v="8101.1299999999992"/>
    <n v="1169"/>
    <n v="63558.53"/>
    <x v="2"/>
  </r>
  <r>
    <n v="11"/>
    <n v="101010501"/>
    <x v="7"/>
    <s v="125ml*24"/>
    <n v="11"/>
    <n v="0"/>
    <n v="0"/>
    <n v="17.75"/>
    <n v="1366"/>
    <n v="24246.5"/>
    <n v="306"/>
    <n v="5431.5"/>
    <n v="660"/>
    <n v="11715"/>
    <x v="2"/>
  </r>
  <r>
    <n v="13"/>
    <n v="101010521"/>
    <x v="9"/>
    <s v="500ml*6"/>
    <n v="740"/>
    <n v="0"/>
    <n v="0"/>
    <n v="967"/>
    <n v="28"/>
    <n v="27076"/>
    <m/>
    <n v="0"/>
    <n v="28"/>
    <n v="27076"/>
    <x v="2"/>
  </r>
  <r>
    <n v="15"/>
    <n v="101020055"/>
    <x v="11"/>
    <s v="1L*3"/>
    <n v="268"/>
    <n v="0"/>
    <n v="0"/>
    <n v="437.1"/>
    <n v="32"/>
    <n v="13987.2"/>
    <n v="77"/>
    <n v="33656.700000000004"/>
    <n v="29"/>
    <n v="12675.900000000001"/>
    <x v="2"/>
  </r>
  <r>
    <n v="16"/>
    <n v="101020063"/>
    <x v="12"/>
    <s v="1L*1"/>
    <n v="2220"/>
    <n v="0"/>
    <n v="0"/>
    <n v="2772.73"/>
    <n v="11"/>
    <n v="30500.03"/>
    <m/>
    <m/>
    <n v="11"/>
    <n v="30500.03"/>
    <x v="2"/>
  </r>
  <r>
    <s v="竞品信息"/>
    <n v="101010001"/>
    <x v="14"/>
    <s v="500ml*6"/>
    <m/>
    <m/>
    <m/>
    <n v="886.5"/>
    <n v="5000"/>
    <n v="4432500"/>
    <n v="961"/>
    <n v="851926.5"/>
    <n v="2603"/>
    <n v="2307559.5"/>
    <x v="2"/>
  </r>
  <r>
    <s v="竞品信息"/>
    <n v="101010002"/>
    <x v="13"/>
    <s v="500ml*6"/>
    <m/>
    <m/>
    <m/>
    <n v="382.5"/>
    <n v="3699"/>
    <n v="1414867.5"/>
    <n v="1089"/>
    <n v="416542.5"/>
    <n v="1685"/>
    <n v="644512.5"/>
    <x v="2"/>
  </r>
  <r>
    <s v="竞品信息"/>
    <n v="101010003"/>
    <x v="23"/>
    <s v="480ml*6"/>
    <m/>
    <m/>
    <m/>
    <n v="137.59"/>
    <n v="1237"/>
    <n v="170198.83000000002"/>
    <n v="147"/>
    <n v="20225.73"/>
    <n v="651"/>
    <n v="89571.09"/>
    <x v="2"/>
  </r>
  <r>
    <n v="1"/>
    <n v="104020590"/>
    <x v="17"/>
    <s v="750ml*6"/>
    <n v="40.909999999999997"/>
    <n v="2400"/>
    <n v="108000"/>
    <n v="91.83"/>
    <n v="3923"/>
    <n v="360249.08999999997"/>
    <n v="24"/>
    <n v="2203.92"/>
    <n v="2624"/>
    <n v="240961.92000000001"/>
    <x v="2"/>
  </r>
  <r>
    <n v="2"/>
    <n v="104020591"/>
    <x v="18"/>
    <s v="750ml*6"/>
    <n v="90"/>
    <n v="780"/>
    <n v="70200"/>
    <n v="147.25"/>
    <n v="685"/>
    <n v="100866.25"/>
    <n v="12"/>
    <n v="1767"/>
    <n v="583"/>
    <n v="85846.75"/>
    <x v="2"/>
  </r>
  <r>
    <n v="3"/>
    <n v="104020592"/>
    <x v="19"/>
    <s v="750ml*6"/>
    <n v="149"/>
    <n v="480"/>
    <n v="71520"/>
    <n v="329.41"/>
    <n v="78"/>
    <n v="25693.980000000003"/>
    <n v="8"/>
    <n v="2635.28"/>
    <n v="32"/>
    <n v="10541.12"/>
    <x v="2"/>
  </r>
  <r>
    <n v="2"/>
    <n v="101010099"/>
    <x v="0"/>
    <s v="500ml*6"/>
    <n v="740"/>
    <m/>
    <m/>
    <n v="831.88"/>
    <n v="113"/>
    <n v="94002.44"/>
    <m/>
    <m/>
    <n v="75"/>
    <n v="62391"/>
    <x v="3"/>
  </r>
  <r>
    <n v="3"/>
    <n v="101010114"/>
    <x v="1"/>
    <s v="500ml*6"/>
    <n v="165"/>
    <m/>
    <m/>
    <n v="218"/>
    <n v="12"/>
    <n v="2616"/>
    <m/>
    <m/>
    <n v="7"/>
    <n v="1526"/>
    <x v="3"/>
  </r>
  <r>
    <n v="4"/>
    <n v="101010115"/>
    <x v="2"/>
    <s v="500ml*6"/>
    <n v="200"/>
    <m/>
    <m/>
    <n v="268"/>
    <n v="28"/>
    <n v="7504"/>
    <m/>
    <m/>
    <n v="12"/>
    <n v="3216"/>
    <x v="3"/>
  </r>
  <r>
    <n v="7"/>
    <n v="101010036"/>
    <x v="3"/>
    <s v="500ml*6"/>
    <n v="168"/>
    <m/>
    <m/>
    <n v="209.95"/>
    <n v="126"/>
    <n v="26453.699999999997"/>
    <m/>
    <m/>
    <n v="82"/>
    <n v="17215.899999999998"/>
    <x v="3"/>
  </r>
  <r>
    <n v="8"/>
    <n v="101010024"/>
    <x v="4"/>
    <s v="500ml*6"/>
    <n v="37.869999999999997"/>
    <m/>
    <m/>
    <n v="61.09"/>
    <n v="144"/>
    <n v="8796.9600000000009"/>
    <m/>
    <m/>
    <n v="94"/>
    <n v="5742.46"/>
    <x v="3"/>
  </r>
  <r>
    <n v="12"/>
    <n v="101010504"/>
    <x v="8"/>
    <s v="500ml*6"/>
    <n v="12"/>
    <m/>
    <m/>
    <n v="25"/>
    <n v="22"/>
    <n v="550"/>
    <n v="1"/>
    <n v="25"/>
    <n v="17"/>
    <n v="425"/>
    <x v="3"/>
  </r>
  <r>
    <s v="竞品信息"/>
    <n v="101010001"/>
    <x v="14"/>
    <s v="500ml*6"/>
    <m/>
    <m/>
    <m/>
    <n v="867.72"/>
    <n v="494"/>
    <n v="428653.68"/>
    <n v="8"/>
    <n v="6941.76"/>
    <n v="333"/>
    <n v="288950.76"/>
    <x v="3"/>
  </r>
  <r>
    <s v="竞品信息"/>
    <n v="101010255"/>
    <x v="24"/>
    <s v="480ml*6"/>
    <m/>
    <m/>
    <m/>
    <n v="121.45"/>
    <n v="3680"/>
    <n v="446936"/>
    <n v="2"/>
    <n v="242.9"/>
    <n v="2424"/>
    <n v="294394.8"/>
    <x v="3"/>
  </r>
  <r>
    <s v="竞品信息"/>
    <n v="101010002"/>
    <x v="13"/>
    <s v="500ml*6"/>
    <m/>
    <m/>
    <m/>
    <n v="387.87"/>
    <n v="167"/>
    <n v="64774.29"/>
    <m/>
    <m/>
    <n v="100"/>
    <n v="38787"/>
    <x v="3"/>
  </r>
  <r>
    <n v="1"/>
    <n v="104020590"/>
    <x v="17"/>
    <s v="750ml*6"/>
    <n v="40.909999999999997"/>
    <n v="2400"/>
    <n v="108000"/>
    <n v="98.73"/>
    <n v="410"/>
    <n v="40479.300000000003"/>
    <m/>
    <m/>
    <n v="351"/>
    <n v="34654.23000000000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数据透视表24" cacheId="26" applyNumberFormats="0" applyBorderFormats="0" applyFontFormats="0" applyPatternFormats="0" applyAlignmentFormats="0" applyWidthHeightFormats="1" dataCaption="数据" updatedVersion="4" minRefreshableVersion="3" showMemberPropertyTips="0" useAutoFormatting="1" rowGrandTotals="0" colGrandTotals="0" itemPrintTitles="1" createdVersion="4" indent="0" compact="0" compactData="0" gridDropZones="1">
  <location ref="A3:E67" firstHeaderRow="1" firstDataRow="2" firstDataCol="2"/>
  <pivotFields count="15"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includeNewItemsInFilter="1" defaultSubtotal="0">
      <items count="25">
        <item x="7"/>
        <item x="23"/>
        <item x="1"/>
        <item x="20"/>
        <item x="22"/>
        <item x="21"/>
        <item x="8"/>
        <item x="24"/>
        <item x="2"/>
        <item x="0"/>
        <item x="9"/>
        <item x="13"/>
        <item x="10"/>
        <item x="6"/>
        <item x="5"/>
        <item x="3"/>
        <item x="4"/>
        <item x="11"/>
        <item x="14"/>
        <item x="16"/>
        <item x="15"/>
        <item x="12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includeNewItemsInFilter="1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4"/>
  </rowFields>
  <rowItems count="63">
    <i>
      <x/>
      <x/>
    </i>
    <i r="1">
      <x v="1"/>
    </i>
    <i r="1">
      <x v="2"/>
    </i>
    <i>
      <x v="1"/>
      <x v="2"/>
    </i>
    <i>
      <x v="2"/>
      <x/>
    </i>
    <i r="1">
      <x v="1"/>
    </i>
    <i r="1">
      <x v="2"/>
    </i>
    <i r="1">
      <x v="3"/>
    </i>
    <i>
      <x v="3"/>
      <x/>
    </i>
    <i>
      <x v="4"/>
      <x/>
    </i>
    <i>
      <x v="5"/>
      <x/>
    </i>
    <i>
      <x v="6"/>
      <x v="1"/>
    </i>
    <i r="1">
      <x v="3"/>
    </i>
    <i>
      <x v="7"/>
      <x v="3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2"/>
    </i>
    <i r="1">
      <x v="3"/>
    </i>
    <i>
      <x v="10"/>
      <x/>
    </i>
    <i r="1">
      <x v="1"/>
    </i>
    <i r="1">
      <x v="2"/>
    </i>
    <i>
      <x v="11"/>
      <x/>
    </i>
    <i r="1">
      <x v="1"/>
    </i>
    <i r="1">
      <x v="2"/>
    </i>
    <i r="1">
      <x v="3"/>
    </i>
    <i>
      <x v="12"/>
      <x v="1"/>
    </i>
    <i>
      <x v="13"/>
      <x v="1"/>
    </i>
    <i>
      <x v="14"/>
      <x v="1"/>
    </i>
    <i>
      <x v="15"/>
      <x/>
    </i>
    <i r="1">
      <x v="1"/>
    </i>
    <i r="1">
      <x v="2"/>
    </i>
    <i r="1">
      <x v="3"/>
    </i>
    <i>
      <x v="16"/>
      <x/>
    </i>
    <i r="1">
      <x v="1"/>
    </i>
    <i r="1">
      <x v="2"/>
    </i>
    <i r="1">
      <x v="3"/>
    </i>
    <i>
      <x v="17"/>
      <x/>
    </i>
    <i r="1">
      <x v="1"/>
    </i>
    <i r="1">
      <x v="2"/>
    </i>
    <i>
      <x v="18"/>
      <x/>
    </i>
    <i r="1">
      <x v="1"/>
    </i>
    <i r="1">
      <x v="2"/>
    </i>
    <i r="1">
      <x v="3"/>
    </i>
    <i>
      <x v="19"/>
      <x v="1"/>
    </i>
    <i>
      <x v="20"/>
      <x/>
    </i>
    <i r="1">
      <x v="1"/>
    </i>
    <i>
      <x v="21"/>
      <x/>
    </i>
    <i r="1">
      <x v="1"/>
    </i>
    <i r="1">
      <x v="2"/>
    </i>
    <i>
      <x v="22"/>
      <x/>
    </i>
    <i r="1">
      <x v="1"/>
    </i>
    <i r="1">
      <x v="2"/>
    </i>
    <i r="1">
      <x v="3"/>
    </i>
    <i>
      <x v="23"/>
      <x/>
    </i>
    <i r="1">
      <x v="1"/>
    </i>
    <i r="1">
      <x v="2"/>
    </i>
    <i>
      <x v="24"/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2017.11-2018.10出库金额" fld="9" baseField="0" baseItem="0"/>
    <dataField name="求和项:2017.5-2017.10出库金额" fld="11" baseField="14" baseItem="0"/>
    <dataField name="求和项:2018.5-2018.10出库金额" fld="13" baseField="2" baseItem="0"/>
  </dataFields>
  <formats count="5">
    <format dxfId="6">
      <pivotArea outline="0" fieldPosition="0"/>
    </format>
    <format dxfId="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4">
      <pivotArea type="origin" dataOnly="0" labelOnly="1" outline="0" fieldPosition="0"/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经济学人2017">
      <a:dk1>
        <a:sysClr val="windowText" lastClr="000000"/>
      </a:dk1>
      <a:lt1>
        <a:sysClr val="window" lastClr="FFFFFF"/>
      </a:lt1>
      <a:dk2>
        <a:srgbClr val="C1DAE9"/>
      </a:dk2>
      <a:lt2>
        <a:srgbClr val="EDECE4"/>
      </a:lt2>
      <a:accent1>
        <a:srgbClr val="0F7B92"/>
      </a:accent1>
      <a:accent2>
        <a:srgbClr val="EE2F36"/>
      </a:accent2>
      <a:accent3>
        <a:srgbClr val="527C7C"/>
      </a:accent3>
      <a:accent4>
        <a:srgbClr val="849EA8"/>
      </a:accent4>
      <a:accent5>
        <a:srgbClr val="2EC0E3"/>
      </a:accent5>
      <a:accent6>
        <a:srgbClr val="C9CABB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5"/>
  <sheetViews>
    <sheetView topLeftCell="A43" zoomScaleSheetLayoutView="100" workbookViewId="0">
      <selection activeCell="J26" sqref="J26"/>
    </sheetView>
  </sheetViews>
  <sheetFormatPr defaultColWidth="9" defaultRowHeight="14.25"/>
  <cols>
    <col min="1" max="1" width="20.875" customWidth="1"/>
    <col min="2" max="2" width="10.375" bestFit="1" customWidth="1"/>
    <col min="3" max="3" width="27.75" customWidth="1"/>
    <col min="4" max="4" width="6.875" customWidth="1"/>
    <col min="5" max="5" width="9" customWidth="1"/>
    <col min="6" max="7" width="9" hidden="1" customWidth="1"/>
    <col min="8" max="8" width="7.375" customWidth="1"/>
    <col min="9" max="9" width="7" customWidth="1"/>
    <col min="10" max="10" width="17.5" customWidth="1"/>
    <col min="11" max="12" width="14.5" customWidth="1"/>
    <col min="13" max="13" width="14" customWidth="1"/>
    <col min="14" max="16" width="11.75" customWidth="1"/>
    <col min="17" max="17" width="23.625" customWidth="1"/>
    <col min="18" max="18" width="20.75" customWidth="1"/>
    <col min="19" max="19" width="20.25" customWidth="1"/>
    <col min="20" max="20" width="12.625" bestFit="1" customWidth="1"/>
    <col min="21" max="21" width="21.25" customWidth="1"/>
    <col min="22" max="22" width="19.875" customWidth="1"/>
    <col min="23" max="23" width="11.25" customWidth="1"/>
    <col min="24" max="24" width="10.375" customWidth="1"/>
    <col min="25" max="25" width="10.625" customWidth="1"/>
    <col min="26" max="26" width="10.375" customWidth="1"/>
    <col min="27" max="27" width="15" customWidth="1"/>
    <col min="28" max="28" width="12.625" bestFit="1" customWidth="1"/>
  </cols>
  <sheetData>
    <row r="1" spans="1:28" ht="21" customHeight="1">
      <c r="A1" s="389" t="s">
        <v>0</v>
      </c>
      <c r="B1" s="389"/>
      <c r="C1" s="389"/>
      <c r="D1" s="389"/>
      <c r="E1" s="389"/>
      <c r="F1" s="389"/>
      <c r="G1" s="389"/>
      <c r="H1" s="389"/>
      <c r="I1" s="15"/>
      <c r="J1" s="15"/>
      <c r="K1" s="15"/>
      <c r="L1" s="15"/>
      <c r="M1" s="15"/>
      <c r="N1" s="15"/>
      <c r="O1" s="15"/>
      <c r="P1" s="15"/>
    </row>
    <row r="2" spans="1:28" ht="28.5">
      <c r="A2" s="376" t="s">
        <v>1</v>
      </c>
      <c r="B2" s="377"/>
      <c r="C2" s="377"/>
      <c r="D2" s="16"/>
      <c r="E2" s="16"/>
      <c r="F2" s="16"/>
      <c r="G2" s="16"/>
      <c r="H2" s="17"/>
      <c r="I2" s="82"/>
      <c r="J2" s="82" t="s">
        <v>2</v>
      </c>
      <c r="K2" s="83"/>
      <c r="L2" s="83"/>
      <c r="M2" s="83"/>
      <c r="N2" s="15"/>
      <c r="O2" s="15"/>
      <c r="P2" s="15"/>
    </row>
    <row r="3" spans="1:28" ht="21" customHeight="1">
      <c r="A3" s="381" t="s">
        <v>3</v>
      </c>
      <c r="B3" s="370" t="s">
        <v>4</v>
      </c>
      <c r="C3" s="364" t="s">
        <v>5</v>
      </c>
      <c r="D3" s="372" t="s">
        <v>6</v>
      </c>
      <c r="E3" s="364" t="s">
        <v>7</v>
      </c>
      <c r="F3" s="364" t="s">
        <v>8</v>
      </c>
      <c r="G3" s="385" t="s">
        <v>9</v>
      </c>
      <c r="H3" s="364" t="s">
        <v>10</v>
      </c>
      <c r="I3" s="371" t="s">
        <v>11</v>
      </c>
      <c r="J3" s="371"/>
      <c r="K3" s="374" t="s">
        <v>12</v>
      </c>
      <c r="L3" s="375"/>
      <c r="M3" s="375" t="s">
        <v>13</v>
      </c>
      <c r="N3" s="375"/>
      <c r="O3" s="78"/>
      <c r="P3" s="78"/>
      <c r="Q3" s="119"/>
      <c r="R3" s="390" t="s">
        <v>14</v>
      </c>
      <c r="S3" s="387"/>
      <c r="T3" s="387"/>
      <c r="U3" s="387"/>
      <c r="V3" s="388"/>
      <c r="W3" s="387" t="s">
        <v>15</v>
      </c>
      <c r="X3" s="387"/>
      <c r="Y3" s="387"/>
      <c r="Z3" s="387"/>
      <c r="AA3" s="387"/>
      <c r="AB3" s="388"/>
    </row>
    <row r="4" spans="1:28" ht="39" customHeight="1">
      <c r="A4" s="371"/>
      <c r="B4" s="371"/>
      <c r="C4" s="368"/>
      <c r="D4" s="371"/>
      <c r="E4" s="368"/>
      <c r="F4" s="369"/>
      <c r="G4" s="386"/>
      <c r="H4" s="364"/>
      <c r="I4" s="84" t="s">
        <v>16</v>
      </c>
      <c r="J4" s="19" t="s">
        <v>17</v>
      </c>
      <c r="K4" s="84" t="s">
        <v>16</v>
      </c>
      <c r="L4" s="19" t="s">
        <v>17</v>
      </c>
      <c r="M4" s="84" t="s">
        <v>16</v>
      </c>
      <c r="N4" s="19" t="s">
        <v>17</v>
      </c>
      <c r="O4" s="17"/>
      <c r="P4" s="78"/>
      <c r="Q4" s="120" t="s">
        <v>18</v>
      </c>
      <c r="R4" s="120" t="s">
        <v>19</v>
      </c>
      <c r="S4" s="120" t="s">
        <v>20</v>
      </c>
      <c r="T4" s="121" t="s">
        <v>21</v>
      </c>
      <c r="U4" s="121" t="s">
        <v>22</v>
      </c>
      <c r="V4" s="121" t="s">
        <v>23</v>
      </c>
      <c r="W4" s="122" t="s">
        <v>24</v>
      </c>
      <c r="X4" s="122" t="s">
        <v>25</v>
      </c>
      <c r="Y4" s="122" t="s">
        <v>26</v>
      </c>
      <c r="Z4" s="122" t="s">
        <v>27</v>
      </c>
      <c r="AA4" s="122" t="s">
        <v>28</v>
      </c>
      <c r="AB4" s="122" t="s">
        <v>29</v>
      </c>
    </row>
    <row r="5" spans="1:28" ht="20.100000000000001" customHeight="1">
      <c r="A5" s="20">
        <v>1</v>
      </c>
      <c r="B5" s="21">
        <v>101010397</v>
      </c>
      <c r="C5" s="22" t="s">
        <v>30</v>
      </c>
      <c r="D5" s="22" t="s">
        <v>31</v>
      </c>
      <c r="E5" s="23">
        <v>530</v>
      </c>
      <c r="F5" s="24">
        <v>0</v>
      </c>
      <c r="G5" s="25">
        <v>0</v>
      </c>
      <c r="H5" s="22"/>
      <c r="I5" s="85"/>
      <c r="J5" s="86"/>
      <c r="K5" s="87"/>
      <c r="L5" s="88"/>
      <c r="M5" s="89"/>
      <c r="N5" s="90"/>
      <c r="Q5" s="123" t="s">
        <v>32</v>
      </c>
      <c r="R5" s="124">
        <v>433498452.44999999</v>
      </c>
      <c r="S5" s="124">
        <v>24735880.080000002</v>
      </c>
      <c r="T5" s="125">
        <f t="shared" ref="T5:T8" si="0">S5/R5</f>
        <v>5.7061057404473793E-2</v>
      </c>
      <c r="U5" s="49">
        <v>9710280</v>
      </c>
      <c r="V5" s="125">
        <f t="shared" ref="V5:V8" si="1">U5/R5</f>
        <v>2.2399803148363005E-2</v>
      </c>
      <c r="W5" s="126">
        <v>55255963.490000002</v>
      </c>
      <c r="X5" s="125">
        <f t="shared" ref="X5:X8" si="2">W5/R5</f>
        <v>0.1274651920386573</v>
      </c>
      <c r="Y5" s="49">
        <v>55386699.100000001</v>
      </c>
      <c r="Z5" s="128">
        <f t="shared" ref="Z5:Z8" si="3">Y5/R5</f>
        <v>0.12776677468390349</v>
      </c>
      <c r="AA5" s="91">
        <v>15423159.600000001</v>
      </c>
      <c r="AB5" s="125">
        <f>AA5/R5</f>
        <v>3.5578349848385954E-2</v>
      </c>
    </row>
    <row r="6" spans="1:28" ht="20.100000000000001" customHeight="1">
      <c r="A6" s="20">
        <v>2</v>
      </c>
      <c r="B6" s="21">
        <v>101010099</v>
      </c>
      <c r="C6" s="22" t="s">
        <v>33</v>
      </c>
      <c r="D6" s="22" t="s">
        <v>31</v>
      </c>
      <c r="E6" s="23">
        <v>740</v>
      </c>
      <c r="F6" s="24">
        <v>15600</v>
      </c>
      <c r="G6" s="25">
        <v>11544000</v>
      </c>
      <c r="H6" s="22">
        <v>830.06</v>
      </c>
      <c r="I6" s="49">
        <v>13122</v>
      </c>
      <c r="J6" s="91">
        <v>10892047.319999998</v>
      </c>
      <c r="K6" s="88">
        <v>5289</v>
      </c>
      <c r="L6" s="92">
        <v>4390187.34</v>
      </c>
      <c r="M6" s="93">
        <v>4995</v>
      </c>
      <c r="N6" s="94">
        <v>4146149.7</v>
      </c>
      <c r="Q6" s="123" t="s">
        <v>34</v>
      </c>
      <c r="R6" s="127">
        <v>115552583.17</v>
      </c>
      <c r="S6" s="127">
        <v>8470335.1799999997</v>
      </c>
      <c r="T6" s="125">
        <f t="shared" si="0"/>
        <v>7.3302863057059603E-2</v>
      </c>
      <c r="U6" s="127">
        <v>5311904.5500000007</v>
      </c>
      <c r="V6" s="125">
        <f t="shared" si="1"/>
        <v>4.5969587215416649E-2</v>
      </c>
      <c r="W6" s="126">
        <v>9755378.9600000009</v>
      </c>
      <c r="X6" s="128">
        <f t="shared" si="2"/>
        <v>8.4423720287135157E-2</v>
      </c>
      <c r="Y6" s="49">
        <v>3324629.55</v>
      </c>
      <c r="Z6" s="125">
        <f t="shared" si="3"/>
        <v>2.877157272294668E-2</v>
      </c>
      <c r="AA6" s="142"/>
      <c r="AB6" s="142"/>
    </row>
    <row r="7" spans="1:28" ht="20.100000000000001" customHeight="1">
      <c r="A7" s="20">
        <v>3</v>
      </c>
      <c r="B7" s="26">
        <v>101010114</v>
      </c>
      <c r="C7" s="22" t="s">
        <v>35</v>
      </c>
      <c r="D7" s="22" t="s">
        <v>31</v>
      </c>
      <c r="E7" s="23">
        <v>165</v>
      </c>
      <c r="F7" s="24">
        <v>7812</v>
      </c>
      <c r="G7" s="25">
        <v>1288980</v>
      </c>
      <c r="H7" s="22">
        <v>210.82</v>
      </c>
      <c r="I7" s="49">
        <v>2770</v>
      </c>
      <c r="J7" s="91">
        <v>583971.4</v>
      </c>
      <c r="K7" s="92">
        <v>1131</v>
      </c>
      <c r="L7" s="88">
        <v>238437.42</v>
      </c>
      <c r="M7" s="93">
        <v>1269</v>
      </c>
      <c r="N7" s="94">
        <v>267530.58</v>
      </c>
      <c r="Q7" s="123" t="s">
        <v>36</v>
      </c>
      <c r="R7" s="129">
        <v>33470166.82</v>
      </c>
      <c r="S7" s="49">
        <v>3585472.6500000004</v>
      </c>
      <c r="T7" s="128">
        <f t="shared" si="0"/>
        <v>0.10712443320890506</v>
      </c>
      <c r="U7" s="130">
        <v>2712408.93</v>
      </c>
      <c r="V7" s="125">
        <f t="shared" si="1"/>
        <v>8.1039599969343692E-2</v>
      </c>
      <c r="W7" s="126">
        <v>4432500</v>
      </c>
      <c r="X7" s="128">
        <f t="shared" si="2"/>
        <v>0.13243136862261984</v>
      </c>
      <c r="Y7" s="49">
        <v>1414867.5</v>
      </c>
      <c r="Z7" s="125">
        <f t="shared" si="3"/>
        <v>4.227249620861017E-2</v>
      </c>
      <c r="AA7" s="142"/>
      <c r="AB7" s="142"/>
    </row>
    <row r="8" spans="1:28" ht="20.100000000000001" customHeight="1">
      <c r="A8" s="20">
        <v>4</v>
      </c>
      <c r="B8" s="26">
        <v>101010115</v>
      </c>
      <c r="C8" s="22" t="s">
        <v>37</v>
      </c>
      <c r="D8" s="22" t="s">
        <v>31</v>
      </c>
      <c r="E8" s="23">
        <v>200</v>
      </c>
      <c r="F8" s="24">
        <v>15612</v>
      </c>
      <c r="G8" s="25">
        <v>3122400</v>
      </c>
      <c r="H8" s="22">
        <v>264.02</v>
      </c>
      <c r="I8" s="49">
        <v>5498</v>
      </c>
      <c r="J8" s="91">
        <v>1451581.96</v>
      </c>
      <c r="K8" s="88">
        <v>2544</v>
      </c>
      <c r="L8" s="88">
        <v>671666.88</v>
      </c>
      <c r="M8" s="93">
        <v>2334</v>
      </c>
      <c r="N8" s="94">
        <v>616222.67999999993</v>
      </c>
      <c r="Q8" s="123" t="s">
        <v>38</v>
      </c>
      <c r="R8" s="49">
        <v>4535723.0999999996</v>
      </c>
      <c r="S8" s="49">
        <v>139923.1</v>
      </c>
      <c r="T8" s="125">
        <f t="shared" si="0"/>
        <v>3.0849127452246813E-2</v>
      </c>
      <c r="U8" s="131">
        <v>94002.44</v>
      </c>
      <c r="V8" s="125">
        <f t="shared" si="1"/>
        <v>2.0724907126715916E-2</v>
      </c>
      <c r="W8" s="126">
        <v>428653.68</v>
      </c>
      <c r="X8" s="125">
        <f t="shared" si="2"/>
        <v>9.4506139495155697E-2</v>
      </c>
      <c r="Y8" s="49">
        <v>64774.29</v>
      </c>
      <c r="Z8" s="125">
        <f t="shared" si="3"/>
        <v>1.4280918074562358E-2</v>
      </c>
      <c r="AA8" s="142"/>
      <c r="AB8" s="142"/>
    </row>
    <row r="9" spans="1:28" ht="21.95" customHeight="1">
      <c r="A9" s="20">
        <v>5</v>
      </c>
      <c r="B9" s="21">
        <v>101010294</v>
      </c>
      <c r="C9" s="22" t="s">
        <v>39</v>
      </c>
      <c r="D9" s="22" t="s">
        <v>31</v>
      </c>
      <c r="E9" s="23">
        <v>145</v>
      </c>
      <c r="F9" s="24">
        <v>0</v>
      </c>
      <c r="G9" s="25">
        <v>0</v>
      </c>
      <c r="H9" s="22"/>
      <c r="I9" s="49"/>
      <c r="J9" s="91"/>
      <c r="K9" s="92"/>
      <c r="L9" s="92"/>
      <c r="M9" s="93"/>
      <c r="N9" s="94"/>
      <c r="Q9" s="132" t="s">
        <v>40</v>
      </c>
      <c r="R9" s="49">
        <f>SUM(R5:R8)</f>
        <v>587056925.54000008</v>
      </c>
      <c r="S9" s="49">
        <f t="shared" ref="S9:Z9" si="4">SUM(S5:S8)</f>
        <v>36931611.010000005</v>
      </c>
      <c r="T9" s="125">
        <f t="shared" si="4"/>
        <v>0.2683374811226853</v>
      </c>
      <c r="U9" s="131">
        <f t="shared" si="4"/>
        <v>17828595.920000002</v>
      </c>
      <c r="V9" s="125">
        <f t="shared" si="4"/>
        <v>0.17013389745983926</v>
      </c>
      <c r="W9" s="126">
        <f t="shared" si="4"/>
        <v>69872496.13000001</v>
      </c>
      <c r="X9" s="125">
        <f t="shared" si="4"/>
        <v>0.43882642044356795</v>
      </c>
      <c r="Y9" s="49">
        <f t="shared" si="4"/>
        <v>60190970.439999998</v>
      </c>
      <c r="Z9" s="125">
        <f t="shared" si="4"/>
        <v>0.2130917616900227</v>
      </c>
      <c r="AA9" s="142"/>
      <c r="AB9" s="142"/>
    </row>
    <row r="10" spans="1:28" ht="21.95" customHeight="1">
      <c r="A10" s="20">
        <v>6</v>
      </c>
      <c r="B10" s="21">
        <v>101010297</v>
      </c>
      <c r="C10" s="22" t="s">
        <v>41</v>
      </c>
      <c r="D10" s="22" t="s">
        <v>31</v>
      </c>
      <c r="E10" s="23">
        <v>180</v>
      </c>
      <c r="F10" s="24">
        <v>0</v>
      </c>
      <c r="G10" s="25">
        <v>0</v>
      </c>
      <c r="H10" s="22"/>
      <c r="I10" s="49"/>
      <c r="J10" s="91"/>
      <c r="K10" s="88"/>
      <c r="L10" s="88"/>
      <c r="M10" s="93"/>
      <c r="N10" s="94"/>
      <c r="X10" s="14"/>
      <c r="Y10" s="14"/>
      <c r="Z10" s="14"/>
      <c r="AA10" s="14"/>
      <c r="AB10" s="14"/>
    </row>
    <row r="11" spans="1:28" ht="38.1" customHeight="1">
      <c r="A11" s="20">
        <v>7</v>
      </c>
      <c r="B11" s="21">
        <v>101010036</v>
      </c>
      <c r="C11" s="22" t="s">
        <v>42</v>
      </c>
      <c r="D11" s="22" t="s">
        <v>31</v>
      </c>
      <c r="E11" s="23">
        <v>168</v>
      </c>
      <c r="F11" s="24">
        <v>85020</v>
      </c>
      <c r="G11" s="25">
        <v>14283360</v>
      </c>
      <c r="H11" s="22">
        <v>203.03</v>
      </c>
      <c r="I11" s="49">
        <v>46072</v>
      </c>
      <c r="J11" s="91">
        <v>9353998.1600000001</v>
      </c>
      <c r="K11" s="95">
        <v>21635</v>
      </c>
      <c r="L11" s="88">
        <v>4392554.05</v>
      </c>
      <c r="M11" s="93">
        <v>21280</v>
      </c>
      <c r="N11" s="94">
        <v>4320478.4000000004</v>
      </c>
      <c r="Q11" s="120" t="s">
        <v>43</v>
      </c>
      <c r="R11" s="120" t="s">
        <v>44</v>
      </c>
      <c r="S11" s="120" t="s">
        <v>45</v>
      </c>
      <c r="T11" s="121" t="s">
        <v>21</v>
      </c>
      <c r="U11" s="133" t="s">
        <v>46</v>
      </c>
      <c r="V11" s="133" t="s">
        <v>47</v>
      </c>
      <c r="W11" s="134"/>
    </row>
    <row r="12" spans="1:28" ht="20.100000000000001" customHeight="1">
      <c r="A12" s="20">
        <v>8</v>
      </c>
      <c r="B12" s="21">
        <v>101010024</v>
      </c>
      <c r="C12" s="22" t="s">
        <v>48</v>
      </c>
      <c r="D12" s="22" t="s">
        <v>31</v>
      </c>
      <c r="E12" s="23">
        <v>37.869999999999997</v>
      </c>
      <c r="F12" s="24">
        <v>39000</v>
      </c>
      <c r="G12" s="25">
        <v>1476930</v>
      </c>
      <c r="H12" s="22">
        <v>60.09</v>
      </c>
      <c r="I12" s="49">
        <v>21460</v>
      </c>
      <c r="J12" s="91">
        <v>1289531.4000000001</v>
      </c>
      <c r="K12" s="95">
        <v>7817</v>
      </c>
      <c r="L12" s="92">
        <v>469723.53</v>
      </c>
      <c r="M12" s="93">
        <v>9236</v>
      </c>
      <c r="N12" s="94">
        <v>554991.24</v>
      </c>
      <c r="Q12" s="123" t="s">
        <v>49</v>
      </c>
      <c r="R12" s="124">
        <v>44379851.920000002</v>
      </c>
      <c r="S12" s="124">
        <v>3716238.3499999996</v>
      </c>
      <c r="T12" s="135">
        <f>S12/R12</f>
        <v>8.373706060802015E-2</v>
      </c>
      <c r="U12" s="124">
        <v>2314892.3499999996</v>
      </c>
      <c r="V12" s="135">
        <f>U12/R12</f>
        <v>5.2160884947810786E-2</v>
      </c>
      <c r="W12" s="134"/>
    </row>
    <row r="13" spans="1:28" ht="20.100000000000001" customHeight="1">
      <c r="A13" s="20">
        <v>9</v>
      </c>
      <c r="B13" s="26">
        <v>101010503</v>
      </c>
      <c r="C13" s="22" t="s">
        <v>50</v>
      </c>
      <c r="D13" s="22" t="s">
        <v>31</v>
      </c>
      <c r="E13" s="23">
        <v>75</v>
      </c>
      <c r="F13" s="24">
        <v>7962</v>
      </c>
      <c r="G13" s="25">
        <v>597150</v>
      </c>
      <c r="H13" s="22">
        <v>144.86000000000001</v>
      </c>
      <c r="I13" s="49">
        <v>2772</v>
      </c>
      <c r="J13" s="91">
        <v>401551.92000000004</v>
      </c>
      <c r="K13" s="95">
        <v>1804</v>
      </c>
      <c r="L13" s="88">
        <v>261327.44000000003</v>
      </c>
      <c r="M13" s="93">
        <v>1505</v>
      </c>
      <c r="N13" s="94">
        <v>218014.3</v>
      </c>
      <c r="Q13" s="123" t="s">
        <v>51</v>
      </c>
      <c r="R13" s="127">
        <v>32833503.59</v>
      </c>
      <c r="S13" s="127">
        <v>890240.8600000001</v>
      </c>
      <c r="T13" s="136">
        <f>S13/R13</f>
        <v>2.7113794224236796E-2</v>
      </c>
      <c r="U13" s="127">
        <v>762937.84000000008</v>
      </c>
      <c r="V13" s="136">
        <f>U13/R13</f>
        <v>2.3236564989438584E-2</v>
      </c>
      <c r="W13" s="134"/>
    </row>
    <row r="14" spans="1:28" ht="20.100000000000001" customHeight="1">
      <c r="A14" s="20">
        <v>10</v>
      </c>
      <c r="B14" s="26">
        <v>101010502</v>
      </c>
      <c r="C14" s="22" t="s">
        <v>52</v>
      </c>
      <c r="D14" s="22" t="s">
        <v>31</v>
      </c>
      <c r="E14" s="23">
        <v>63</v>
      </c>
      <c r="F14" s="24">
        <v>15606</v>
      </c>
      <c r="G14" s="25">
        <v>983178</v>
      </c>
      <c r="H14" s="22">
        <v>94.45</v>
      </c>
      <c r="I14" s="49">
        <v>2731</v>
      </c>
      <c r="J14" s="91">
        <v>257942.95</v>
      </c>
      <c r="K14" s="95">
        <v>718</v>
      </c>
      <c r="L14" s="88">
        <v>67815.100000000006</v>
      </c>
      <c r="M14" s="93">
        <v>1235</v>
      </c>
      <c r="N14" s="94">
        <v>116645.75</v>
      </c>
      <c r="Q14" s="123" t="s">
        <v>53</v>
      </c>
      <c r="R14" s="124">
        <v>4024733</v>
      </c>
      <c r="S14" s="49">
        <v>486809.31999999995</v>
      </c>
      <c r="T14" s="128">
        <f>S14/R14</f>
        <v>0.12095443846834061</v>
      </c>
      <c r="U14" s="49">
        <v>360249.09</v>
      </c>
      <c r="V14" s="128">
        <f>U14/R14</f>
        <v>8.9508817106625463E-2</v>
      </c>
      <c r="W14" s="134"/>
    </row>
    <row r="15" spans="1:28" ht="20.100000000000001" customHeight="1">
      <c r="A15" s="20">
        <v>11</v>
      </c>
      <c r="B15" s="26">
        <v>101010501</v>
      </c>
      <c r="C15" s="27" t="s">
        <v>54</v>
      </c>
      <c r="D15" s="27" t="s">
        <v>55</v>
      </c>
      <c r="E15" s="28">
        <v>11</v>
      </c>
      <c r="F15" s="24">
        <v>0</v>
      </c>
      <c r="G15" s="25">
        <v>0</v>
      </c>
      <c r="H15" s="27">
        <v>11.93</v>
      </c>
      <c r="I15" s="49">
        <v>6343</v>
      </c>
      <c r="J15" s="91">
        <v>75671.990000000005</v>
      </c>
      <c r="K15" s="95">
        <v>3600</v>
      </c>
      <c r="L15" s="95">
        <v>42948</v>
      </c>
      <c r="M15" s="93">
        <v>1564</v>
      </c>
      <c r="N15" s="94">
        <v>18658.52</v>
      </c>
      <c r="Q15" s="123" t="s">
        <v>56</v>
      </c>
      <c r="R15" s="49">
        <v>962149.5</v>
      </c>
      <c r="S15" s="49">
        <v>40479.300000000003</v>
      </c>
      <c r="T15" s="125">
        <f>S15/R15</f>
        <v>4.2071736253045916E-2</v>
      </c>
      <c r="U15" s="49">
        <v>40479.300000000003</v>
      </c>
      <c r="V15" s="125">
        <f>U15/R15</f>
        <v>4.2071736253045916E-2</v>
      </c>
      <c r="W15" s="134"/>
    </row>
    <row r="16" spans="1:28" ht="24" customHeight="1">
      <c r="A16" s="20">
        <v>12</v>
      </c>
      <c r="B16" s="26">
        <v>101010504</v>
      </c>
      <c r="C16" s="27" t="s">
        <v>57</v>
      </c>
      <c r="D16" s="27" t="s">
        <v>31</v>
      </c>
      <c r="E16" s="28">
        <v>12</v>
      </c>
      <c r="F16" s="24">
        <v>0</v>
      </c>
      <c r="G16" s="25">
        <v>0</v>
      </c>
      <c r="H16" s="27">
        <v>19.93</v>
      </c>
      <c r="I16" s="49">
        <v>1986</v>
      </c>
      <c r="J16" s="91">
        <v>39580.979999999996</v>
      </c>
      <c r="K16" s="95">
        <v>743</v>
      </c>
      <c r="L16" s="95">
        <v>14807.99</v>
      </c>
      <c r="M16" s="93">
        <v>767</v>
      </c>
      <c r="N16" s="94">
        <v>15286.31</v>
      </c>
      <c r="Q16" s="137" t="s">
        <v>40</v>
      </c>
      <c r="R16" s="49">
        <f>SUM(R12:R15)</f>
        <v>82200238.010000005</v>
      </c>
      <c r="S16" s="49">
        <f>SUM(S12:S15)</f>
        <v>5133767.83</v>
      </c>
      <c r="T16" s="125">
        <f>SUM(T12:T15)</f>
        <v>0.27387702955364346</v>
      </c>
      <c r="U16" s="49">
        <f>SUM(U12:U15)</f>
        <v>3478558.5799999991</v>
      </c>
      <c r="V16" s="125">
        <f>SUM(V12:V15)</f>
        <v>0.20697800329692076</v>
      </c>
      <c r="W16" s="134"/>
    </row>
    <row r="17" spans="1:23" ht="20.100000000000001" customHeight="1">
      <c r="A17" s="20">
        <v>13</v>
      </c>
      <c r="B17" s="26">
        <v>101010521</v>
      </c>
      <c r="C17" s="27" t="s">
        <v>58</v>
      </c>
      <c r="D17" s="27" t="s">
        <v>31</v>
      </c>
      <c r="E17" s="28">
        <v>740</v>
      </c>
      <c r="F17" s="24">
        <v>0</v>
      </c>
      <c r="G17" s="25">
        <v>0</v>
      </c>
      <c r="H17" s="27">
        <v>928.61</v>
      </c>
      <c r="I17" s="49">
        <v>201</v>
      </c>
      <c r="J17" s="91">
        <v>186650.61</v>
      </c>
      <c r="K17" s="95"/>
      <c r="L17" s="95"/>
      <c r="M17" s="93">
        <v>82</v>
      </c>
      <c r="N17" s="94">
        <v>76146.02</v>
      </c>
      <c r="Q17" s="134"/>
      <c r="R17" s="134"/>
      <c r="S17" s="134"/>
      <c r="T17" s="134"/>
      <c r="U17" s="134"/>
      <c r="V17" s="134"/>
      <c r="W17" s="134"/>
    </row>
    <row r="18" spans="1:23" ht="20.100000000000001" customHeight="1">
      <c r="A18" s="20">
        <v>14</v>
      </c>
      <c r="B18" s="26">
        <v>101010525</v>
      </c>
      <c r="C18" s="27" t="s">
        <v>59</v>
      </c>
      <c r="D18" s="27" t="s">
        <v>60</v>
      </c>
      <c r="E18" s="28">
        <v>468</v>
      </c>
      <c r="F18" s="24">
        <v>0</v>
      </c>
      <c r="G18" s="25">
        <v>0</v>
      </c>
      <c r="H18" s="27">
        <v>408.05</v>
      </c>
      <c r="I18" s="49">
        <v>112</v>
      </c>
      <c r="J18" s="91">
        <v>45701.599999999999</v>
      </c>
      <c r="K18" s="95"/>
      <c r="L18" s="95"/>
      <c r="M18" s="93">
        <v>25</v>
      </c>
      <c r="N18" s="94">
        <v>10201.25</v>
      </c>
      <c r="Q18" s="359" t="s">
        <v>61</v>
      </c>
      <c r="R18" s="359" t="s">
        <v>62</v>
      </c>
      <c r="S18" s="359"/>
      <c r="T18" s="359"/>
      <c r="U18" s="359" t="s">
        <v>63</v>
      </c>
      <c r="V18" s="359"/>
      <c r="W18" s="359"/>
    </row>
    <row r="19" spans="1:23" ht="20.100000000000001" customHeight="1">
      <c r="A19" s="20">
        <v>15</v>
      </c>
      <c r="B19" s="26">
        <v>101020055</v>
      </c>
      <c r="C19" s="27" t="s">
        <v>64</v>
      </c>
      <c r="D19" s="27" t="s">
        <v>65</v>
      </c>
      <c r="E19" s="28">
        <v>268</v>
      </c>
      <c r="F19" s="24">
        <v>0</v>
      </c>
      <c r="G19" s="25">
        <v>0</v>
      </c>
      <c r="H19" s="27">
        <v>88.85</v>
      </c>
      <c r="I19" s="49">
        <v>261</v>
      </c>
      <c r="J19" s="91">
        <v>23189.85</v>
      </c>
      <c r="K19" s="95">
        <v>769</v>
      </c>
      <c r="L19" s="95">
        <v>68325.649999999994</v>
      </c>
      <c r="M19" s="93">
        <v>46</v>
      </c>
      <c r="N19" s="94">
        <v>4087.1</v>
      </c>
      <c r="Q19" s="359"/>
      <c r="R19" s="138" t="s">
        <v>66</v>
      </c>
      <c r="S19" s="138" t="s">
        <v>67</v>
      </c>
      <c r="T19" s="138" t="s">
        <v>68</v>
      </c>
      <c r="U19" s="138" t="s">
        <v>66</v>
      </c>
      <c r="V19" s="138" t="s">
        <v>67</v>
      </c>
      <c r="W19" s="138" t="s">
        <v>68</v>
      </c>
    </row>
    <row r="20" spans="1:23" ht="20.100000000000001" customHeight="1">
      <c r="A20" s="20">
        <v>16</v>
      </c>
      <c r="B20" s="26">
        <v>101020063</v>
      </c>
      <c r="C20" s="27" t="s">
        <v>69</v>
      </c>
      <c r="D20" s="27" t="s">
        <v>70</v>
      </c>
      <c r="E20" s="28">
        <v>2220</v>
      </c>
      <c r="F20" s="24">
        <v>0</v>
      </c>
      <c r="G20" s="25">
        <v>0</v>
      </c>
      <c r="H20" s="27">
        <v>2536.98</v>
      </c>
      <c r="I20" s="49">
        <v>53</v>
      </c>
      <c r="J20" s="91">
        <v>134459.94</v>
      </c>
      <c r="K20" s="95"/>
      <c r="L20" s="95"/>
      <c r="M20" s="93">
        <v>49</v>
      </c>
      <c r="N20" s="94">
        <v>124312.02</v>
      </c>
      <c r="Q20" s="139" t="s">
        <v>71</v>
      </c>
      <c r="R20" s="49">
        <v>46050</v>
      </c>
      <c r="S20" s="49">
        <v>44387</v>
      </c>
      <c r="T20" s="125">
        <f>(S20-R20)/R20</f>
        <v>-3.6112920738327906E-2</v>
      </c>
      <c r="U20" s="49">
        <v>5524</v>
      </c>
      <c r="V20" s="49">
        <v>31235</v>
      </c>
      <c r="W20" s="125">
        <f>(V20-U20)/U20</f>
        <v>4.6544170890658947</v>
      </c>
    </row>
    <row r="21" spans="1:23" ht="20.100000000000001" customHeight="1">
      <c r="A21" s="20">
        <v>17</v>
      </c>
      <c r="B21" s="26">
        <v>103090047</v>
      </c>
      <c r="C21" s="27" t="s">
        <v>72</v>
      </c>
      <c r="D21" s="27" t="s">
        <v>31</v>
      </c>
      <c r="E21" s="28">
        <v>85</v>
      </c>
      <c r="F21" s="24">
        <v>0</v>
      </c>
      <c r="G21" s="25">
        <v>0</v>
      </c>
      <c r="H21" s="27"/>
      <c r="I21" s="49"/>
      <c r="J21" s="91"/>
      <c r="K21" s="95"/>
      <c r="L21" s="95"/>
      <c r="M21" s="93"/>
      <c r="N21" s="94"/>
      <c r="Q21" s="139" t="s">
        <v>73</v>
      </c>
      <c r="R21" s="49">
        <v>7163</v>
      </c>
      <c r="S21" s="49">
        <v>10368</v>
      </c>
      <c r="T21" s="125">
        <f>(S21-R21)/R21</f>
        <v>0.44743822420773421</v>
      </c>
      <c r="U21" s="49">
        <v>225</v>
      </c>
      <c r="V21" s="49">
        <v>4799</v>
      </c>
      <c r="W21" s="125">
        <f>(V21-U21)/U21</f>
        <v>20.328888888888891</v>
      </c>
    </row>
    <row r="22" spans="1:23" ht="20.100000000000001" customHeight="1">
      <c r="A22" s="29">
        <v>18</v>
      </c>
      <c r="B22" s="30">
        <v>103090048</v>
      </c>
      <c r="C22" s="31" t="s">
        <v>74</v>
      </c>
      <c r="D22" s="31" t="s">
        <v>31</v>
      </c>
      <c r="E22" s="32">
        <v>85</v>
      </c>
      <c r="F22" s="33">
        <v>0</v>
      </c>
      <c r="G22" s="34">
        <v>0</v>
      </c>
      <c r="H22" s="31"/>
      <c r="I22" s="49"/>
      <c r="J22" s="91"/>
      <c r="K22" s="95"/>
      <c r="L22" s="96"/>
      <c r="M22" s="97"/>
      <c r="N22" s="97"/>
      <c r="Q22" s="139" t="s">
        <v>75</v>
      </c>
      <c r="R22" s="49">
        <v>2063</v>
      </c>
      <c r="S22" s="49">
        <v>5377</v>
      </c>
      <c r="T22" s="125">
        <f>(S22-R22)/R22</f>
        <v>1.6063984488608822</v>
      </c>
      <c r="U22" s="49">
        <v>44</v>
      </c>
      <c r="V22" s="49">
        <v>3239</v>
      </c>
      <c r="W22" s="125">
        <f>(V22-U22)/U22</f>
        <v>72.61363636363636</v>
      </c>
    </row>
    <row r="23" spans="1:23" ht="20.100000000000001" customHeight="1">
      <c r="A23" s="35" t="s">
        <v>76</v>
      </c>
      <c r="B23" s="36"/>
      <c r="C23" s="37"/>
      <c r="D23" s="38"/>
      <c r="E23" s="39"/>
      <c r="F23" s="39"/>
      <c r="G23" s="40"/>
      <c r="H23" s="22"/>
      <c r="I23" s="98">
        <f t="shared" ref="I23:N23" si="5">SUM(I6:I20)</f>
        <v>103381</v>
      </c>
      <c r="J23" s="99">
        <f t="shared" si="5"/>
        <v>24735880.080000002</v>
      </c>
      <c r="K23" s="99">
        <f t="shared" si="5"/>
        <v>46050</v>
      </c>
      <c r="L23" s="99">
        <f t="shared" si="5"/>
        <v>10617793.399999999</v>
      </c>
      <c r="M23" s="100">
        <f t="shared" si="5"/>
        <v>44387</v>
      </c>
      <c r="N23" s="100">
        <f t="shared" si="5"/>
        <v>10488723.869999999</v>
      </c>
      <c r="Q23" s="139" t="s">
        <v>77</v>
      </c>
      <c r="R23" s="49">
        <v>1</v>
      </c>
      <c r="S23" s="49">
        <v>287</v>
      </c>
      <c r="T23" s="125">
        <f>(S23-R23)/R23</f>
        <v>286</v>
      </c>
      <c r="U23" s="49">
        <v>0</v>
      </c>
      <c r="V23" s="49">
        <v>351</v>
      </c>
      <c r="W23" s="125" t="e">
        <f>(V23-U23)/U23</f>
        <v>#DIV/0!</v>
      </c>
    </row>
    <row r="24" spans="1:23" ht="20.100000000000001" customHeight="1">
      <c r="A24" s="35" t="s">
        <v>78</v>
      </c>
      <c r="B24" s="36"/>
      <c r="C24" s="37"/>
      <c r="D24" s="38"/>
      <c r="E24" s="39"/>
      <c r="F24" s="39"/>
      <c r="G24" s="40"/>
      <c r="H24" s="41"/>
      <c r="I24" s="98">
        <v>1869244</v>
      </c>
      <c r="J24" s="99">
        <v>433498452.44999999</v>
      </c>
      <c r="K24" s="95"/>
      <c r="L24" s="96"/>
      <c r="M24" s="97"/>
      <c r="N24" s="97"/>
      <c r="Q24" s="140" t="s">
        <v>40</v>
      </c>
      <c r="R24" s="49">
        <f>SUM(R20:R23)</f>
        <v>55277</v>
      </c>
      <c r="S24" s="49">
        <f>SUM(S20:S23)</f>
        <v>60419</v>
      </c>
      <c r="T24" s="115">
        <f>(S24-R24)/R24</f>
        <v>9.3022414385730057E-2</v>
      </c>
      <c r="U24" s="49">
        <f>SUM(U20:U23)</f>
        <v>5793</v>
      </c>
      <c r="V24" s="49">
        <f>SUM(V20:V23)</f>
        <v>39624</v>
      </c>
      <c r="W24" s="115">
        <f>(V24-U24)/U24</f>
        <v>5.8399792853443815</v>
      </c>
    </row>
    <row r="25" spans="1:23" ht="20.100000000000001" customHeight="1">
      <c r="A25" s="42" t="s">
        <v>79</v>
      </c>
      <c r="B25" s="36"/>
      <c r="C25" s="37"/>
      <c r="D25" s="43"/>
      <c r="E25" s="44"/>
      <c r="F25" s="44"/>
      <c r="G25" s="45"/>
      <c r="H25" s="46"/>
      <c r="I25" s="101">
        <f>I23/I24</f>
        <v>5.5306316350353407E-2</v>
      </c>
      <c r="J25" s="102">
        <f>J23/J24</f>
        <v>5.7061057404473793E-2</v>
      </c>
      <c r="K25" s="95"/>
      <c r="L25" s="95"/>
      <c r="M25" s="93"/>
      <c r="N25" s="94"/>
    </row>
    <row r="26" spans="1:23" ht="20.100000000000001" customHeight="1">
      <c r="A26" s="47"/>
      <c r="B26" s="36"/>
      <c r="C26" s="48" t="s">
        <v>33</v>
      </c>
      <c r="D26" s="22" t="s">
        <v>31</v>
      </c>
      <c r="E26" s="44"/>
      <c r="F26" s="44"/>
      <c r="G26" s="45"/>
      <c r="H26" s="49">
        <v>740</v>
      </c>
      <c r="I26" s="49">
        <v>13122</v>
      </c>
      <c r="J26" s="91">
        <f>H26*I26</f>
        <v>9710280</v>
      </c>
      <c r="K26" s="95"/>
      <c r="L26" s="95"/>
      <c r="M26" s="93"/>
      <c r="N26" s="94"/>
      <c r="Q26" s="359" t="s">
        <v>61</v>
      </c>
      <c r="R26" s="359" t="s">
        <v>80</v>
      </c>
      <c r="S26" s="359"/>
      <c r="T26" s="359"/>
      <c r="U26" s="359" t="s">
        <v>81</v>
      </c>
      <c r="V26" s="359"/>
      <c r="W26" s="359"/>
    </row>
    <row r="27" spans="1:23" ht="20.100000000000001" customHeight="1">
      <c r="A27" s="47"/>
      <c r="B27" s="36"/>
      <c r="C27" s="37"/>
      <c r="D27" s="43"/>
      <c r="E27" s="44"/>
      <c r="F27" s="44"/>
      <c r="G27" s="45"/>
      <c r="H27" s="46"/>
      <c r="I27" s="46"/>
      <c r="J27" s="103">
        <f>J26/J24</f>
        <v>2.2399803148363005E-2</v>
      </c>
      <c r="K27" s="95"/>
      <c r="L27" s="104"/>
      <c r="M27" s="93"/>
      <c r="N27" s="94"/>
      <c r="Q27" s="359"/>
      <c r="R27" s="138" t="s">
        <v>66</v>
      </c>
      <c r="S27" s="138" t="s">
        <v>67</v>
      </c>
      <c r="T27" s="138" t="s">
        <v>68</v>
      </c>
      <c r="U27" s="138" t="s">
        <v>66</v>
      </c>
      <c r="V27" s="138" t="s">
        <v>67</v>
      </c>
      <c r="W27" s="138" t="s">
        <v>68</v>
      </c>
    </row>
    <row r="28" spans="1:23" ht="20.100000000000001" customHeight="1">
      <c r="A28" s="47"/>
      <c r="B28" s="36"/>
      <c r="C28" s="48" t="s">
        <v>42</v>
      </c>
      <c r="D28" s="22" t="s">
        <v>31</v>
      </c>
      <c r="E28" s="44"/>
      <c r="F28" s="44"/>
      <c r="G28" s="45"/>
      <c r="H28" s="49">
        <v>168</v>
      </c>
      <c r="I28" s="49">
        <v>46072</v>
      </c>
      <c r="J28" s="91">
        <f>H28*I28</f>
        <v>7740096</v>
      </c>
      <c r="K28" s="95"/>
      <c r="L28" s="95"/>
      <c r="M28" s="93"/>
      <c r="N28" s="94"/>
      <c r="Q28" s="139" t="s">
        <v>71</v>
      </c>
      <c r="R28" s="49">
        <v>29753</v>
      </c>
      <c r="S28" s="49">
        <v>27101</v>
      </c>
      <c r="T28" s="125">
        <f>(S28-R28)/R28</f>
        <v>-8.9133868853560991E-2</v>
      </c>
      <c r="U28" s="49">
        <v>64698</v>
      </c>
      <c r="V28" s="49">
        <v>66934</v>
      </c>
      <c r="W28" s="125">
        <f t="shared" ref="W28:W32" si="6">(V28-U28)/U28</f>
        <v>3.4560573742619553E-2</v>
      </c>
    </row>
    <row r="29" spans="1:23" ht="20.100000000000001" customHeight="1">
      <c r="A29" s="47"/>
      <c r="B29" s="36"/>
      <c r="C29" s="50"/>
      <c r="D29" s="50"/>
      <c r="E29" s="44"/>
      <c r="F29" s="44"/>
      <c r="G29" s="45"/>
      <c r="H29" s="46"/>
      <c r="I29" s="46"/>
      <c r="J29" s="103">
        <f>J28/J24</f>
        <v>1.785495647390517E-2</v>
      </c>
      <c r="K29" s="95"/>
      <c r="L29" s="104"/>
      <c r="M29" s="93"/>
      <c r="N29" s="94"/>
      <c r="Q29" s="139" t="s">
        <v>73</v>
      </c>
      <c r="R29" s="49">
        <v>3578</v>
      </c>
      <c r="S29" s="49">
        <v>5622</v>
      </c>
      <c r="T29" s="125">
        <f>(S29-R29)/R29</f>
        <v>0.57126886528787035</v>
      </c>
      <c r="U29" s="93">
        <v>3662</v>
      </c>
      <c r="V29" s="49">
        <v>4481</v>
      </c>
      <c r="W29" s="125">
        <f t="shared" si="6"/>
        <v>0.22364827962861825</v>
      </c>
    </row>
    <row r="30" spans="1:23" ht="20.100000000000001" customHeight="1">
      <c r="A30" s="51" t="s">
        <v>82</v>
      </c>
      <c r="B30" s="52">
        <v>101010002</v>
      </c>
      <c r="C30" s="53" t="s">
        <v>83</v>
      </c>
      <c r="D30" s="53" t="s">
        <v>31</v>
      </c>
      <c r="E30" s="54"/>
      <c r="F30" s="51"/>
      <c r="G30" s="55"/>
      <c r="H30" s="56">
        <f>VLOOKUP(B30,河南!G:I,3,0)</f>
        <v>379.66</v>
      </c>
      <c r="I30" s="49">
        <v>145885</v>
      </c>
      <c r="J30" s="91">
        <f>H30*I30</f>
        <v>55386699.100000001</v>
      </c>
      <c r="K30" s="95">
        <v>64698</v>
      </c>
      <c r="L30" s="95">
        <v>24563242.680000003</v>
      </c>
      <c r="M30" s="93">
        <v>66934</v>
      </c>
      <c r="N30" s="94">
        <v>25412162.440000001</v>
      </c>
      <c r="Q30" s="139" t="s">
        <v>75</v>
      </c>
      <c r="R30" s="49">
        <v>961</v>
      </c>
      <c r="S30" s="49">
        <v>2603</v>
      </c>
      <c r="T30" s="125">
        <f>(S30-R30)/R30</f>
        <v>1.7086368366285121</v>
      </c>
      <c r="U30" s="49">
        <v>1089</v>
      </c>
      <c r="V30" s="49">
        <v>1685</v>
      </c>
      <c r="W30" s="125">
        <f t="shared" si="6"/>
        <v>0.54729109274563825</v>
      </c>
    </row>
    <row r="31" spans="1:23" ht="20.100000000000001" customHeight="1">
      <c r="A31" s="51"/>
      <c r="B31" s="52"/>
      <c r="C31" s="53"/>
      <c r="D31" s="53"/>
      <c r="E31" s="54"/>
      <c r="F31" s="51"/>
      <c r="G31" s="55"/>
      <c r="H31" s="56"/>
      <c r="I31" s="49"/>
      <c r="J31" s="103">
        <f>J30/J24</f>
        <v>0.12776677468390349</v>
      </c>
      <c r="K31" s="95"/>
      <c r="L31" s="104"/>
      <c r="M31" s="93"/>
      <c r="N31" s="94"/>
      <c r="Q31" s="139" t="s">
        <v>77</v>
      </c>
      <c r="R31" s="49">
        <v>8</v>
      </c>
      <c r="S31" s="49">
        <v>333</v>
      </c>
      <c r="T31" s="125">
        <f>(S31-R31)/R31</f>
        <v>40.625</v>
      </c>
      <c r="U31" s="49">
        <v>0</v>
      </c>
      <c r="V31" s="141">
        <v>100</v>
      </c>
      <c r="W31" s="125" t="e">
        <f t="shared" si="6"/>
        <v>#DIV/0!</v>
      </c>
    </row>
    <row r="32" spans="1:23" ht="20.100000000000001" customHeight="1">
      <c r="A32" s="51" t="s">
        <v>82</v>
      </c>
      <c r="B32" s="52">
        <v>101010001</v>
      </c>
      <c r="C32" s="53" t="s">
        <v>84</v>
      </c>
      <c r="D32" s="53" t="s">
        <v>31</v>
      </c>
      <c r="E32" s="54"/>
      <c r="F32" s="51"/>
      <c r="G32" s="55"/>
      <c r="H32" s="56">
        <f>VLOOKUP(B32,河南!G:I,3,0)</f>
        <v>879.83</v>
      </c>
      <c r="I32" s="49">
        <v>62803</v>
      </c>
      <c r="J32" s="91">
        <f>H32*I32</f>
        <v>55255963.490000002</v>
      </c>
      <c r="K32" s="95">
        <v>29753</v>
      </c>
      <c r="L32" s="95">
        <v>26177581.990000002</v>
      </c>
      <c r="M32" s="93">
        <v>27101</v>
      </c>
      <c r="N32" s="94">
        <v>23844272.830000002</v>
      </c>
      <c r="Q32" s="140" t="s">
        <v>40</v>
      </c>
      <c r="R32" s="49">
        <f>SUM(R28:R31)</f>
        <v>34300</v>
      </c>
      <c r="S32" s="49">
        <f>SUM(S28:S31)</f>
        <v>35659</v>
      </c>
      <c r="T32" s="115">
        <f>SUM(T28:T31)</f>
        <v>42.815771833062819</v>
      </c>
      <c r="U32" s="49">
        <f>SUM(U28:U31)</f>
        <v>69449</v>
      </c>
      <c r="V32" s="49">
        <f>SUM(V28:V31)</f>
        <v>73200</v>
      </c>
      <c r="W32" s="125">
        <f t="shared" si="6"/>
        <v>5.4010856887788158E-2</v>
      </c>
    </row>
    <row r="33" spans="1:16" ht="20.100000000000001" customHeight="1">
      <c r="A33" s="51"/>
      <c r="B33" s="52"/>
      <c r="C33" s="53"/>
      <c r="D33" s="53"/>
      <c r="E33" s="54"/>
      <c r="F33" s="51"/>
      <c r="G33" s="55"/>
      <c r="H33" s="56"/>
      <c r="I33" s="49"/>
      <c r="J33" s="103">
        <f>J32/J24</f>
        <v>0.1274651920386573</v>
      </c>
      <c r="K33" s="95"/>
      <c r="L33" s="104"/>
      <c r="M33" s="93"/>
      <c r="N33" s="94"/>
    </row>
    <row r="34" spans="1:16" ht="20.100000000000001" customHeight="1">
      <c r="A34" s="51" t="s">
        <v>82</v>
      </c>
      <c r="B34" s="52">
        <v>101010004</v>
      </c>
      <c r="C34" s="53" t="s">
        <v>85</v>
      </c>
      <c r="D34" s="53" t="s">
        <v>86</v>
      </c>
      <c r="E34" s="54"/>
      <c r="F34" s="51"/>
      <c r="G34" s="55"/>
      <c r="H34" s="56">
        <f>VLOOKUP(B34,河南!G:I,3,0)</f>
        <v>346.05</v>
      </c>
      <c r="I34" s="49">
        <v>15225</v>
      </c>
      <c r="J34" s="91">
        <f>H34*I34</f>
        <v>5268611.25</v>
      </c>
      <c r="K34" s="95">
        <v>6887</v>
      </c>
      <c r="L34" s="95">
        <v>2383246.35</v>
      </c>
      <c r="M34" s="93">
        <v>7096</v>
      </c>
      <c r="N34" s="94">
        <v>2455570.8000000003</v>
      </c>
    </row>
    <row r="35" spans="1:16" ht="20.100000000000001" customHeight="1">
      <c r="A35" s="51"/>
      <c r="B35" s="52"/>
      <c r="C35" s="53"/>
      <c r="D35" s="53"/>
      <c r="E35" s="54"/>
      <c r="F35" s="51"/>
      <c r="G35" s="55"/>
      <c r="H35" s="56"/>
      <c r="I35" s="49"/>
      <c r="J35" s="103">
        <f>J34/J24</f>
        <v>1.2153702557006672E-2</v>
      </c>
      <c r="K35" s="105"/>
      <c r="L35" s="106"/>
      <c r="M35" s="105"/>
      <c r="N35" s="105"/>
    </row>
    <row r="36" spans="1:16" ht="20.100000000000001" customHeight="1">
      <c r="A36" s="51" t="s">
        <v>82</v>
      </c>
      <c r="B36" s="53">
        <v>101010098</v>
      </c>
      <c r="C36" s="53" t="s">
        <v>87</v>
      </c>
      <c r="D36" s="53" t="s">
        <v>86</v>
      </c>
      <c r="E36" s="54"/>
      <c r="F36" s="51"/>
      <c r="G36" s="55"/>
      <c r="H36" s="56">
        <f>VLOOKUP(B36,河南!G:I,3,0)</f>
        <v>145.4</v>
      </c>
      <c r="I36" s="49">
        <v>106074</v>
      </c>
      <c r="J36" s="91">
        <f>H36*I36</f>
        <v>15423159.600000001</v>
      </c>
      <c r="K36" s="107">
        <v>50409</v>
      </c>
      <c r="L36" s="107">
        <f>H36*K36</f>
        <v>7329468.6000000006</v>
      </c>
      <c r="M36" s="108">
        <v>47800</v>
      </c>
      <c r="N36" s="107">
        <f>H36*M36</f>
        <v>6950120</v>
      </c>
    </row>
    <row r="37" spans="1:16" ht="20.100000000000001" customHeight="1">
      <c r="A37" s="51"/>
      <c r="B37" s="52"/>
      <c r="C37" s="53"/>
      <c r="D37" s="53"/>
      <c r="E37" s="54"/>
      <c r="F37" s="51"/>
      <c r="G37" s="55"/>
      <c r="H37" s="56"/>
      <c r="I37" s="49"/>
      <c r="J37" s="103">
        <f>J36/J24</f>
        <v>3.5578349848385954E-2</v>
      </c>
      <c r="K37" s="95"/>
      <c r="L37" s="104"/>
      <c r="M37" s="93"/>
      <c r="N37" s="94"/>
    </row>
    <row r="38" spans="1:16" ht="20.100000000000001" customHeight="1">
      <c r="A38" s="57">
        <v>1</v>
      </c>
      <c r="B38" s="58">
        <v>104020590</v>
      </c>
      <c r="C38" s="59" t="s">
        <v>88</v>
      </c>
      <c r="D38" s="60" t="s">
        <v>89</v>
      </c>
      <c r="E38" s="61">
        <v>40.909999999999997</v>
      </c>
      <c r="F38" s="62">
        <v>53298</v>
      </c>
      <c r="G38" s="63">
        <v>2398410</v>
      </c>
      <c r="H38" s="64">
        <v>90.42</v>
      </c>
      <c r="I38" s="49">
        <v>56585</v>
      </c>
      <c r="J38" s="91">
        <f>E38*I38</f>
        <v>2314892.3499999996</v>
      </c>
      <c r="K38" s="95">
        <v>3133</v>
      </c>
      <c r="L38" s="95">
        <v>283285.86</v>
      </c>
      <c r="M38" s="93">
        <v>19866</v>
      </c>
      <c r="N38" s="94">
        <v>1796283.72</v>
      </c>
    </row>
    <row r="39" spans="1:16" ht="20.100000000000001" customHeight="1">
      <c r="A39" s="57">
        <v>2</v>
      </c>
      <c r="B39" s="58">
        <v>104020591</v>
      </c>
      <c r="C39" s="65" t="s">
        <v>90</v>
      </c>
      <c r="D39" s="66" t="s">
        <v>89</v>
      </c>
      <c r="E39" s="61">
        <v>90</v>
      </c>
      <c r="F39" s="62">
        <v>10008</v>
      </c>
      <c r="G39" s="63">
        <v>900720</v>
      </c>
      <c r="H39" s="64">
        <v>161.46</v>
      </c>
      <c r="I39" s="49">
        <v>14256</v>
      </c>
      <c r="J39" s="91">
        <f>E39*I39</f>
        <v>1283040</v>
      </c>
      <c r="K39" s="95">
        <v>1601</v>
      </c>
      <c r="L39" s="95">
        <v>258497.46000000002</v>
      </c>
      <c r="M39" s="93">
        <v>10846</v>
      </c>
      <c r="N39" s="94">
        <v>1751195.16</v>
      </c>
    </row>
    <row r="40" spans="1:16" ht="20.100000000000001" customHeight="1">
      <c r="A40" s="57">
        <v>3</v>
      </c>
      <c r="B40" s="58">
        <v>104020592</v>
      </c>
      <c r="C40" s="65" t="s">
        <v>91</v>
      </c>
      <c r="D40" s="66" t="s">
        <v>89</v>
      </c>
      <c r="E40" s="61">
        <v>149</v>
      </c>
      <c r="F40" s="62">
        <v>7800</v>
      </c>
      <c r="G40" s="63">
        <v>1162200</v>
      </c>
      <c r="H40" s="64">
        <v>381.29</v>
      </c>
      <c r="I40" s="49">
        <v>794</v>
      </c>
      <c r="J40" s="91">
        <f>E40*I40</f>
        <v>118306</v>
      </c>
      <c r="K40" s="95">
        <v>790</v>
      </c>
      <c r="L40" s="95">
        <v>301219.10000000003</v>
      </c>
      <c r="M40" s="109">
        <v>523</v>
      </c>
      <c r="N40" s="110">
        <v>199414.67</v>
      </c>
    </row>
    <row r="41" spans="1:16" ht="20.100000000000001" customHeight="1">
      <c r="A41" s="67" t="s">
        <v>92</v>
      </c>
      <c r="B41" s="68"/>
      <c r="C41" s="69"/>
      <c r="D41" s="70"/>
      <c r="E41" s="70"/>
      <c r="F41" s="70"/>
      <c r="G41" s="71"/>
      <c r="H41" s="72"/>
      <c r="I41" s="111">
        <f t="shared" ref="I41:N41" si="7">SUM(I38:I40)</f>
        <v>71635</v>
      </c>
      <c r="J41" s="112">
        <f t="shared" si="7"/>
        <v>3716238.3499999996</v>
      </c>
      <c r="K41" s="113">
        <f t="shared" si="7"/>
        <v>5524</v>
      </c>
      <c r="L41" s="113">
        <f t="shared" si="7"/>
        <v>843002.42000000016</v>
      </c>
      <c r="M41" s="113">
        <f t="shared" si="7"/>
        <v>31235</v>
      </c>
      <c r="N41" s="113">
        <f t="shared" si="7"/>
        <v>3746893.55</v>
      </c>
    </row>
    <row r="42" spans="1:16" ht="20.100000000000001" customHeight="1">
      <c r="A42" s="67" t="s">
        <v>93</v>
      </c>
      <c r="B42" s="68"/>
      <c r="C42" s="69"/>
      <c r="D42" s="70"/>
      <c r="E42" s="70"/>
      <c r="F42" s="70"/>
      <c r="G42" s="71"/>
      <c r="H42" s="72"/>
      <c r="I42" s="111">
        <v>455885</v>
      </c>
      <c r="J42" s="112">
        <v>44379851.920000002</v>
      </c>
      <c r="K42" s="114"/>
      <c r="L42" s="114"/>
      <c r="M42" s="114"/>
      <c r="N42" s="114"/>
    </row>
    <row r="43" spans="1:16" ht="20.100000000000001" customHeight="1">
      <c r="A43" s="73" t="s">
        <v>94</v>
      </c>
      <c r="B43" s="74"/>
      <c r="C43" s="74"/>
      <c r="D43" s="74"/>
      <c r="E43" s="74"/>
      <c r="F43" s="74"/>
      <c r="G43" s="75"/>
      <c r="H43" s="76"/>
      <c r="I43" s="115">
        <f>I41/I42</f>
        <v>0.1571339263191375</v>
      </c>
      <c r="J43" s="103">
        <f>J41/J42</f>
        <v>8.373706060802015E-2</v>
      </c>
      <c r="K43" s="104"/>
      <c r="L43" s="104"/>
      <c r="M43" s="104"/>
      <c r="N43" s="104"/>
    </row>
    <row r="44" spans="1:16" ht="20.100000000000001" customHeight="1">
      <c r="A44" s="383"/>
      <c r="B44" s="383"/>
      <c r="C44" s="383"/>
      <c r="D44" s="383"/>
      <c r="E44" s="383"/>
      <c r="F44" s="383"/>
      <c r="G44" s="383"/>
      <c r="H44" s="383"/>
      <c r="I44" s="77" t="s">
        <v>687</v>
      </c>
      <c r="J44" s="77">
        <f>J6+J17+J26</f>
        <v>20788977.93</v>
      </c>
      <c r="K44" s="77"/>
      <c r="L44" s="77"/>
      <c r="M44" s="77"/>
      <c r="P44" s="77"/>
    </row>
    <row r="45" spans="1:16" ht="18">
      <c r="A45" s="377" t="s">
        <v>95</v>
      </c>
      <c r="B45" s="377"/>
      <c r="C45" s="377"/>
      <c r="D45" s="16"/>
      <c r="E45" s="16"/>
      <c r="F45" s="16"/>
      <c r="G45" s="16"/>
      <c r="H45" s="78"/>
      <c r="I45" s="116"/>
      <c r="J45" s="116"/>
      <c r="K45" s="117"/>
      <c r="L45" s="117"/>
      <c r="M45" s="117"/>
      <c r="N45" s="117"/>
      <c r="O45" s="117"/>
      <c r="P45" s="117"/>
    </row>
    <row r="46" spans="1:16">
      <c r="A46" s="381" t="s">
        <v>3</v>
      </c>
      <c r="B46" s="370" t="s">
        <v>4</v>
      </c>
      <c r="C46" s="364" t="s">
        <v>5</v>
      </c>
      <c r="D46" s="372" t="s">
        <v>6</v>
      </c>
      <c r="E46" s="364" t="s">
        <v>7</v>
      </c>
      <c r="F46" s="364" t="s">
        <v>8</v>
      </c>
      <c r="G46" s="385" t="s">
        <v>9</v>
      </c>
      <c r="H46" s="364" t="s">
        <v>10</v>
      </c>
      <c r="I46" s="371" t="s">
        <v>11</v>
      </c>
      <c r="J46" s="371"/>
      <c r="K46" s="374" t="s">
        <v>12</v>
      </c>
      <c r="L46" s="375"/>
      <c r="M46" s="375" t="s">
        <v>13</v>
      </c>
      <c r="N46" s="375"/>
      <c r="O46" s="78"/>
      <c r="P46" s="78"/>
    </row>
    <row r="47" spans="1:16">
      <c r="A47" s="371"/>
      <c r="B47" s="371"/>
      <c r="C47" s="368"/>
      <c r="D47" s="371"/>
      <c r="E47" s="368"/>
      <c r="F47" s="369"/>
      <c r="G47" s="386"/>
      <c r="H47" s="364"/>
      <c r="I47" s="84" t="s">
        <v>16</v>
      </c>
      <c r="J47" s="19" t="s">
        <v>17</v>
      </c>
      <c r="K47" s="84" t="s">
        <v>16</v>
      </c>
      <c r="L47" s="19" t="s">
        <v>17</v>
      </c>
      <c r="M47" s="84" t="s">
        <v>16</v>
      </c>
      <c r="N47" s="19" t="s">
        <v>17</v>
      </c>
      <c r="O47" s="17"/>
      <c r="P47" s="17"/>
    </row>
    <row r="48" spans="1:16" ht="20.100000000000001" customHeight="1">
      <c r="A48" s="79">
        <v>1</v>
      </c>
      <c r="B48" s="21">
        <v>101010397</v>
      </c>
      <c r="C48" s="22" t="s">
        <v>30</v>
      </c>
      <c r="D48" s="22" t="s">
        <v>31</v>
      </c>
      <c r="E48" s="23">
        <v>530</v>
      </c>
      <c r="F48" s="24">
        <v>2880</v>
      </c>
      <c r="G48" s="80">
        <v>1526400</v>
      </c>
      <c r="H48" s="81">
        <v>654.03</v>
      </c>
      <c r="I48" s="81">
        <v>1628</v>
      </c>
      <c r="J48" s="81">
        <v>1064760.8399999999</v>
      </c>
      <c r="K48" s="89">
        <v>1174</v>
      </c>
      <c r="L48" s="118">
        <v>767831.22</v>
      </c>
      <c r="M48" s="118">
        <v>1121</v>
      </c>
      <c r="N48" s="118">
        <v>733167.63</v>
      </c>
    </row>
    <row r="49" spans="1:14" ht="20.100000000000001" customHeight="1">
      <c r="A49" s="79">
        <v>2</v>
      </c>
      <c r="B49" s="21">
        <v>101010099</v>
      </c>
      <c r="C49" s="22" t="s">
        <v>33</v>
      </c>
      <c r="D49" s="22" t="s">
        <v>31</v>
      </c>
      <c r="E49" s="23">
        <v>740</v>
      </c>
      <c r="F49" s="24">
        <v>4890</v>
      </c>
      <c r="G49" s="80">
        <v>3618600</v>
      </c>
      <c r="H49" s="81">
        <v>824.19</v>
      </c>
      <c r="I49" s="81">
        <v>6445</v>
      </c>
      <c r="J49" s="81">
        <v>5311904.5500000007</v>
      </c>
      <c r="K49" s="93">
        <v>1976</v>
      </c>
      <c r="L49" s="94">
        <v>1628599.4400000002</v>
      </c>
      <c r="M49" s="94">
        <v>3602</v>
      </c>
      <c r="N49" s="94">
        <v>2968732.3800000004</v>
      </c>
    </row>
    <row r="50" spans="1:14" ht="20.100000000000001" customHeight="1">
      <c r="A50" s="79">
        <v>3</v>
      </c>
      <c r="B50" s="21">
        <v>101010114</v>
      </c>
      <c r="C50" s="22" t="s">
        <v>35</v>
      </c>
      <c r="D50" s="22" t="s">
        <v>31</v>
      </c>
      <c r="E50" s="23">
        <v>165</v>
      </c>
      <c r="F50" s="24">
        <v>1140</v>
      </c>
      <c r="G50" s="80">
        <v>188100</v>
      </c>
      <c r="H50" s="81">
        <v>224.39</v>
      </c>
      <c r="I50" s="81">
        <v>1115</v>
      </c>
      <c r="J50" s="81">
        <v>250194.84999999998</v>
      </c>
      <c r="K50" s="93">
        <v>241</v>
      </c>
      <c r="L50" s="94">
        <v>54077.99</v>
      </c>
      <c r="M50" s="94">
        <v>656</v>
      </c>
      <c r="N50" s="94">
        <v>147199.84</v>
      </c>
    </row>
    <row r="51" spans="1:14" ht="20.100000000000001" customHeight="1">
      <c r="A51" s="79">
        <v>4</v>
      </c>
      <c r="B51" s="21">
        <v>101010115</v>
      </c>
      <c r="C51" s="22" t="s">
        <v>37</v>
      </c>
      <c r="D51" s="22" t="s">
        <v>31</v>
      </c>
      <c r="E51" s="23">
        <v>200</v>
      </c>
      <c r="F51" s="24">
        <v>2640</v>
      </c>
      <c r="G51" s="80">
        <v>528000</v>
      </c>
      <c r="H51" s="81">
        <v>260.79000000000002</v>
      </c>
      <c r="I51" s="81">
        <v>2949</v>
      </c>
      <c r="J51" s="81">
        <v>769069.71000000008</v>
      </c>
      <c r="K51" s="93">
        <v>782</v>
      </c>
      <c r="L51" s="94">
        <v>203937.78000000003</v>
      </c>
      <c r="M51" s="94">
        <v>1387</v>
      </c>
      <c r="N51" s="94">
        <v>361715.73000000004</v>
      </c>
    </row>
    <row r="52" spans="1:14" ht="20.100000000000001" customHeight="1">
      <c r="A52" s="79">
        <v>5</v>
      </c>
      <c r="B52" s="21">
        <v>101010294</v>
      </c>
      <c r="C52" s="22" t="s">
        <v>39</v>
      </c>
      <c r="D52" s="22" t="s">
        <v>31</v>
      </c>
      <c r="E52" s="23">
        <v>145</v>
      </c>
      <c r="F52" s="24">
        <v>780</v>
      </c>
      <c r="G52" s="80">
        <v>113100</v>
      </c>
      <c r="H52" s="81">
        <v>200.19</v>
      </c>
      <c r="I52" s="81">
        <v>616</v>
      </c>
      <c r="J52" s="81">
        <v>123317.04</v>
      </c>
      <c r="K52" s="93">
        <v>353</v>
      </c>
      <c r="L52" s="94">
        <v>70667.069999999992</v>
      </c>
      <c r="M52" s="94">
        <v>329</v>
      </c>
      <c r="N52" s="94">
        <v>65862.509999999995</v>
      </c>
    </row>
    <row r="53" spans="1:14" ht="20.100000000000001" customHeight="1">
      <c r="A53" s="79">
        <v>6</v>
      </c>
      <c r="B53" s="21">
        <v>101010297</v>
      </c>
      <c r="C53" s="22" t="s">
        <v>41</v>
      </c>
      <c r="D53" s="22" t="s">
        <v>31</v>
      </c>
      <c r="E53" s="23">
        <v>180</v>
      </c>
      <c r="F53" s="24">
        <v>750</v>
      </c>
      <c r="G53" s="80">
        <v>135000</v>
      </c>
      <c r="H53" s="81">
        <v>240.7</v>
      </c>
      <c r="I53" s="81">
        <v>900</v>
      </c>
      <c r="J53" s="81">
        <v>216630</v>
      </c>
      <c r="K53" s="93">
        <v>359</v>
      </c>
      <c r="L53" s="94">
        <v>86411.3</v>
      </c>
      <c r="M53" s="94">
        <v>442</v>
      </c>
      <c r="N53" s="94">
        <v>106389.4</v>
      </c>
    </row>
    <row r="54" spans="1:14" ht="20.100000000000001" customHeight="1">
      <c r="A54" s="79">
        <v>7</v>
      </c>
      <c r="B54" s="21">
        <v>101010036</v>
      </c>
      <c r="C54" s="22" t="s">
        <v>42</v>
      </c>
      <c r="D54" s="22" t="s">
        <v>31</v>
      </c>
      <c r="E54" s="23">
        <v>168</v>
      </c>
      <c r="F54" s="24">
        <v>3180</v>
      </c>
      <c r="G54" s="80">
        <v>534240</v>
      </c>
      <c r="H54" s="81">
        <v>210.81</v>
      </c>
      <c r="I54" s="81">
        <v>2451</v>
      </c>
      <c r="J54" s="81">
        <v>516695.31</v>
      </c>
      <c r="K54" s="93">
        <v>824</v>
      </c>
      <c r="L54" s="94">
        <v>173707.44</v>
      </c>
      <c r="M54" s="94">
        <v>1270</v>
      </c>
      <c r="N54" s="94">
        <v>267728.7</v>
      </c>
    </row>
    <row r="55" spans="1:14" ht="20.100000000000001" customHeight="1">
      <c r="A55" s="79">
        <v>8</v>
      </c>
      <c r="B55" s="21">
        <v>101010024</v>
      </c>
      <c r="C55" s="22" t="s">
        <v>48</v>
      </c>
      <c r="D55" s="22" t="s">
        <v>31</v>
      </c>
      <c r="E55" s="23">
        <v>37.869999999999997</v>
      </c>
      <c r="F55" s="24">
        <v>1860</v>
      </c>
      <c r="G55" s="80">
        <v>70438.2</v>
      </c>
      <c r="H55" s="81">
        <v>61.43</v>
      </c>
      <c r="I55" s="81">
        <v>2092</v>
      </c>
      <c r="J55" s="81">
        <v>128511.56</v>
      </c>
      <c r="K55" s="93">
        <v>685</v>
      </c>
      <c r="L55" s="94">
        <v>42079.55</v>
      </c>
      <c r="M55" s="94">
        <v>1034</v>
      </c>
      <c r="N55" s="94">
        <v>63518.62</v>
      </c>
    </row>
    <row r="56" spans="1:14" ht="20.100000000000001" customHeight="1">
      <c r="A56" s="79">
        <v>9</v>
      </c>
      <c r="B56" s="21">
        <v>101010503</v>
      </c>
      <c r="C56" s="22" t="s">
        <v>50</v>
      </c>
      <c r="D56" s="22" t="s">
        <v>31</v>
      </c>
      <c r="E56" s="23">
        <v>75</v>
      </c>
      <c r="F56" s="24">
        <v>300</v>
      </c>
      <c r="G56" s="80">
        <v>22500</v>
      </c>
      <c r="H56" s="81"/>
      <c r="I56" s="24"/>
      <c r="J56" s="24"/>
      <c r="K56" s="93"/>
      <c r="L56" s="94"/>
      <c r="M56" s="94"/>
      <c r="N56" s="94"/>
    </row>
    <row r="57" spans="1:14" ht="20.100000000000001" customHeight="1">
      <c r="A57" s="79">
        <v>10</v>
      </c>
      <c r="B57" s="21">
        <v>101010502</v>
      </c>
      <c r="C57" s="22" t="s">
        <v>52</v>
      </c>
      <c r="D57" s="22" t="s">
        <v>31</v>
      </c>
      <c r="E57" s="23">
        <v>63</v>
      </c>
      <c r="F57" s="24">
        <v>240</v>
      </c>
      <c r="G57" s="80">
        <v>15120</v>
      </c>
      <c r="H57" s="81"/>
      <c r="I57" s="24"/>
      <c r="J57" s="24"/>
      <c r="K57" s="93"/>
      <c r="L57" s="94"/>
      <c r="M57" s="94"/>
      <c r="N57" s="94"/>
    </row>
    <row r="58" spans="1:14" ht="20.100000000000001" customHeight="1">
      <c r="A58" s="79">
        <v>11</v>
      </c>
      <c r="B58" s="27">
        <v>101010501</v>
      </c>
      <c r="C58" s="27" t="s">
        <v>54</v>
      </c>
      <c r="D58" s="27" t="s">
        <v>55</v>
      </c>
      <c r="E58" s="28">
        <v>11</v>
      </c>
      <c r="F58" s="24">
        <v>0</v>
      </c>
      <c r="G58" s="80">
        <v>0</v>
      </c>
      <c r="H58" s="81">
        <v>23.48</v>
      </c>
      <c r="I58" s="81">
        <v>1009</v>
      </c>
      <c r="J58" s="81">
        <v>23691.32</v>
      </c>
      <c r="K58" s="93">
        <v>526</v>
      </c>
      <c r="L58" s="94">
        <v>12350.48</v>
      </c>
      <c r="M58" s="94">
        <v>446</v>
      </c>
      <c r="N58" s="94">
        <v>10472.08</v>
      </c>
    </row>
    <row r="59" spans="1:14" ht="20.100000000000001" customHeight="1">
      <c r="A59" s="79">
        <v>12</v>
      </c>
      <c r="B59" s="27">
        <v>101010504</v>
      </c>
      <c r="C59" s="27" t="s">
        <v>57</v>
      </c>
      <c r="D59" s="27" t="s">
        <v>31</v>
      </c>
      <c r="E59" s="28">
        <v>12</v>
      </c>
      <c r="F59" s="24">
        <v>0</v>
      </c>
      <c r="G59" s="80">
        <v>0</v>
      </c>
      <c r="H59" s="81"/>
      <c r="I59" s="24"/>
      <c r="J59" s="24"/>
      <c r="K59" s="93">
        <v>2</v>
      </c>
      <c r="L59" s="94">
        <v>0</v>
      </c>
      <c r="M59" s="94">
        <v>17</v>
      </c>
      <c r="N59" s="94">
        <v>0</v>
      </c>
    </row>
    <row r="60" spans="1:14" ht="20.100000000000001" customHeight="1">
      <c r="A60" s="79">
        <v>13</v>
      </c>
      <c r="B60" s="27">
        <v>101010521</v>
      </c>
      <c r="C60" s="27" t="s">
        <v>58</v>
      </c>
      <c r="D60" s="27" t="s">
        <v>31</v>
      </c>
      <c r="E60" s="28">
        <v>740</v>
      </c>
      <c r="F60" s="24">
        <v>0</v>
      </c>
      <c r="G60" s="80">
        <v>0</v>
      </c>
      <c r="H60" s="81">
        <v>952.33</v>
      </c>
      <c r="I60" s="81">
        <v>47</v>
      </c>
      <c r="J60" s="81">
        <v>44759.51</v>
      </c>
      <c r="K60" s="93"/>
      <c r="L60" s="94"/>
      <c r="M60" s="94">
        <v>47</v>
      </c>
      <c r="N60" s="94">
        <v>44759.51</v>
      </c>
    </row>
    <row r="61" spans="1:14" ht="20.100000000000001" customHeight="1">
      <c r="A61" s="79">
        <v>14</v>
      </c>
      <c r="B61" s="27">
        <v>101010525</v>
      </c>
      <c r="C61" s="27" t="s">
        <v>59</v>
      </c>
      <c r="D61" s="27" t="s">
        <v>60</v>
      </c>
      <c r="E61" s="28">
        <v>468</v>
      </c>
      <c r="F61" s="24">
        <v>0</v>
      </c>
      <c r="G61" s="80">
        <v>0</v>
      </c>
      <c r="H61" s="81"/>
      <c r="I61" s="24"/>
      <c r="J61" s="24"/>
      <c r="K61" s="93"/>
      <c r="L61" s="94"/>
      <c r="M61" s="94"/>
      <c r="N61" s="94"/>
    </row>
    <row r="62" spans="1:14" ht="20.100000000000001" customHeight="1">
      <c r="A62" s="79">
        <v>15</v>
      </c>
      <c r="B62" s="27">
        <v>101020055</v>
      </c>
      <c r="C62" s="27" t="s">
        <v>64</v>
      </c>
      <c r="D62" s="27" t="s">
        <v>65</v>
      </c>
      <c r="E62" s="28">
        <v>268</v>
      </c>
      <c r="F62" s="24">
        <v>0</v>
      </c>
      <c r="G62" s="80">
        <v>0</v>
      </c>
      <c r="H62" s="81">
        <v>376.39</v>
      </c>
      <c r="I62" s="81">
        <v>32</v>
      </c>
      <c r="J62" s="81">
        <v>12044.48</v>
      </c>
      <c r="K62" s="93">
        <v>241</v>
      </c>
      <c r="L62" s="94">
        <v>90709.99</v>
      </c>
      <c r="M62" s="94">
        <v>14</v>
      </c>
      <c r="N62" s="94">
        <v>5269.46</v>
      </c>
    </row>
    <row r="63" spans="1:14" ht="20.100000000000001" customHeight="1">
      <c r="A63" s="79">
        <v>16</v>
      </c>
      <c r="B63" s="27">
        <v>101020063</v>
      </c>
      <c r="C63" s="27" t="s">
        <v>69</v>
      </c>
      <c r="D63" s="27" t="s">
        <v>70</v>
      </c>
      <c r="E63" s="28">
        <v>2220</v>
      </c>
      <c r="F63" s="24">
        <v>0</v>
      </c>
      <c r="G63" s="80">
        <v>0</v>
      </c>
      <c r="H63" s="81">
        <v>2918.67</v>
      </c>
      <c r="I63" s="81">
        <v>3</v>
      </c>
      <c r="J63" s="81">
        <v>8756.01</v>
      </c>
      <c r="K63" s="93"/>
      <c r="L63" s="94"/>
      <c r="M63" s="94">
        <v>3</v>
      </c>
      <c r="N63" s="94">
        <v>8756.01</v>
      </c>
    </row>
    <row r="64" spans="1:14" ht="20.100000000000001" customHeight="1">
      <c r="A64" s="79">
        <v>17</v>
      </c>
      <c r="B64" s="27">
        <v>103090047</v>
      </c>
      <c r="C64" s="27" t="s">
        <v>72</v>
      </c>
      <c r="D64" s="27" t="s">
        <v>31</v>
      </c>
      <c r="E64" s="28">
        <v>85</v>
      </c>
      <c r="F64" s="24">
        <v>0</v>
      </c>
      <c r="G64" s="80">
        <v>0</v>
      </c>
      <c r="H64" s="81"/>
      <c r="I64" s="24"/>
      <c r="J64" s="24"/>
      <c r="K64" s="93"/>
      <c r="L64" s="94"/>
      <c r="M64" s="94"/>
      <c r="N64" s="94"/>
    </row>
    <row r="65" spans="1:14" ht="20.100000000000001" customHeight="1">
      <c r="A65" s="79">
        <v>18</v>
      </c>
      <c r="B65" s="27">
        <v>103090048</v>
      </c>
      <c r="C65" s="27" t="s">
        <v>74</v>
      </c>
      <c r="D65" s="27" t="s">
        <v>31</v>
      </c>
      <c r="E65" s="28">
        <v>85</v>
      </c>
      <c r="F65" s="24">
        <v>0</v>
      </c>
      <c r="G65" s="80">
        <v>0</v>
      </c>
      <c r="H65" s="81"/>
      <c r="I65" s="24"/>
      <c r="J65" s="24"/>
      <c r="K65" s="185"/>
      <c r="L65" s="186"/>
      <c r="M65" s="186"/>
      <c r="N65" s="186"/>
    </row>
    <row r="66" spans="1:14" ht="20.100000000000001" customHeight="1">
      <c r="A66" s="143" t="s">
        <v>76</v>
      </c>
      <c r="B66" s="144"/>
      <c r="C66" s="145"/>
      <c r="D66" s="146"/>
      <c r="E66" s="147"/>
      <c r="F66" s="147"/>
      <c r="G66" s="148"/>
      <c r="H66" s="81"/>
      <c r="I66" s="149">
        <f t="shared" ref="I66:N66" si="8">SUM(I48:I65)</f>
        <v>19287</v>
      </c>
      <c r="J66" s="149">
        <f t="shared" si="8"/>
        <v>8470335.1799999997</v>
      </c>
      <c r="K66" s="149">
        <f t="shared" si="8"/>
        <v>7163</v>
      </c>
      <c r="L66" s="149">
        <f t="shared" si="8"/>
        <v>3130372.2600000002</v>
      </c>
      <c r="M66" s="149">
        <f t="shared" si="8"/>
        <v>10368</v>
      </c>
      <c r="N66" s="149">
        <f t="shared" si="8"/>
        <v>4783571.87</v>
      </c>
    </row>
    <row r="67" spans="1:14" ht="20.100000000000001" customHeight="1">
      <c r="A67" s="143" t="s">
        <v>96</v>
      </c>
      <c r="B67" s="146"/>
      <c r="C67" s="145"/>
      <c r="D67" s="146"/>
      <c r="E67" s="147"/>
      <c r="F67" s="147"/>
      <c r="G67" s="148"/>
      <c r="H67" s="149"/>
      <c r="I67" s="149">
        <v>520493</v>
      </c>
      <c r="J67" s="149">
        <v>115552583.17</v>
      </c>
      <c r="K67" s="93"/>
      <c r="L67" s="94"/>
      <c r="M67" s="94"/>
      <c r="N67" s="94"/>
    </row>
    <row r="68" spans="1:14" ht="20.100000000000001" customHeight="1">
      <c r="A68" s="150" t="s">
        <v>97</v>
      </c>
      <c r="B68" s="151"/>
      <c r="C68" s="145"/>
      <c r="D68" s="151"/>
      <c r="E68" s="152"/>
      <c r="F68" s="152"/>
      <c r="G68" s="153"/>
      <c r="H68" s="81"/>
      <c r="I68" s="187">
        <f>I66/I67</f>
        <v>3.7055253384771746E-2</v>
      </c>
      <c r="J68" s="187">
        <f>J66/J67</f>
        <v>7.3302863057059603E-2</v>
      </c>
      <c r="K68" s="93"/>
      <c r="L68" s="94"/>
      <c r="M68" s="94"/>
      <c r="N68" s="94"/>
    </row>
    <row r="69" spans="1:14" ht="20.100000000000001" customHeight="1">
      <c r="A69" s="152"/>
      <c r="B69" s="151"/>
      <c r="C69" s="48" t="s">
        <v>33</v>
      </c>
      <c r="D69" s="22" t="s">
        <v>31</v>
      </c>
      <c r="E69" s="152"/>
      <c r="F69" s="152"/>
      <c r="G69" s="153"/>
      <c r="H69" s="81">
        <v>824.19</v>
      </c>
      <c r="I69" s="81">
        <v>6445</v>
      </c>
      <c r="J69" s="24">
        <f>H69*I69</f>
        <v>5311904.5500000007</v>
      </c>
      <c r="K69" s="93"/>
      <c r="L69" s="94"/>
      <c r="M69" s="94"/>
      <c r="N69" s="94"/>
    </row>
    <row r="70" spans="1:14" ht="20.100000000000001" customHeight="1">
      <c r="A70" s="152"/>
      <c r="B70" s="151"/>
      <c r="C70" s="151"/>
      <c r="D70" s="151"/>
      <c r="E70" s="152"/>
      <c r="F70" s="152"/>
      <c r="G70" s="153"/>
      <c r="H70" s="81"/>
      <c r="I70" s="24"/>
      <c r="J70" s="187">
        <f>J69/J67</f>
        <v>4.5969587215416649E-2</v>
      </c>
      <c r="K70" s="93"/>
      <c r="L70" s="94"/>
      <c r="M70" s="94"/>
      <c r="N70" s="94"/>
    </row>
    <row r="71" spans="1:14" ht="20.100000000000001" customHeight="1">
      <c r="A71" s="152"/>
      <c r="B71" s="151"/>
      <c r="C71" s="48" t="s">
        <v>42</v>
      </c>
      <c r="D71" s="22" t="s">
        <v>31</v>
      </c>
      <c r="E71" s="152"/>
      <c r="F71" s="152"/>
      <c r="G71" s="153"/>
      <c r="H71" s="81">
        <v>210.81</v>
      </c>
      <c r="I71" s="81">
        <v>2451</v>
      </c>
      <c r="J71" s="24">
        <f>H71*I71</f>
        <v>516695.31</v>
      </c>
      <c r="K71" s="93"/>
      <c r="L71" s="94"/>
      <c r="M71" s="94"/>
      <c r="N71" s="94"/>
    </row>
    <row r="72" spans="1:14" ht="20.100000000000001" customHeight="1">
      <c r="A72" s="152"/>
      <c r="B72" s="151"/>
      <c r="C72" s="145"/>
      <c r="D72" s="151"/>
      <c r="E72" s="152"/>
      <c r="F72" s="152"/>
      <c r="G72" s="153"/>
      <c r="H72" s="81"/>
      <c r="I72" s="24"/>
      <c r="J72" s="187">
        <f>J71/J67</f>
        <v>4.4715167400441597E-3</v>
      </c>
      <c r="K72" s="93"/>
      <c r="L72" s="94"/>
      <c r="M72" s="94"/>
      <c r="N72" s="94"/>
    </row>
    <row r="73" spans="1:14" ht="20.100000000000001" customHeight="1">
      <c r="A73" s="154" t="s">
        <v>82</v>
      </c>
      <c r="B73" s="27">
        <v>101010001</v>
      </c>
      <c r="C73" s="27" t="s">
        <v>84</v>
      </c>
      <c r="D73" s="27" t="s">
        <v>31</v>
      </c>
      <c r="E73" s="155"/>
      <c r="F73" s="154"/>
      <c r="G73" s="156"/>
      <c r="H73" s="81">
        <v>920.84</v>
      </c>
      <c r="I73" s="81">
        <v>10594</v>
      </c>
      <c r="J73" s="81">
        <v>9755378.9600000009</v>
      </c>
      <c r="K73" s="93">
        <v>3578</v>
      </c>
      <c r="L73" s="94">
        <v>3294765.52</v>
      </c>
      <c r="M73" s="94">
        <v>5622</v>
      </c>
      <c r="N73" s="94">
        <v>5176962.4800000004</v>
      </c>
    </row>
    <row r="74" spans="1:14" ht="20.100000000000001" customHeight="1">
      <c r="A74" s="154"/>
      <c r="B74" s="27"/>
      <c r="C74" s="27"/>
      <c r="D74" s="27"/>
      <c r="E74" s="155"/>
      <c r="F74" s="154"/>
      <c r="G74" s="156"/>
      <c r="H74" s="81"/>
      <c r="I74" s="24"/>
      <c r="J74" s="187">
        <f>J73/J67</f>
        <v>8.4423720287135157E-2</v>
      </c>
      <c r="K74" s="93"/>
      <c r="L74" s="94"/>
      <c r="M74" s="94"/>
      <c r="N74" s="94"/>
    </row>
    <row r="75" spans="1:14" ht="20.100000000000001" customHeight="1">
      <c r="A75" s="154" t="s">
        <v>82</v>
      </c>
      <c r="B75" s="27">
        <v>101010002</v>
      </c>
      <c r="C75" s="27" t="s">
        <v>83</v>
      </c>
      <c r="D75" s="27" t="s">
        <v>31</v>
      </c>
      <c r="E75" s="155"/>
      <c r="F75" s="154"/>
      <c r="G75" s="156"/>
      <c r="H75" s="81">
        <v>405.69</v>
      </c>
      <c r="I75" s="81">
        <v>8195</v>
      </c>
      <c r="J75" s="81">
        <v>3324629.55</v>
      </c>
      <c r="K75" s="93">
        <v>3662</v>
      </c>
      <c r="L75" s="94">
        <v>1485636.78</v>
      </c>
      <c r="M75" s="94">
        <v>4481</v>
      </c>
      <c r="N75" s="94">
        <v>1817896.89</v>
      </c>
    </row>
    <row r="76" spans="1:14" ht="20.100000000000001" customHeight="1">
      <c r="A76" s="154"/>
      <c r="B76" s="27"/>
      <c r="C76" s="27"/>
      <c r="D76" s="27"/>
      <c r="E76" s="155"/>
      <c r="F76" s="154"/>
      <c r="G76" s="156"/>
      <c r="H76" s="81"/>
      <c r="I76" s="24"/>
      <c r="J76" s="187">
        <f>J75/J67</f>
        <v>2.877157272294668E-2</v>
      </c>
      <c r="K76" s="93"/>
      <c r="L76" s="94"/>
      <c r="M76" s="94"/>
      <c r="N76" s="94"/>
    </row>
    <row r="77" spans="1:14" ht="20.100000000000001" customHeight="1">
      <c r="A77" s="154" t="s">
        <v>82</v>
      </c>
      <c r="B77" s="27">
        <v>101010004</v>
      </c>
      <c r="C77" s="27" t="s">
        <v>85</v>
      </c>
      <c r="D77" s="27" t="s">
        <v>86</v>
      </c>
      <c r="E77" s="155"/>
      <c r="F77" s="154"/>
      <c r="G77" s="156"/>
      <c r="H77" s="81">
        <v>359</v>
      </c>
      <c r="I77" s="81">
        <v>286</v>
      </c>
      <c r="J77" s="81">
        <v>102674</v>
      </c>
      <c r="K77" s="93"/>
      <c r="L77" s="94"/>
      <c r="M77" s="94">
        <v>286</v>
      </c>
      <c r="N77" s="94">
        <v>102674</v>
      </c>
    </row>
    <row r="78" spans="1:14" ht="20.100000000000001" customHeight="1">
      <c r="A78" s="154"/>
      <c r="B78" s="27"/>
      <c r="C78" s="27"/>
      <c r="D78" s="27"/>
      <c r="E78" s="155"/>
      <c r="F78" s="154"/>
      <c r="G78" s="156"/>
      <c r="H78" s="81"/>
      <c r="I78" s="24"/>
      <c r="J78" s="187">
        <f>J77/J67</f>
        <v>8.8854785573202512E-4</v>
      </c>
      <c r="K78" s="93"/>
      <c r="L78" s="94"/>
      <c r="M78" s="94"/>
      <c r="N78" s="94"/>
    </row>
    <row r="79" spans="1:14" ht="20.100000000000001" customHeight="1">
      <c r="A79" s="157">
        <v>1</v>
      </c>
      <c r="B79" s="21">
        <v>104020590</v>
      </c>
      <c r="C79" s="22" t="s">
        <v>88</v>
      </c>
      <c r="D79" s="22" t="s">
        <v>89</v>
      </c>
      <c r="E79" s="23">
        <v>40.909999999999997</v>
      </c>
      <c r="F79" s="24">
        <v>2400</v>
      </c>
      <c r="G79" s="80">
        <v>108000</v>
      </c>
      <c r="H79" s="81">
        <v>98.98</v>
      </c>
      <c r="I79" s="81">
        <v>7708</v>
      </c>
      <c r="J79" s="81">
        <v>762937.84000000008</v>
      </c>
      <c r="K79" s="93">
        <v>200</v>
      </c>
      <c r="L79" s="94">
        <v>19796</v>
      </c>
      <c r="M79" s="188">
        <v>4509</v>
      </c>
      <c r="N79" s="189">
        <v>446300.82</v>
      </c>
    </row>
    <row r="80" spans="1:14" ht="20.100000000000001" customHeight="1">
      <c r="A80" s="157">
        <v>2</v>
      </c>
      <c r="B80" s="21">
        <v>104020591</v>
      </c>
      <c r="C80" s="22" t="s">
        <v>90</v>
      </c>
      <c r="D80" s="22" t="s">
        <v>89</v>
      </c>
      <c r="E80" s="23">
        <v>90</v>
      </c>
      <c r="F80" s="24">
        <v>780</v>
      </c>
      <c r="G80" s="80">
        <v>70200</v>
      </c>
      <c r="H80" s="81">
        <v>230</v>
      </c>
      <c r="I80" s="81">
        <v>357</v>
      </c>
      <c r="J80" s="81">
        <v>82110</v>
      </c>
      <c r="K80" s="93">
        <v>15</v>
      </c>
      <c r="L80" s="94">
        <v>3450</v>
      </c>
      <c r="M80" s="188">
        <v>215</v>
      </c>
      <c r="N80" s="190">
        <v>49450</v>
      </c>
    </row>
    <row r="81" spans="1:16" ht="20.100000000000001" customHeight="1">
      <c r="A81" s="157">
        <v>3</v>
      </c>
      <c r="B81" s="21">
        <v>104020592</v>
      </c>
      <c r="C81" s="22" t="s">
        <v>91</v>
      </c>
      <c r="D81" s="22" t="s">
        <v>89</v>
      </c>
      <c r="E81" s="23">
        <v>149</v>
      </c>
      <c r="F81" s="24">
        <v>480</v>
      </c>
      <c r="G81" s="80">
        <v>71520</v>
      </c>
      <c r="H81" s="81">
        <v>396.43</v>
      </c>
      <c r="I81" s="81">
        <v>114</v>
      </c>
      <c r="J81" s="81">
        <v>45193.02</v>
      </c>
      <c r="K81" s="93">
        <v>10</v>
      </c>
      <c r="L81" s="94">
        <v>3964.3</v>
      </c>
      <c r="M81" s="188">
        <v>75</v>
      </c>
      <c r="N81" s="191">
        <v>29732.25</v>
      </c>
    </row>
    <row r="82" spans="1:16" s="14" customFormat="1" ht="20.100000000000001" customHeight="1">
      <c r="A82" s="158" t="s">
        <v>92</v>
      </c>
      <c r="B82" s="159"/>
      <c r="C82" s="160"/>
      <c r="D82" s="161"/>
      <c r="E82" s="161"/>
      <c r="F82" s="161"/>
      <c r="G82" s="162"/>
      <c r="H82" s="163"/>
      <c r="I82" s="164">
        <f t="shared" ref="I82:N82" si="9">SUM(I79:I81)</f>
        <v>8179</v>
      </c>
      <c r="J82" s="164">
        <f t="shared" si="9"/>
        <v>890240.8600000001</v>
      </c>
      <c r="K82" s="192">
        <f t="shared" si="9"/>
        <v>225</v>
      </c>
      <c r="L82" s="192">
        <f t="shared" si="9"/>
        <v>27210.3</v>
      </c>
      <c r="M82" s="192">
        <f t="shared" si="9"/>
        <v>4799</v>
      </c>
      <c r="N82" s="164">
        <f t="shared" si="9"/>
        <v>525483.07000000007</v>
      </c>
      <c r="O82" s="193"/>
      <c r="P82" s="193"/>
    </row>
    <row r="83" spans="1:16" s="14" customFormat="1" ht="20.100000000000001" customHeight="1">
      <c r="A83" s="158" t="s">
        <v>93</v>
      </c>
      <c r="B83" s="159"/>
      <c r="C83" s="160"/>
      <c r="D83" s="161"/>
      <c r="E83" s="161"/>
      <c r="F83" s="161"/>
      <c r="G83" s="162"/>
      <c r="H83" s="164"/>
      <c r="I83" s="164">
        <v>279176</v>
      </c>
      <c r="J83" s="164">
        <v>32833503.59</v>
      </c>
      <c r="K83" s="93"/>
      <c r="L83" s="94"/>
      <c r="M83" s="94"/>
      <c r="N83" s="194"/>
      <c r="O83" s="193"/>
      <c r="P83" s="193"/>
    </row>
    <row r="84" spans="1:16" s="14" customFormat="1" ht="20.100000000000001" customHeight="1">
      <c r="A84" s="158" t="s">
        <v>98</v>
      </c>
      <c r="B84" s="159"/>
      <c r="C84" s="160"/>
      <c r="D84" s="161"/>
      <c r="E84" s="161"/>
      <c r="F84" s="161"/>
      <c r="G84" s="162"/>
      <c r="H84" s="164"/>
      <c r="I84" s="195">
        <f>I82/I83</f>
        <v>2.9296930968278075E-2</v>
      </c>
      <c r="J84" s="195">
        <f>J82/J83</f>
        <v>2.7113794224236796E-2</v>
      </c>
      <c r="K84" s="93"/>
      <c r="L84" s="94"/>
      <c r="M84" s="94"/>
      <c r="N84" s="194"/>
      <c r="O84" s="193"/>
      <c r="P84" s="193"/>
    </row>
    <row r="85" spans="1:16" ht="20.100000000000001" customHeight="1">
      <c r="A85" s="383"/>
      <c r="B85" s="383"/>
      <c r="C85" s="383"/>
      <c r="D85" s="383"/>
      <c r="E85" s="383"/>
      <c r="F85" s="383"/>
      <c r="G85" s="383"/>
      <c r="H85" s="383"/>
      <c r="I85" s="77"/>
      <c r="J85" s="77"/>
      <c r="K85" s="196"/>
      <c r="L85" s="196"/>
      <c r="M85" s="196"/>
      <c r="N85" s="196"/>
      <c r="O85" s="196"/>
      <c r="P85" s="196"/>
    </row>
    <row r="86" spans="1:16" ht="15.75">
      <c r="A86" s="384" t="s">
        <v>99</v>
      </c>
      <c r="B86" s="377"/>
      <c r="C86" s="377"/>
      <c r="D86" s="16"/>
      <c r="E86" s="16"/>
      <c r="F86" s="16"/>
      <c r="G86" s="16"/>
      <c r="H86" s="78"/>
      <c r="I86" s="116"/>
      <c r="J86" s="116"/>
      <c r="K86" s="196"/>
      <c r="L86" s="196"/>
      <c r="M86" s="196"/>
      <c r="N86" s="196"/>
      <c r="O86" s="196"/>
      <c r="P86" s="196"/>
    </row>
    <row r="87" spans="1:16">
      <c r="A87" s="380" t="s">
        <v>3</v>
      </c>
      <c r="B87" s="382" t="s">
        <v>4</v>
      </c>
      <c r="C87" s="367" t="s">
        <v>5</v>
      </c>
      <c r="D87" s="373" t="s">
        <v>6</v>
      </c>
      <c r="E87" s="367" t="s">
        <v>7</v>
      </c>
      <c r="F87" s="367" t="s">
        <v>8</v>
      </c>
      <c r="G87" s="360" t="s">
        <v>9</v>
      </c>
      <c r="H87" s="360" t="s">
        <v>10</v>
      </c>
      <c r="I87" s="371" t="s">
        <v>11</v>
      </c>
      <c r="J87" s="371"/>
      <c r="K87" s="374" t="s">
        <v>12</v>
      </c>
      <c r="L87" s="375"/>
      <c r="M87" s="375" t="s">
        <v>13</v>
      </c>
      <c r="N87" s="375"/>
      <c r="O87" s="78"/>
      <c r="P87" s="196"/>
    </row>
    <row r="88" spans="1:16" ht="20.100000000000001" customHeight="1">
      <c r="A88" s="371"/>
      <c r="B88" s="371"/>
      <c r="C88" s="368"/>
      <c r="D88" s="371"/>
      <c r="E88" s="368"/>
      <c r="F88" s="369"/>
      <c r="G88" s="361"/>
      <c r="H88" s="365"/>
      <c r="I88" s="197" t="s">
        <v>16</v>
      </c>
      <c r="J88" s="198" t="s">
        <v>17</v>
      </c>
      <c r="K88" s="84" t="s">
        <v>16</v>
      </c>
      <c r="L88" s="19" t="s">
        <v>17</v>
      </c>
      <c r="M88" s="84" t="s">
        <v>16</v>
      </c>
      <c r="N88" s="19" t="s">
        <v>17</v>
      </c>
      <c r="O88" s="17"/>
      <c r="P88" s="196"/>
    </row>
    <row r="89" spans="1:16" ht="20.100000000000001" customHeight="1">
      <c r="A89" s="18">
        <v>1</v>
      </c>
      <c r="B89" s="21">
        <v>101010397</v>
      </c>
      <c r="C89" s="22" t="s">
        <v>30</v>
      </c>
      <c r="D89" s="22" t="s">
        <v>31</v>
      </c>
      <c r="E89" s="23">
        <v>530</v>
      </c>
      <c r="F89" s="24">
        <v>2880</v>
      </c>
      <c r="G89" s="80">
        <v>1526400</v>
      </c>
      <c r="H89" s="165"/>
      <c r="I89" s="199"/>
      <c r="J89" s="200"/>
      <c r="K89" s="19"/>
      <c r="L89" s="201"/>
      <c r="M89" s="81"/>
      <c r="N89" s="81"/>
      <c r="O89" s="196"/>
      <c r="P89" s="196"/>
    </row>
    <row r="90" spans="1:16" ht="20.100000000000001" customHeight="1">
      <c r="A90" s="18">
        <v>2</v>
      </c>
      <c r="B90" s="21">
        <v>101010099</v>
      </c>
      <c r="C90" s="22" t="s">
        <v>33</v>
      </c>
      <c r="D90" s="22" t="s">
        <v>31</v>
      </c>
      <c r="E90" s="23">
        <v>740</v>
      </c>
      <c r="F90" s="24">
        <v>2760</v>
      </c>
      <c r="G90" s="25">
        <v>2042400</v>
      </c>
      <c r="H90" s="165">
        <v>822.69</v>
      </c>
      <c r="I90" s="199">
        <v>3297</v>
      </c>
      <c r="J90" s="200">
        <f>H90*I90</f>
        <v>2712408.93</v>
      </c>
      <c r="K90" s="81">
        <v>713</v>
      </c>
      <c r="L90" s="202">
        <v>586577.97000000009</v>
      </c>
      <c r="M90" s="81">
        <v>1781</v>
      </c>
      <c r="N90" s="203">
        <v>1465210.89</v>
      </c>
    </row>
    <row r="91" spans="1:16" ht="20.100000000000001" customHeight="1">
      <c r="A91" s="18">
        <v>3</v>
      </c>
      <c r="B91" s="21">
        <v>101010114</v>
      </c>
      <c r="C91" s="22" t="s">
        <v>35</v>
      </c>
      <c r="D91" s="22" t="s">
        <v>31</v>
      </c>
      <c r="E91" s="23">
        <v>165</v>
      </c>
      <c r="F91" s="24">
        <v>1830</v>
      </c>
      <c r="G91" s="25">
        <v>301950</v>
      </c>
      <c r="H91" s="165">
        <v>204.38</v>
      </c>
      <c r="I91" s="199">
        <v>665</v>
      </c>
      <c r="J91" s="200">
        <f>H91*I91</f>
        <v>135912.69999999998</v>
      </c>
      <c r="K91" s="81">
        <v>292</v>
      </c>
      <c r="L91" s="202">
        <v>59678.96</v>
      </c>
      <c r="M91" s="81">
        <v>313</v>
      </c>
      <c r="N91" s="203">
        <v>63970.939999999995</v>
      </c>
    </row>
    <row r="92" spans="1:16" ht="20.100000000000001" customHeight="1">
      <c r="A92" s="18">
        <v>4</v>
      </c>
      <c r="B92" s="21">
        <v>101010115</v>
      </c>
      <c r="C92" s="22" t="s">
        <v>37</v>
      </c>
      <c r="D92" s="22" t="s">
        <v>31</v>
      </c>
      <c r="E92" s="23">
        <v>200</v>
      </c>
      <c r="F92" s="24">
        <v>1140</v>
      </c>
      <c r="G92" s="25">
        <v>228000</v>
      </c>
      <c r="H92" s="165">
        <v>273.45</v>
      </c>
      <c r="I92" s="199">
        <v>894</v>
      </c>
      <c r="J92" s="200">
        <f>H92*I92</f>
        <v>244464.3</v>
      </c>
      <c r="K92" s="81">
        <v>158</v>
      </c>
      <c r="L92" s="202">
        <v>43205.1</v>
      </c>
      <c r="M92" s="81">
        <v>404</v>
      </c>
      <c r="N92" s="203">
        <v>110473.79999999999</v>
      </c>
    </row>
    <row r="93" spans="1:16" ht="20.100000000000001" customHeight="1">
      <c r="A93" s="18">
        <v>5</v>
      </c>
      <c r="B93" s="21">
        <v>101010294</v>
      </c>
      <c r="C93" s="22" t="s">
        <v>39</v>
      </c>
      <c r="D93" s="22" t="s">
        <v>31</v>
      </c>
      <c r="E93" s="23">
        <v>145</v>
      </c>
      <c r="F93" s="24">
        <v>0</v>
      </c>
      <c r="G93" s="25">
        <v>0</v>
      </c>
      <c r="H93" s="165"/>
      <c r="I93" s="199"/>
      <c r="J93" s="204"/>
      <c r="K93" s="81"/>
      <c r="L93" s="201"/>
      <c r="M93" s="81"/>
      <c r="N93" s="81"/>
    </row>
    <row r="94" spans="1:16" ht="20.100000000000001" customHeight="1">
      <c r="A94" s="18">
        <v>6</v>
      </c>
      <c r="B94" s="21">
        <v>101010297</v>
      </c>
      <c r="C94" s="22" t="s">
        <v>41</v>
      </c>
      <c r="D94" s="22" t="s">
        <v>31</v>
      </c>
      <c r="E94" s="23">
        <v>180</v>
      </c>
      <c r="F94" s="24">
        <v>0</v>
      </c>
      <c r="G94" s="25">
        <v>0</v>
      </c>
      <c r="H94" s="165"/>
      <c r="I94" s="199"/>
      <c r="J94" s="204"/>
      <c r="K94" s="81"/>
      <c r="L94" s="201"/>
      <c r="M94" s="81"/>
      <c r="N94" s="81"/>
    </row>
    <row r="95" spans="1:16" ht="20.100000000000001" customHeight="1">
      <c r="A95" s="18">
        <v>7</v>
      </c>
      <c r="B95" s="21">
        <v>101010036</v>
      </c>
      <c r="C95" s="22" t="s">
        <v>42</v>
      </c>
      <c r="D95" s="22" t="s">
        <v>31</v>
      </c>
      <c r="E95" s="23">
        <v>168</v>
      </c>
      <c r="F95" s="24">
        <v>1620</v>
      </c>
      <c r="G95" s="25">
        <v>272160</v>
      </c>
      <c r="H95" s="165">
        <v>200.27</v>
      </c>
      <c r="I95" s="199">
        <v>1581</v>
      </c>
      <c r="J95" s="200">
        <f>H95*I95</f>
        <v>316626.87</v>
      </c>
      <c r="K95" s="81">
        <v>368</v>
      </c>
      <c r="L95" s="202">
        <v>73699.360000000001</v>
      </c>
      <c r="M95" s="81">
        <v>965</v>
      </c>
      <c r="N95" s="203">
        <v>193260.55</v>
      </c>
    </row>
    <row r="96" spans="1:16" ht="20.100000000000001" customHeight="1">
      <c r="A96" s="18">
        <v>8</v>
      </c>
      <c r="B96" s="21">
        <v>101010024</v>
      </c>
      <c r="C96" s="22" t="s">
        <v>48</v>
      </c>
      <c r="D96" s="22" t="s">
        <v>31</v>
      </c>
      <c r="E96" s="23">
        <v>37.869999999999997</v>
      </c>
      <c r="F96" s="24">
        <v>990</v>
      </c>
      <c r="G96" s="25">
        <v>37491.300000000003</v>
      </c>
      <c r="H96" s="165">
        <v>54.37</v>
      </c>
      <c r="I96" s="199">
        <v>1476</v>
      </c>
      <c r="J96" s="200">
        <f>H96*I96</f>
        <v>80250.12</v>
      </c>
      <c r="K96" s="81">
        <v>149</v>
      </c>
      <c r="L96" s="202">
        <v>8101.1299999999992</v>
      </c>
      <c r="M96" s="81">
        <v>1169</v>
      </c>
      <c r="N96" s="203">
        <v>63558.53</v>
      </c>
    </row>
    <row r="97" spans="1:14" ht="20.100000000000001" customHeight="1">
      <c r="A97" s="18">
        <v>9</v>
      </c>
      <c r="B97" s="21">
        <v>101010503</v>
      </c>
      <c r="C97" s="22" t="s">
        <v>50</v>
      </c>
      <c r="D97" s="22" t="s">
        <v>31</v>
      </c>
      <c r="E97" s="23">
        <v>75</v>
      </c>
      <c r="F97" s="24">
        <v>0</v>
      </c>
      <c r="G97" s="25">
        <v>0</v>
      </c>
      <c r="H97" s="165"/>
      <c r="I97" s="199"/>
      <c r="J97" s="204"/>
      <c r="K97" s="81"/>
      <c r="L97" s="201"/>
      <c r="M97" s="81"/>
      <c r="N97" s="81"/>
    </row>
    <row r="98" spans="1:14" ht="20.100000000000001" customHeight="1">
      <c r="A98" s="18">
        <v>10</v>
      </c>
      <c r="B98" s="21">
        <v>101010502</v>
      </c>
      <c r="C98" s="22" t="s">
        <v>52</v>
      </c>
      <c r="D98" s="22" t="s">
        <v>31</v>
      </c>
      <c r="E98" s="23">
        <v>63</v>
      </c>
      <c r="F98" s="24">
        <v>0</v>
      </c>
      <c r="G98" s="25">
        <v>0</v>
      </c>
      <c r="H98" s="165"/>
      <c r="I98" s="199"/>
      <c r="J98" s="204"/>
      <c r="K98" s="81"/>
      <c r="L98" s="201"/>
      <c r="M98" s="81"/>
      <c r="N98" s="81"/>
    </row>
    <row r="99" spans="1:14" ht="20.100000000000001" customHeight="1">
      <c r="A99" s="18">
        <v>11</v>
      </c>
      <c r="B99" s="27">
        <v>101010501</v>
      </c>
      <c r="C99" s="27" t="s">
        <v>54</v>
      </c>
      <c r="D99" s="27" t="s">
        <v>55</v>
      </c>
      <c r="E99" s="28">
        <v>11</v>
      </c>
      <c r="F99" s="24">
        <v>0</v>
      </c>
      <c r="G99" s="25">
        <v>0</v>
      </c>
      <c r="H99" s="165">
        <v>17.75</v>
      </c>
      <c r="I99" s="199">
        <v>1366</v>
      </c>
      <c r="J99" s="200">
        <f>H99*I99</f>
        <v>24246.5</v>
      </c>
      <c r="K99" s="81">
        <v>306</v>
      </c>
      <c r="L99" s="202">
        <v>5431.5</v>
      </c>
      <c r="M99" s="81">
        <v>660</v>
      </c>
      <c r="N99" s="203">
        <v>11715</v>
      </c>
    </row>
    <row r="100" spans="1:14" ht="20.100000000000001" customHeight="1">
      <c r="A100" s="18">
        <v>12</v>
      </c>
      <c r="B100" s="27">
        <v>101010504</v>
      </c>
      <c r="C100" s="27" t="s">
        <v>57</v>
      </c>
      <c r="D100" s="27" t="s">
        <v>31</v>
      </c>
      <c r="E100" s="28">
        <v>12</v>
      </c>
      <c r="F100" s="24">
        <v>0</v>
      </c>
      <c r="G100" s="25">
        <v>0</v>
      </c>
      <c r="H100" s="165">
        <v>25</v>
      </c>
      <c r="I100" s="199"/>
      <c r="J100" s="204"/>
      <c r="K100" s="81"/>
      <c r="L100" s="201">
        <v>0</v>
      </c>
      <c r="M100" s="81">
        <v>17</v>
      </c>
      <c r="N100" s="81">
        <v>425</v>
      </c>
    </row>
    <row r="101" spans="1:14" ht="20.100000000000001" customHeight="1">
      <c r="A101" s="18">
        <v>13</v>
      </c>
      <c r="B101" s="27">
        <v>101010521</v>
      </c>
      <c r="C101" s="27" t="s">
        <v>58</v>
      </c>
      <c r="D101" s="27" t="s">
        <v>31</v>
      </c>
      <c r="E101" s="28">
        <v>740</v>
      </c>
      <c r="F101" s="24">
        <v>0</v>
      </c>
      <c r="G101" s="25">
        <v>0</v>
      </c>
      <c r="H101" s="165">
        <v>967</v>
      </c>
      <c r="I101" s="199">
        <v>28</v>
      </c>
      <c r="J101" s="200">
        <f>H101*I101</f>
        <v>27076</v>
      </c>
      <c r="K101" s="81"/>
      <c r="L101" s="202">
        <v>0</v>
      </c>
      <c r="M101" s="81">
        <v>28</v>
      </c>
      <c r="N101" s="203">
        <v>27076</v>
      </c>
    </row>
    <row r="102" spans="1:14" ht="20.100000000000001" customHeight="1">
      <c r="A102" s="18">
        <v>14</v>
      </c>
      <c r="B102" s="27">
        <v>101010525</v>
      </c>
      <c r="C102" s="27" t="s">
        <v>59</v>
      </c>
      <c r="D102" s="27" t="s">
        <v>60</v>
      </c>
      <c r="E102" s="28">
        <v>468</v>
      </c>
      <c r="F102" s="24">
        <v>0</v>
      </c>
      <c r="G102" s="25">
        <v>0</v>
      </c>
      <c r="H102" s="165"/>
      <c r="I102" s="199"/>
      <c r="J102" s="204"/>
      <c r="K102" s="81"/>
      <c r="L102" s="201"/>
      <c r="M102" s="81"/>
      <c r="N102" s="81"/>
    </row>
    <row r="103" spans="1:14" ht="20.100000000000001" customHeight="1">
      <c r="A103" s="18">
        <v>15</v>
      </c>
      <c r="B103" s="27">
        <v>101020055</v>
      </c>
      <c r="C103" s="27" t="s">
        <v>64</v>
      </c>
      <c r="D103" s="27" t="s">
        <v>65</v>
      </c>
      <c r="E103" s="28">
        <v>268</v>
      </c>
      <c r="F103" s="24">
        <v>0</v>
      </c>
      <c r="G103" s="25">
        <v>0</v>
      </c>
      <c r="H103" s="165">
        <v>437.1</v>
      </c>
      <c r="I103" s="199">
        <v>32</v>
      </c>
      <c r="J103" s="200">
        <f>H103*I103</f>
        <v>13987.2</v>
      </c>
      <c r="K103" s="81">
        <v>77</v>
      </c>
      <c r="L103" s="202">
        <v>33656.700000000004</v>
      </c>
      <c r="M103" s="81">
        <v>29</v>
      </c>
      <c r="N103" s="203">
        <v>12675.900000000001</v>
      </c>
    </row>
    <row r="104" spans="1:14" ht="20.100000000000001" customHeight="1">
      <c r="A104" s="18">
        <v>16</v>
      </c>
      <c r="B104" s="27">
        <v>101020063</v>
      </c>
      <c r="C104" s="27" t="s">
        <v>69</v>
      </c>
      <c r="D104" s="27" t="s">
        <v>70</v>
      </c>
      <c r="E104" s="28">
        <v>2220</v>
      </c>
      <c r="F104" s="24">
        <v>0</v>
      </c>
      <c r="G104" s="25">
        <v>0</v>
      </c>
      <c r="H104" s="165">
        <v>2772.73</v>
      </c>
      <c r="I104" s="199">
        <v>11</v>
      </c>
      <c r="J104" s="200">
        <f>H104*I104</f>
        <v>30500.03</v>
      </c>
      <c r="K104" s="81"/>
      <c r="L104" s="202"/>
      <c r="M104" s="81">
        <v>11</v>
      </c>
      <c r="N104" s="203">
        <v>30500.03</v>
      </c>
    </row>
    <row r="105" spans="1:14" ht="20.100000000000001" customHeight="1">
      <c r="A105" s="18">
        <v>17</v>
      </c>
      <c r="B105" s="27">
        <v>103090047</v>
      </c>
      <c r="C105" s="27" t="s">
        <v>72</v>
      </c>
      <c r="D105" s="27" t="s">
        <v>31</v>
      </c>
      <c r="E105" s="28">
        <v>85</v>
      </c>
      <c r="F105" s="24">
        <v>0</v>
      </c>
      <c r="G105" s="25">
        <v>0</v>
      </c>
      <c r="H105" s="165"/>
      <c r="I105" s="199"/>
      <c r="J105" s="204"/>
      <c r="K105" s="81"/>
      <c r="L105" s="201"/>
      <c r="M105" s="81"/>
      <c r="N105" s="81"/>
    </row>
    <row r="106" spans="1:14" ht="20.100000000000001" customHeight="1">
      <c r="A106" s="18">
        <v>18</v>
      </c>
      <c r="B106" s="27">
        <v>103090048</v>
      </c>
      <c r="C106" s="27" t="s">
        <v>74</v>
      </c>
      <c r="D106" s="27" t="s">
        <v>31</v>
      </c>
      <c r="E106" s="28">
        <v>85</v>
      </c>
      <c r="F106" s="24">
        <v>0</v>
      </c>
      <c r="G106" s="25">
        <v>0</v>
      </c>
      <c r="H106" s="165"/>
      <c r="I106" s="199"/>
      <c r="J106" s="204"/>
      <c r="K106" s="81"/>
      <c r="L106" s="202"/>
      <c r="M106" s="81"/>
      <c r="N106" s="203"/>
    </row>
    <row r="107" spans="1:14" s="14" customFormat="1" ht="20.100000000000001" customHeight="1">
      <c r="A107" s="143" t="s">
        <v>76</v>
      </c>
      <c r="B107" s="166"/>
      <c r="C107" s="167"/>
      <c r="D107" s="168"/>
      <c r="E107" s="143"/>
      <c r="F107" s="143"/>
      <c r="G107" s="169"/>
      <c r="H107" s="170"/>
      <c r="I107" s="205">
        <f t="shared" ref="I107:N107" si="10">SUM(I90:I105)</f>
        <v>9350</v>
      </c>
      <c r="J107" s="206">
        <f t="shared" si="10"/>
        <v>3585472.6500000004</v>
      </c>
      <c r="K107" s="81">
        <f t="shared" si="10"/>
        <v>2063</v>
      </c>
      <c r="L107" s="201">
        <f t="shared" si="10"/>
        <v>810350.72</v>
      </c>
      <c r="M107" s="81">
        <f t="shared" si="10"/>
        <v>5377</v>
      </c>
      <c r="N107" s="81">
        <f t="shared" si="10"/>
        <v>1978866.64</v>
      </c>
    </row>
    <row r="108" spans="1:14" s="14" customFormat="1" ht="20.100000000000001" customHeight="1">
      <c r="A108" s="143" t="s">
        <v>100</v>
      </c>
      <c r="B108" s="168"/>
      <c r="C108" s="167"/>
      <c r="D108" s="168"/>
      <c r="E108" s="143"/>
      <c r="F108" s="143"/>
      <c r="G108" s="169"/>
      <c r="H108" s="170"/>
      <c r="I108" s="205">
        <v>107236</v>
      </c>
      <c r="J108" s="206">
        <v>33470166.82</v>
      </c>
      <c r="K108" s="81"/>
      <c r="L108" s="202"/>
      <c r="M108" s="81"/>
      <c r="N108" s="203"/>
    </row>
    <row r="109" spans="1:14" s="14" customFormat="1" ht="20.100000000000001" customHeight="1">
      <c r="A109" s="150" t="s">
        <v>101</v>
      </c>
      <c r="B109" s="171"/>
      <c r="C109" s="167"/>
      <c r="D109" s="172"/>
      <c r="E109" s="150"/>
      <c r="F109" s="150"/>
      <c r="G109" s="173"/>
      <c r="H109" s="170"/>
      <c r="I109" s="207">
        <f>I107/I108</f>
        <v>8.7190868738110341E-2</v>
      </c>
      <c r="J109" s="208">
        <f>J107/J108</f>
        <v>0.10712443320890506</v>
      </c>
      <c r="K109" s="209"/>
      <c r="L109" s="210"/>
      <c r="M109" s="211"/>
      <c r="N109" s="212"/>
    </row>
    <row r="110" spans="1:14">
      <c r="A110" s="152"/>
      <c r="B110" s="151"/>
      <c r="C110" s="48" t="s">
        <v>33</v>
      </c>
      <c r="D110" s="22" t="s">
        <v>31</v>
      </c>
      <c r="E110" s="152"/>
      <c r="F110" s="152"/>
      <c r="G110" s="153"/>
      <c r="H110" s="165">
        <v>822.69</v>
      </c>
      <c r="I110" s="199">
        <v>3297</v>
      </c>
      <c r="J110" s="200">
        <f>H110*I110</f>
        <v>2712408.93</v>
      </c>
      <c r="K110" s="81"/>
      <c r="L110" s="202"/>
      <c r="M110" s="81"/>
      <c r="N110" s="203"/>
    </row>
    <row r="111" spans="1:14">
      <c r="A111" s="152"/>
      <c r="B111" s="151"/>
      <c r="C111" s="174"/>
      <c r="D111" s="175"/>
      <c r="E111" s="152"/>
      <c r="F111" s="152"/>
      <c r="G111" s="153"/>
      <c r="H111" s="165"/>
      <c r="I111" s="199"/>
      <c r="J111" s="213">
        <f>J110/J108</f>
        <v>8.1039599969343692E-2</v>
      </c>
      <c r="K111" s="81"/>
      <c r="L111" s="214"/>
      <c r="M111" s="81"/>
      <c r="N111" s="215"/>
    </row>
    <row r="112" spans="1:14">
      <c r="A112" s="152"/>
      <c r="B112" s="151"/>
      <c r="C112" s="48" t="s">
        <v>42</v>
      </c>
      <c r="D112" s="22" t="s">
        <v>31</v>
      </c>
      <c r="E112" s="152"/>
      <c r="F112" s="152"/>
      <c r="G112" s="153"/>
      <c r="H112" s="165">
        <v>200.27</v>
      </c>
      <c r="I112" s="199">
        <v>1581</v>
      </c>
      <c r="J112" s="200">
        <f>H112*I112</f>
        <v>316626.87</v>
      </c>
      <c r="K112" s="81"/>
      <c r="L112" s="202"/>
      <c r="M112" s="81"/>
      <c r="N112" s="203"/>
    </row>
    <row r="113" spans="1:16">
      <c r="A113" s="152"/>
      <c r="B113" s="151"/>
      <c r="C113" s="174"/>
      <c r="D113" s="175"/>
      <c r="E113" s="152"/>
      <c r="F113" s="152"/>
      <c r="G113" s="153"/>
      <c r="H113" s="165"/>
      <c r="I113" s="199"/>
      <c r="J113" s="213">
        <f>J112/J108</f>
        <v>9.4599728678615522E-3</v>
      </c>
      <c r="K113" s="81"/>
      <c r="L113" s="214"/>
      <c r="M113" s="81"/>
      <c r="N113" s="215"/>
    </row>
    <row r="114" spans="1:16">
      <c r="A114" s="176" t="s">
        <v>82</v>
      </c>
      <c r="B114" s="27">
        <v>101010001</v>
      </c>
      <c r="C114" s="27" t="s">
        <v>84</v>
      </c>
      <c r="D114" s="27" t="s">
        <v>31</v>
      </c>
      <c r="E114" s="177"/>
      <c r="F114" s="176"/>
      <c r="G114" s="178"/>
      <c r="H114" s="165">
        <v>886.5</v>
      </c>
      <c r="I114" s="199">
        <v>5000</v>
      </c>
      <c r="J114" s="200">
        <f>H114*I114</f>
        <v>4432500</v>
      </c>
      <c r="K114" s="81">
        <v>961</v>
      </c>
      <c r="L114" s="202">
        <v>851926.5</v>
      </c>
      <c r="M114" s="81">
        <v>2603</v>
      </c>
      <c r="N114" s="203">
        <v>2307559.5</v>
      </c>
    </row>
    <row r="115" spans="1:16">
      <c r="A115" s="176"/>
      <c r="B115" s="27"/>
      <c r="C115" s="27"/>
      <c r="D115" s="27"/>
      <c r="E115" s="177"/>
      <c r="F115" s="176"/>
      <c r="G115" s="178"/>
      <c r="H115" s="165"/>
      <c r="I115" s="199"/>
      <c r="J115" s="216">
        <f>J114/J108</f>
        <v>0.13243136862261984</v>
      </c>
      <c r="K115" s="81"/>
      <c r="L115" s="217"/>
      <c r="M115" s="81"/>
      <c r="N115" s="218"/>
    </row>
    <row r="116" spans="1:16">
      <c r="A116" s="176" t="s">
        <v>82</v>
      </c>
      <c r="B116" s="27">
        <v>101010002</v>
      </c>
      <c r="C116" s="27" t="s">
        <v>83</v>
      </c>
      <c r="D116" s="27" t="s">
        <v>31</v>
      </c>
      <c r="E116" s="177"/>
      <c r="F116" s="176"/>
      <c r="G116" s="178"/>
      <c r="H116" s="165">
        <v>382.5</v>
      </c>
      <c r="I116" s="199">
        <v>3699</v>
      </c>
      <c r="J116" s="200">
        <f>H116*I116</f>
        <v>1414867.5</v>
      </c>
      <c r="K116" s="81">
        <v>1089</v>
      </c>
      <c r="L116" s="202">
        <v>416542.5</v>
      </c>
      <c r="M116" s="81">
        <v>1685</v>
      </c>
      <c r="N116" s="203">
        <v>644512.5</v>
      </c>
    </row>
    <row r="117" spans="1:16">
      <c r="A117" s="176"/>
      <c r="B117" s="27"/>
      <c r="C117" s="27"/>
      <c r="D117" s="27"/>
      <c r="E117" s="177"/>
      <c r="F117" s="176"/>
      <c r="G117" s="178"/>
      <c r="H117" s="165"/>
      <c r="I117" s="199"/>
      <c r="J117" s="216">
        <f>J116/J108</f>
        <v>4.227249620861017E-2</v>
      </c>
      <c r="K117" s="81"/>
      <c r="L117" s="217"/>
      <c r="M117" s="81"/>
      <c r="N117" s="218"/>
    </row>
    <row r="118" spans="1:16">
      <c r="A118" s="176" t="s">
        <v>82</v>
      </c>
      <c r="B118" s="27">
        <v>101010003</v>
      </c>
      <c r="C118" s="27" t="s">
        <v>102</v>
      </c>
      <c r="D118" s="27" t="s">
        <v>86</v>
      </c>
      <c r="E118" s="177"/>
      <c r="F118" s="176"/>
      <c r="G118" s="178"/>
      <c r="H118" s="165">
        <v>137.59</v>
      </c>
      <c r="I118" s="199">
        <v>1237</v>
      </c>
      <c r="J118" s="200">
        <f>H118*I118</f>
        <v>170198.83000000002</v>
      </c>
      <c r="K118" s="81">
        <v>147</v>
      </c>
      <c r="L118" s="202">
        <v>20225.73</v>
      </c>
      <c r="M118" s="81">
        <v>651</v>
      </c>
      <c r="N118" s="203">
        <v>89571.09</v>
      </c>
    </row>
    <row r="119" spans="1:16">
      <c r="A119" s="157">
        <v>1</v>
      </c>
      <c r="B119" s="21">
        <v>104020590</v>
      </c>
      <c r="C119" s="22" t="s">
        <v>88</v>
      </c>
      <c r="D119" s="27" t="s">
        <v>89</v>
      </c>
      <c r="E119" s="177">
        <v>40.909999999999997</v>
      </c>
      <c r="F119" s="176">
        <v>2400</v>
      </c>
      <c r="G119" s="178">
        <v>108000</v>
      </c>
      <c r="H119" s="165">
        <v>91.83</v>
      </c>
      <c r="I119" s="199">
        <v>3923</v>
      </c>
      <c r="J119" s="200">
        <f>H119*I119</f>
        <v>360249.08999999997</v>
      </c>
      <c r="K119" s="81">
        <v>24</v>
      </c>
      <c r="L119" s="202">
        <v>2203.92</v>
      </c>
      <c r="M119" s="81">
        <v>2624</v>
      </c>
      <c r="N119" s="203">
        <v>240961.92000000001</v>
      </c>
    </row>
    <row r="120" spans="1:16">
      <c r="A120" s="157">
        <v>2</v>
      </c>
      <c r="B120" s="21">
        <v>104020591</v>
      </c>
      <c r="C120" s="22" t="s">
        <v>90</v>
      </c>
      <c r="D120" s="27" t="s">
        <v>89</v>
      </c>
      <c r="E120" s="177">
        <v>90</v>
      </c>
      <c r="F120" s="176">
        <v>780</v>
      </c>
      <c r="G120" s="178">
        <v>70200</v>
      </c>
      <c r="H120" s="165">
        <v>147.25</v>
      </c>
      <c r="I120" s="199">
        <v>685</v>
      </c>
      <c r="J120" s="200">
        <f>H120*I120</f>
        <v>100866.25</v>
      </c>
      <c r="K120" s="81">
        <v>12</v>
      </c>
      <c r="L120" s="202">
        <v>1767</v>
      </c>
      <c r="M120" s="81">
        <v>583</v>
      </c>
      <c r="N120" s="203">
        <v>85846.75</v>
      </c>
    </row>
    <row r="121" spans="1:16">
      <c r="A121" s="157">
        <v>3</v>
      </c>
      <c r="B121" s="21">
        <v>104020592</v>
      </c>
      <c r="C121" s="22" t="s">
        <v>91</v>
      </c>
      <c r="D121" s="27" t="s">
        <v>89</v>
      </c>
      <c r="E121" s="177">
        <v>149</v>
      </c>
      <c r="F121" s="176">
        <v>480</v>
      </c>
      <c r="G121" s="178">
        <v>71520</v>
      </c>
      <c r="H121" s="165">
        <v>329.41</v>
      </c>
      <c r="I121" s="199">
        <v>78</v>
      </c>
      <c r="J121" s="200">
        <f>H121*I121</f>
        <v>25693.980000000003</v>
      </c>
      <c r="K121" s="219">
        <v>8</v>
      </c>
      <c r="L121" s="220">
        <v>2635.28</v>
      </c>
      <c r="M121" s="221">
        <v>32</v>
      </c>
      <c r="N121" s="222">
        <v>10541.12</v>
      </c>
    </row>
    <row r="122" spans="1:16" s="14" customFormat="1" ht="20.100000000000001" customHeight="1">
      <c r="A122" s="158" t="s">
        <v>92</v>
      </c>
      <c r="B122" s="159"/>
      <c r="C122" s="160"/>
      <c r="D122" s="161"/>
      <c r="E122" s="161"/>
      <c r="F122" s="161"/>
      <c r="G122" s="162"/>
      <c r="H122" s="170"/>
      <c r="I122" s="205">
        <f t="shared" ref="I122:N122" si="11">SUM(I119:I121)</f>
        <v>4686</v>
      </c>
      <c r="J122" s="205">
        <f t="shared" si="11"/>
        <v>486809.31999999995</v>
      </c>
      <c r="K122" s="223">
        <f t="shared" si="11"/>
        <v>44</v>
      </c>
      <c r="L122" s="223">
        <f t="shared" si="11"/>
        <v>6606.2000000000007</v>
      </c>
      <c r="M122" s="223">
        <f t="shared" si="11"/>
        <v>3239</v>
      </c>
      <c r="N122" s="223">
        <f t="shared" si="11"/>
        <v>337349.79000000004</v>
      </c>
      <c r="O122" s="224"/>
      <c r="P122" s="224"/>
    </row>
    <row r="123" spans="1:16" s="14" customFormat="1" ht="20.100000000000001" customHeight="1">
      <c r="A123" s="158" t="s">
        <v>103</v>
      </c>
      <c r="B123" s="159"/>
      <c r="C123" s="160"/>
      <c r="D123" s="161"/>
      <c r="E123" s="161"/>
      <c r="F123" s="161"/>
      <c r="G123" s="162"/>
      <c r="H123" s="170"/>
      <c r="I123" s="205">
        <v>43898</v>
      </c>
      <c r="J123" s="205">
        <v>4024733</v>
      </c>
      <c r="K123" s="93"/>
      <c r="L123" s="225"/>
      <c r="M123" s="81"/>
      <c r="N123" s="226"/>
      <c r="O123" s="224"/>
      <c r="P123" s="224"/>
    </row>
    <row r="124" spans="1:16" s="14" customFormat="1" ht="20.100000000000001" customHeight="1">
      <c r="A124" s="158" t="s">
        <v>104</v>
      </c>
      <c r="B124" s="159"/>
      <c r="C124" s="160"/>
      <c r="D124" s="161"/>
      <c r="E124" s="161"/>
      <c r="F124" s="161"/>
      <c r="G124" s="162"/>
      <c r="H124" s="170"/>
      <c r="I124" s="207">
        <f>I122/I123</f>
        <v>0.10674746002095767</v>
      </c>
      <c r="J124" s="207">
        <f>J122/J123</f>
        <v>0.12095443846834061</v>
      </c>
      <c r="K124" s="93"/>
      <c r="L124" s="225"/>
      <c r="M124" s="81"/>
      <c r="N124" s="227"/>
      <c r="O124" s="228"/>
      <c r="P124" s="228"/>
    </row>
    <row r="125" spans="1:16">
      <c r="A125" s="179"/>
      <c r="B125" s="180"/>
      <c r="C125" s="181"/>
      <c r="D125" s="182"/>
      <c r="E125" s="182"/>
      <c r="F125" s="182"/>
      <c r="G125" s="183"/>
      <c r="H125" s="184"/>
      <c r="I125" s="199"/>
      <c r="J125" s="199"/>
      <c r="K125" s="93"/>
      <c r="L125" s="225"/>
      <c r="M125" s="81"/>
      <c r="N125" s="81"/>
      <c r="O125" s="196"/>
      <c r="P125" s="196"/>
    </row>
    <row r="126" spans="1:16" ht="18">
      <c r="A126" s="376" t="s">
        <v>105</v>
      </c>
      <c r="B126" s="377"/>
      <c r="C126" s="377"/>
      <c r="D126" s="16"/>
      <c r="E126" s="16"/>
      <c r="F126" s="16"/>
      <c r="G126" s="16"/>
      <c r="H126" s="78"/>
      <c r="I126" s="229"/>
      <c r="J126" s="229"/>
      <c r="K126" s="196"/>
      <c r="L126" s="196"/>
      <c r="M126" s="196"/>
      <c r="N126" s="196"/>
      <c r="O126" s="196"/>
      <c r="P126" s="196"/>
    </row>
    <row r="127" spans="1:16">
      <c r="A127" s="381" t="s">
        <v>3</v>
      </c>
      <c r="B127" s="370" t="s">
        <v>4</v>
      </c>
      <c r="C127" s="364" t="s">
        <v>5</v>
      </c>
      <c r="D127" s="372" t="s">
        <v>6</v>
      </c>
      <c r="E127" s="364" t="s">
        <v>7</v>
      </c>
      <c r="F127" s="364" t="s">
        <v>8</v>
      </c>
      <c r="G127" s="362" t="s">
        <v>9</v>
      </c>
      <c r="H127" s="362" t="s">
        <v>10</v>
      </c>
      <c r="I127" s="378" t="s">
        <v>11</v>
      </c>
      <c r="J127" s="379"/>
      <c r="K127" s="374" t="s">
        <v>12</v>
      </c>
      <c r="L127" s="375"/>
      <c r="M127" s="375" t="s">
        <v>13</v>
      </c>
      <c r="N127" s="375"/>
      <c r="O127" s="78"/>
      <c r="P127" s="78"/>
    </row>
    <row r="128" spans="1:16">
      <c r="A128" s="371"/>
      <c r="B128" s="371"/>
      <c r="C128" s="368"/>
      <c r="D128" s="371"/>
      <c r="E128" s="368"/>
      <c r="F128" s="369"/>
      <c r="G128" s="363"/>
      <c r="H128" s="366"/>
      <c r="I128" s="230" t="s">
        <v>16</v>
      </c>
      <c r="J128" s="231" t="s">
        <v>17</v>
      </c>
      <c r="K128" s="84" t="s">
        <v>16</v>
      </c>
      <c r="L128" s="19" t="s">
        <v>17</v>
      </c>
      <c r="M128" s="84" t="s">
        <v>16</v>
      </c>
      <c r="N128" s="19" t="s">
        <v>17</v>
      </c>
      <c r="O128" s="17"/>
      <c r="P128" s="17"/>
    </row>
    <row r="129" spans="1:14" ht="20.100000000000001" customHeight="1">
      <c r="A129" s="20">
        <v>1</v>
      </c>
      <c r="B129" s="232">
        <v>101010397</v>
      </c>
      <c r="C129" s="233" t="s">
        <v>30</v>
      </c>
      <c r="D129" s="234" t="s">
        <v>31</v>
      </c>
      <c r="E129" s="64">
        <v>530</v>
      </c>
      <c r="F129" s="64"/>
      <c r="G129" s="235"/>
      <c r="H129" s="81"/>
      <c r="I129" s="263"/>
      <c r="J129" s="64"/>
      <c r="K129" s="264"/>
      <c r="L129" s="265"/>
      <c r="M129" s="265"/>
      <c r="N129" s="265"/>
    </row>
    <row r="130" spans="1:14" ht="20.100000000000001" customHeight="1">
      <c r="A130" s="20">
        <v>2</v>
      </c>
      <c r="B130" s="236">
        <v>101010099</v>
      </c>
      <c r="C130" s="233" t="s">
        <v>33</v>
      </c>
      <c r="D130" s="233" t="s">
        <v>31</v>
      </c>
      <c r="E130" s="237">
        <v>740</v>
      </c>
      <c r="F130" s="237"/>
      <c r="G130" s="238"/>
      <c r="H130" s="81">
        <v>831.88</v>
      </c>
      <c r="I130" s="81">
        <v>113</v>
      </c>
      <c r="J130" s="64">
        <f>I130*H130</f>
        <v>94002.44</v>
      </c>
      <c r="K130" s="266"/>
      <c r="L130" s="267"/>
      <c r="M130" s="141">
        <v>75</v>
      </c>
      <c r="N130" s="268">
        <v>62391</v>
      </c>
    </row>
    <row r="131" spans="1:14" ht="20.100000000000001" customHeight="1">
      <c r="A131" s="20">
        <v>3</v>
      </c>
      <c r="B131" s="236">
        <v>101010114</v>
      </c>
      <c r="C131" s="233" t="s">
        <v>35</v>
      </c>
      <c r="D131" s="233" t="s">
        <v>31</v>
      </c>
      <c r="E131" s="237">
        <v>165</v>
      </c>
      <c r="F131" s="237"/>
      <c r="G131" s="238"/>
      <c r="H131" s="81">
        <v>218</v>
      </c>
      <c r="I131" s="81">
        <v>12</v>
      </c>
      <c r="J131" s="64">
        <f>I131*H131</f>
        <v>2616</v>
      </c>
      <c r="K131" s="266"/>
      <c r="L131" s="267"/>
      <c r="M131" s="141">
        <v>7</v>
      </c>
      <c r="N131" s="268">
        <v>1526</v>
      </c>
    </row>
    <row r="132" spans="1:14" ht="20.100000000000001" customHeight="1">
      <c r="A132" s="20">
        <v>4</v>
      </c>
      <c r="B132" s="236">
        <v>101010115</v>
      </c>
      <c r="C132" s="233" t="s">
        <v>37</v>
      </c>
      <c r="D132" s="233" t="s">
        <v>31</v>
      </c>
      <c r="E132" s="237">
        <v>200</v>
      </c>
      <c r="F132" s="237"/>
      <c r="G132" s="238"/>
      <c r="H132" s="81">
        <v>268</v>
      </c>
      <c r="I132" s="81">
        <v>28</v>
      </c>
      <c r="J132" s="64">
        <f>I132*H132</f>
        <v>7504</v>
      </c>
      <c r="K132" s="266"/>
      <c r="L132" s="267"/>
      <c r="M132" s="141">
        <v>12</v>
      </c>
      <c r="N132" s="268">
        <v>3216</v>
      </c>
    </row>
    <row r="133" spans="1:14" ht="20.100000000000001" customHeight="1">
      <c r="A133" s="20">
        <v>5</v>
      </c>
      <c r="B133" s="236">
        <v>101010294</v>
      </c>
      <c r="C133" s="233" t="s">
        <v>39</v>
      </c>
      <c r="D133" s="233" t="s">
        <v>31</v>
      </c>
      <c r="E133" s="237">
        <v>145</v>
      </c>
      <c r="F133" s="237"/>
      <c r="G133" s="238"/>
      <c r="H133" s="81"/>
      <c r="I133" s="81"/>
      <c r="J133" s="81"/>
      <c r="K133" s="266"/>
      <c r="L133" s="267"/>
      <c r="M133" s="269"/>
      <c r="N133" s="267"/>
    </row>
    <row r="134" spans="1:14" ht="20.100000000000001" customHeight="1">
      <c r="A134" s="20">
        <v>6</v>
      </c>
      <c r="B134" s="236">
        <v>101010297</v>
      </c>
      <c r="C134" s="233" t="s">
        <v>41</v>
      </c>
      <c r="D134" s="233" t="s">
        <v>31</v>
      </c>
      <c r="E134" s="237">
        <v>180</v>
      </c>
      <c r="F134" s="237"/>
      <c r="G134" s="238"/>
      <c r="H134" s="81"/>
      <c r="I134" s="81"/>
      <c r="J134" s="81"/>
      <c r="K134" s="266"/>
      <c r="L134" s="267"/>
      <c r="M134" s="269"/>
      <c r="N134" s="267"/>
    </row>
    <row r="135" spans="1:14" ht="20.100000000000001" customHeight="1">
      <c r="A135" s="20">
        <v>7</v>
      </c>
      <c r="B135" s="236">
        <v>101010036</v>
      </c>
      <c r="C135" s="233" t="s">
        <v>42</v>
      </c>
      <c r="D135" s="233" t="s">
        <v>31</v>
      </c>
      <c r="E135" s="237">
        <v>168</v>
      </c>
      <c r="F135" s="237"/>
      <c r="G135" s="238"/>
      <c r="H135" s="81">
        <v>209.95</v>
      </c>
      <c r="I135" s="81">
        <v>126</v>
      </c>
      <c r="J135" s="64">
        <f>I135*H135</f>
        <v>26453.699999999997</v>
      </c>
      <c r="K135" s="266"/>
      <c r="L135" s="267"/>
      <c r="M135" s="141">
        <v>82</v>
      </c>
      <c r="N135" s="268">
        <v>17215.899999999998</v>
      </c>
    </row>
    <row r="136" spans="1:14" ht="20.100000000000001" customHeight="1">
      <c r="A136" s="20">
        <v>8</v>
      </c>
      <c r="B136" s="236">
        <v>101010024</v>
      </c>
      <c r="C136" s="233" t="s">
        <v>48</v>
      </c>
      <c r="D136" s="233" t="s">
        <v>31</v>
      </c>
      <c r="E136" s="237">
        <v>37.869999999999997</v>
      </c>
      <c r="F136" s="237"/>
      <c r="G136" s="238"/>
      <c r="H136" s="81">
        <v>61.09</v>
      </c>
      <c r="I136" s="81">
        <v>144</v>
      </c>
      <c r="J136" s="64">
        <f>I136*H136</f>
        <v>8796.9600000000009</v>
      </c>
      <c r="K136" s="266"/>
      <c r="L136" s="267"/>
      <c r="M136" s="141">
        <v>94</v>
      </c>
      <c r="N136" s="268">
        <v>5742.46</v>
      </c>
    </row>
    <row r="137" spans="1:14" ht="20.100000000000001" customHeight="1">
      <c r="A137" s="20">
        <v>9</v>
      </c>
      <c r="B137" s="236">
        <v>101010503</v>
      </c>
      <c r="C137" s="233" t="s">
        <v>50</v>
      </c>
      <c r="D137" s="233" t="s">
        <v>31</v>
      </c>
      <c r="E137" s="237">
        <v>75</v>
      </c>
      <c r="F137" s="237"/>
      <c r="G137" s="238"/>
      <c r="H137" s="81"/>
      <c r="I137" s="81"/>
      <c r="J137" s="81"/>
      <c r="K137" s="266"/>
      <c r="L137" s="267"/>
      <c r="M137" s="269"/>
      <c r="N137" s="267"/>
    </row>
    <row r="138" spans="1:14" ht="20.100000000000001" customHeight="1">
      <c r="A138" s="20">
        <v>10</v>
      </c>
      <c r="B138" s="236">
        <v>101010502</v>
      </c>
      <c r="C138" s="233" t="s">
        <v>52</v>
      </c>
      <c r="D138" s="233" t="s">
        <v>31</v>
      </c>
      <c r="E138" s="237">
        <v>63</v>
      </c>
      <c r="F138" s="237"/>
      <c r="G138" s="238"/>
      <c r="H138" s="81"/>
      <c r="I138" s="81"/>
      <c r="J138" s="81"/>
      <c r="K138" s="266"/>
      <c r="L138" s="267"/>
      <c r="M138" s="269"/>
      <c r="N138" s="267"/>
    </row>
    <row r="139" spans="1:14" ht="20.100000000000001" customHeight="1">
      <c r="A139" s="20">
        <v>11</v>
      </c>
      <c r="B139" s="239">
        <v>101010501</v>
      </c>
      <c r="C139" s="240" t="s">
        <v>54</v>
      </c>
      <c r="D139" s="240" t="s">
        <v>55</v>
      </c>
      <c r="E139" s="241">
        <v>11</v>
      </c>
      <c r="F139" s="241"/>
      <c r="G139" s="242"/>
      <c r="H139" s="81"/>
      <c r="I139" s="81"/>
      <c r="J139" s="81"/>
      <c r="K139" s="266"/>
      <c r="L139" s="267"/>
      <c r="M139" s="269"/>
      <c r="N139" s="267"/>
    </row>
    <row r="140" spans="1:14" ht="20.100000000000001" customHeight="1">
      <c r="A140" s="20">
        <v>12</v>
      </c>
      <c r="B140" s="239">
        <v>101010504</v>
      </c>
      <c r="C140" s="240" t="s">
        <v>57</v>
      </c>
      <c r="D140" s="240" t="s">
        <v>31</v>
      </c>
      <c r="E140" s="241">
        <v>12</v>
      </c>
      <c r="F140" s="241"/>
      <c r="G140" s="242"/>
      <c r="H140" s="81">
        <v>25</v>
      </c>
      <c r="I140" s="81">
        <v>22</v>
      </c>
      <c r="J140" s="64">
        <f>I140*H140</f>
        <v>550</v>
      </c>
      <c r="K140" s="266">
        <v>1</v>
      </c>
      <c r="L140" s="267">
        <v>25</v>
      </c>
      <c r="M140" s="141">
        <v>17</v>
      </c>
      <c r="N140" s="268">
        <v>425</v>
      </c>
    </row>
    <row r="141" spans="1:14" ht="20.100000000000001" customHeight="1">
      <c r="A141" s="20">
        <v>13</v>
      </c>
      <c r="B141" s="239">
        <v>101010521</v>
      </c>
      <c r="C141" s="240" t="s">
        <v>58</v>
      </c>
      <c r="D141" s="240" t="s">
        <v>31</v>
      </c>
      <c r="E141" s="241">
        <v>740</v>
      </c>
      <c r="F141" s="241"/>
      <c r="G141" s="242"/>
      <c r="H141" s="81"/>
      <c r="I141" s="81"/>
      <c r="J141" s="81"/>
      <c r="K141" s="266"/>
      <c r="L141" s="267"/>
      <c r="M141" s="269"/>
      <c r="N141" s="267"/>
    </row>
    <row r="142" spans="1:14" ht="20.100000000000001" customHeight="1">
      <c r="A142" s="20">
        <v>14</v>
      </c>
      <c r="B142" s="239">
        <v>101010525</v>
      </c>
      <c r="C142" s="240" t="s">
        <v>59</v>
      </c>
      <c r="D142" s="240" t="s">
        <v>60</v>
      </c>
      <c r="E142" s="241">
        <v>468</v>
      </c>
      <c r="F142" s="241"/>
      <c r="G142" s="242"/>
      <c r="H142" s="81"/>
      <c r="I142" s="81"/>
      <c r="J142" s="81"/>
      <c r="K142" s="266"/>
      <c r="L142" s="267"/>
      <c r="M142" s="269"/>
      <c r="N142" s="267"/>
    </row>
    <row r="143" spans="1:14" ht="20.100000000000001" customHeight="1">
      <c r="A143" s="20">
        <v>15</v>
      </c>
      <c r="B143" s="239">
        <v>101020055</v>
      </c>
      <c r="C143" s="240" t="s">
        <v>64</v>
      </c>
      <c r="D143" s="240" t="s">
        <v>65</v>
      </c>
      <c r="E143" s="241">
        <v>268</v>
      </c>
      <c r="F143" s="241"/>
      <c r="G143" s="242"/>
      <c r="H143" s="81"/>
      <c r="I143" s="81"/>
      <c r="J143" s="81"/>
      <c r="K143" s="266"/>
      <c r="L143" s="267"/>
      <c r="M143" s="269"/>
      <c r="N143" s="267"/>
    </row>
    <row r="144" spans="1:14" ht="20.100000000000001" customHeight="1">
      <c r="A144" s="20">
        <v>16</v>
      </c>
      <c r="B144" s="239">
        <v>101020063</v>
      </c>
      <c r="C144" s="240" t="s">
        <v>69</v>
      </c>
      <c r="D144" s="240" t="s">
        <v>70</v>
      </c>
      <c r="E144" s="241">
        <v>2220</v>
      </c>
      <c r="F144" s="241"/>
      <c r="G144" s="242"/>
      <c r="H144" s="81"/>
      <c r="I144" s="81"/>
      <c r="J144" s="81"/>
      <c r="K144" s="266"/>
      <c r="L144" s="267"/>
      <c r="M144" s="269"/>
      <c r="N144" s="267"/>
    </row>
    <row r="145" spans="1:14" ht="20.100000000000001" customHeight="1">
      <c r="A145" s="20">
        <v>17</v>
      </c>
      <c r="B145" s="239">
        <v>103090047</v>
      </c>
      <c r="C145" s="240" t="s">
        <v>72</v>
      </c>
      <c r="D145" s="240" t="s">
        <v>31</v>
      </c>
      <c r="E145" s="241">
        <v>85</v>
      </c>
      <c r="F145" s="241"/>
      <c r="G145" s="242"/>
      <c r="H145" s="81"/>
      <c r="I145" s="81"/>
      <c r="J145" s="81"/>
      <c r="K145" s="266"/>
      <c r="L145" s="267"/>
      <c r="M145" s="269"/>
      <c r="N145" s="267"/>
    </row>
    <row r="146" spans="1:14" ht="20.100000000000001" customHeight="1">
      <c r="A146" s="20">
        <v>18</v>
      </c>
      <c r="B146" s="239">
        <v>103090048</v>
      </c>
      <c r="C146" s="240" t="s">
        <v>74</v>
      </c>
      <c r="D146" s="240" t="s">
        <v>31</v>
      </c>
      <c r="E146" s="241">
        <v>85</v>
      </c>
      <c r="F146" s="241"/>
      <c r="G146" s="242"/>
      <c r="H146" s="81"/>
      <c r="I146" s="81"/>
      <c r="J146" s="81"/>
      <c r="K146" s="270"/>
      <c r="L146" s="271"/>
      <c r="M146" s="272"/>
      <c r="N146" s="271"/>
    </row>
    <row r="147" spans="1:14" s="14" customFormat="1" ht="20.100000000000001" customHeight="1">
      <c r="A147" s="143" t="s">
        <v>76</v>
      </c>
      <c r="B147" s="243"/>
      <c r="C147" s="244"/>
      <c r="D147" s="244"/>
      <c r="E147" s="244"/>
      <c r="F147" s="244"/>
      <c r="G147" s="245"/>
      <c r="H147" s="163"/>
      <c r="I147" s="273">
        <f t="shared" ref="I147:N147" si="12">SUM(I130:I140)</f>
        <v>445</v>
      </c>
      <c r="J147" s="273">
        <f t="shared" si="12"/>
        <v>139923.1</v>
      </c>
      <c r="K147" s="274">
        <f t="shared" si="12"/>
        <v>1</v>
      </c>
      <c r="L147" s="274">
        <f t="shared" si="12"/>
        <v>25</v>
      </c>
      <c r="M147" s="274">
        <f t="shared" si="12"/>
        <v>287</v>
      </c>
      <c r="N147" s="274">
        <f t="shared" si="12"/>
        <v>90516.36</v>
      </c>
    </row>
    <row r="148" spans="1:14" s="14" customFormat="1" ht="20.100000000000001" customHeight="1">
      <c r="A148" s="143" t="s">
        <v>106</v>
      </c>
      <c r="B148" s="246"/>
      <c r="C148" s="244"/>
      <c r="D148" s="244"/>
      <c r="E148" s="244"/>
      <c r="F148" s="244"/>
      <c r="G148" s="245"/>
      <c r="H148" s="163"/>
      <c r="I148" s="273">
        <v>28891</v>
      </c>
      <c r="J148" s="273">
        <v>4535723.0999999996</v>
      </c>
      <c r="K148" s="266"/>
      <c r="L148" s="267"/>
      <c r="M148" s="269"/>
      <c r="N148" s="267"/>
    </row>
    <row r="149" spans="1:14" s="14" customFormat="1" ht="20.100000000000001" customHeight="1">
      <c r="A149" s="150" t="s">
        <v>107</v>
      </c>
      <c r="B149" s="247"/>
      <c r="C149" s="244"/>
      <c r="D149" s="244"/>
      <c r="E149" s="244"/>
      <c r="F149" s="244"/>
      <c r="G149" s="245"/>
      <c r="H149" s="163"/>
      <c r="I149" s="275">
        <f>I147/I148</f>
        <v>1.5402720570419854E-2</v>
      </c>
      <c r="J149" s="275">
        <f>J147/J148</f>
        <v>3.0849127452246813E-2</v>
      </c>
      <c r="K149" s="266"/>
      <c r="L149" s="267"/>
      <c r="M149" s="269"/>
      <c r="N149" s="267"/>
    </row>
    <row r="150" spans="1:14" ht="20.100000000000001" customHeight="1">
      <c r="A150" s="152"/>
      <c r="B150" s="248"/>
      <c r="C150" s="249" t="s">
        <v>33</v>
      </c>
      <c r="D150" s="233" t="s">
        <v>31</v>
      </c>
      <c r="E150" s="250"/>
      <c r="F150" s="250"/>
      <c r="G150" s="251"/>
      <c r="H150" s="81">
        <v>831.88</v>
      </c>
      <c r="I150" s="81">
        <v>113</v>
      </c>
      <c r="J150" s="64">
        <f>I150*H150</f>
        <v>94002.44</v>
      </c>
      <c r="K150" s="266"/>
      <c r="L150" s="267"/>
      <c r="M150" s="269"/>
      <c r="N150" s="267"/>
    </row>
    <row r="151" spans="1:14" ht="20.100000000000001" customHeight="1">
      <c r="A151" s="152"/>
      <c r="B151" s="248"/>
      <c r="C151" s="250"/>
      <c r="D151" s="250"/>
      <c r="E151" s="250"/>
      <c r="F151" s="250"/>
      <c r="G151" s="251"/>
      <c r="H151" s="81"/>
      <c r="I151" s="81"/>
      <c r="J151" s="276">
        <f>J150/J148</f>
        <v>2.0724907126715916E-2</v>
      </c>
      <c r="K151" s="266"/>
      <c r="L151" s="267"/>
      <c r="M151" s="269"/>
      <c r="N151" s="267"/>
    </row>
    <row r="152" spans="1:14" ht="20.100000000000001" customHeight="1">
      <c r="A152" s="152"/>
      <c r="B152" s="248"/>
      <c r="C152" s="249" t="s">
        <v>42</v>
      </c>
      <c r="D152" s="233" t="s">
        <v>31</v>
      </c>
      <c r="E152" s="250"/>
      <c r="F152" s="250"/>
      <c r="G152" s="251"/>
      <c r="H152" s="81">
        <v>209.95</v>
      </c>
      <c r="I152" s="81">
        <v>126</v>
      </c>
      <c r="J152" s="64">
        <f>I152*H152</f>
        <v>26453.699999999997</v>
      </c>
      <c r="K152" s="266"/>
      <c r="L152" s="267"/>
      <c r="M152" s="269"/>
      <c r="N152" s="267"/>
    </row>
    <row r="153" spans="1:14" ht="20.100000000000001" customHeight="1">
      <c r="A153" s="152"/>
      <c r="B153" s="248"/>
      <c r="C153" s="250"/>
      <c r="D153" s="250"/>
      <c r="E153" s="250"/>
      <c r="F153" s="250"/>
      <c r="G153" s="251"/>
      <c r="H153" s="81"/>
      <c r="I153" s="81"/>
      <c r="J153" s="276">
        <f>J152/J148</f>
        <v>5.8323004770727731E-3</v>
      </c>
      <c r="K153" s="266"/>
      <c r="L153" s="267"/>
      <c r="M153" s="269"/>
      <c r="N153" s="267"/>
    </row>
    <row r="154" spans="1:14" ht="20.100000000000001" customHeight="1">
      <c r="A154" s="154" t="s">
        <v>82</v>
      </c>
      <c r="B154" s="239">
        <v>101010001</v>
      </c>
      <c r="C154" s="240" t="s">
        <v>84</v>
      </c>
      <c r="D154" s="239" t="s">
        <v>31</v>
      </c>
      <c r="E154" s="240"/>
      <c r="F154" s="252"/>
      <c r="G154" s="253"/>
      <c r="H154" s="81">
        <v>867.72</v>
      </c>
      <c r="I154" s="81">
        <v>494</v>
      </c>
      <c r="J154" s="64">
        <f>I154*H154</f>
        <v>428653.68</v>
      </c>
      <c r="K154" s="266">
        <v>8</v>
      </c>
      <c r="L154" s="267">
        <v>6941.76</v>
      </c>
      <c r="M154" s="141">
        <v>333</v>
      </c>
      <c r="N154" s="268">
        <v>288950.76</v>
      </c>
    </row>
    <row r="155" spans="1:14" ht="20.100000000000001" customHeight="1">
      <c r="A155" s="154"/>
      <c r="B155" s="239"/>
      <c r="C155" s="240"/>
      <c r="D155" s="239"/>
      <c r="E155" s="240"/>
      <c r="F155" s="252"/>
      <c r="G155" s="253"/>
      <c r="H155" s="81"/>
      <c r="I155" s="81"/>
      <c r="J155" s="276">
        <f>J154/J148</f>
        <v>9.4506139495155697E-2</v>
      </c>
      <c r="K155" s="266"/>
      <c r="L155" s="267"/>
      <c r="M155" s="269"/>
      <c r="N155" s="267"/>
    </row>
    <row r="156" spans="1:14">
      <c r="A156" s="154" t="s">
        <v>82</v>
      </c>
      <c r="B156" s="239">
        <v>101010255</v>
      </c>
      <c r="C156" s="240" t="s">
        <v>108</v>
      </c>
      <c r="D156" s="239" t="s">
        <v>86</v>
      </c>
      <c r="E156" s="240"/>
      <c r="F156" s="254"/>
      <c r="G156" s="255"/>
      <c r="H156" s="81">
        <v>121.45</v>
      </c>
      <c r="I156" s="81">
        <v>3680</v>
      </c>
      <c r="J156" s="64">
        <f>I156*H156</f>
        <v>446936</v>
      </c>
      <c r="K156" s="266">
        <v>2</v>
      </c>
      <c r="L156" s="267">
        <v>242.9</v>
      </c>
      <c r="M156" s="141">
        <v>2424</v>
      </c>
      <c r="N156" s="268">
        <v>294394.8</v>
      </c>
    </row>
    <row r="157" spans="1:14">
      <c r="A157" s="256"/>
      <c r="B157" s="239"/>
      <c r="C157" s="240"/>
      <c r="D157" s="239"/>
      <c r="E157" s="240"/>
      <c r="F157" s="257"/>
      <c r="G157" s="258"/>
      <c r="H157" s="81"/>
      <c r="I157" s="81"/>
      <c r="J157" s="277">
        <f>J156/J148</f>
        <v>9.8536879378725753E-2</v>
      </c>
      <c r="K157" s="266"/>
      <c r="L157" s="267"/>
      <c r="M157" s="269"/>
      <c r="N157" s="267"/>
    </row>
    <row r="158" spans="1:14">
      <c r="A158" s="154" t="s">
        <v>82</v>
      </c>
      <c r="B158" s="239">
        <v>101010002</v>
      </c>
      <c r="C158" s="240" t="s">
        <v>83</v>
      </c>
      <c r="D158" s="239" t="s">
        <v>31</v>
      </c>
      <c r="E158" s="240"/>
      <c r="F158" s="252"/>
      <c r="G158" s="253"/>
      <c r="H158" s="81">
        <v>387.87</v>
      </c>
      <c r="I158" s="81">
        <v>167</v>
      </c>
      <c r="J158" s="64">
        <f>I158*H158</f>
        <v>64774.29</v>
      </c>
      <c r="K158" s="266"/>
      <c r="L158" s="267"/>
      <c r="M158" s="141">
        <v>100</v>
      </c>
      <c r="N158" s="268">
        <v>38787</v>
      </c>
    </row>
    <row r="159" spans="1:14">
      <c r="A159" s="154"/>
      <c r="B159" s="239"/>
      <c r="C159" s="240"/>
      <c r="D159" s="239"/>
      <c r="E159" s="240"/>
      <c r="F159" s="252"/>
      <c r="G159" s="253"/>
      <c r="H159" s="81"/>
      <c r="I159" s="81"/>
      <c r="J159" s="276">
        <f>J158/J148</f>
        <v>1.4280918074562358E-2</v>
      </c>
      <c r="K159" s="266"/>
      <c r="L159" s="267"/>
      <c r="M159" s="269"/>
      <c r="N159" s="267"/>
    </row>
    <row r="160" spans="1:14">
      <c r="A160" s="157">
        <v>1</v>
      </c>
      <c r="B160" s="259">
        <v>104020590</v>
      </c>
      <c r="C160" s="260" t="s">
        <v>88</v>
      </c>
      <c r="D160" s="260" t="s">
        <v>89</v>
      </c>
      <c r="E160" s="260">
        <v>40.909999999999997</v>
      </c>
      <c r="F160" s="260">
        <v>2400</v>
      </c>
      <c r="G160" s="261">
        <v>108000</v>
      </c>
      <c r="H160" s="81">
        <v>98.73</v>
      </c>
      <c r="I160" s="81">
        <v>410</v>
      </c>
      <c r="J160" s="64">
        <f>I160*H160</f>
        <v>40479.300000000003</v>
      </c>
      <c r="K160" s="266"/>
      <c r="L160" s="267"/>
      <c r="M160" s="269">
        <v>351</v>
      </c>
      <c r="N160" s="196">
        <v>34654.230000000003</v>
      </c>
    </row>
    <row r="161" spans="1:15">
      <c r="A161" s="79">
        <v>2</v>
      </c>
      <c r="B161" s="236">
        <v>104020591</v>
      </c>
      <c r="C161" s="233" t="s">
        <v>90</v>
      </c>
      <c r="D161" s="233" t="s">
        <v>89</v>
      </c>
      <c r="E161" s="233">
        <v>90</v>
      </c>
      <c r="F161" s="233">
        <v>780</v>
      </c>
      <c r="G161" s="262">
        <v>70200</v>
      </c>
      <c r="H161" s="81">
        <v>0</v>
      </c>
      <c r="I161" s="81"/>
      <c r="J161" s="81"/>
      <c r="K161" s="266"/>
      <c r="L161" s="267"/>
      <c r="M161" s="269"/>
      <c r="N161" s="267"/>
    </row>
    <row r="162" spans="1:15">
      <c r="A162" s="79">
        <v>3</v>
      </c>
      <c r="B162" s="236">
        <v>104020592</v>
      </c>
      <c r="C162" s="233" t="s">
        <v>91</v>
      </c>
      <c r="D162" s="233" t="s">
        <v>89</v>
      </c>
      <c r="E162" s="233">
        <v>149</v>
      </c>
      <c r="F162" s="233">
        <v>480</v>
      </c>
      <c r="G162" s="262">
        <v>71520</v>
      </c>
      <c r="H162" s="81">
        <v>0</v>
      </c>
      <c r="I162" s="81"/>
      <c r="J162" s="81"/>
      <c r="K162" s="278"/>
      <c r="L162" s="279"/>
      <c r="M162" s="280"/>
      <c r="N162" s="279"/>
    </row>
    <row r="163" spans="1:15" s="14" customFormat="1" ht="20.100000000000001" customHeight="1">
      <c r="A163" s="158" t="s">
        <v>92</v>
      </c>
      <c r="B163" s="159"/>
      <c r="C163" s="160"/>
      <c r="D163" s="161"/>
      <c r="E163" s="161"/>
      <c r="F163" s="161"/>
      <c r="G163" s="162"/>
      <c r="H163" s="163"/>
      <c r="I163" s="273">
        <v>410</v>
      </c>
      <c r="J163" s="273">
        <v>40479.300000000003</v>
      </c>
      <c r="K163" s="278">
        <v>0</v>
      </c>
      <c r="L163" s="279"/>
      <c r="M163" s="281" t="s">
        <v>109</v>
      </c>
      <c r="N163" s="282">
        <v>34654.230000000003</v>
      </c>
      <c r="O163"/>
    </row>
    <row r="164" spans="1:15" s="14" customFormat="1" ht="20.100000000000001" customHeight="1">
      <c r="A164" s="158" t="s">
        <v>110</v>
      </c>
      <c r="B164" s="159"/>
      <c r="C164" s="160"/>
      <c r="D164" s="161"/>
      <c r="E164" s="161"/>
      <c r="F164" s="161"/>
      <c r="G164" s="162"/>
      <c r="H164" s="163"/>
      <c r="I164" s="273">
        <v>11046</v>
      </c>
      <c r="J164" s="273">
        <v>962149.5</v>
      </c>
      <c r="K164" s="278"/>
      <c r="L164" s="279"/>
      <c r="M164" s="279"/>
      <c r="N164" s="279"/>
    </row>
    <row r="165" spans="1:15" s="14" customFormat="1" ht="20.100000000000001" customHeight="1">
      <c r="A165" s="158" t="s">
        <v>111</v>
      </c>
      <c r="B165" s="159"/>
      <c r="C165" s="160"/>
      <c r="D165" s="161"/>
      <c r="E165" s="161"/>
      <c r="F165" s="161"/>
      <c r="G165" s="162"/>
      <c r="H165" s="163"/>
      <c r="I165" s="283">
        <f>I163/I164</f>
        <v>3.7117508600398336E-2</v>
      </c>
      <c r="J165" s="283">
        <f>J163/J164</f>
        <v>4.2071736253045916E-2</v>
      </c>
      <c r="K165" s="266"/>
      <c r="L165" s="267"/>
      <c r="M165" s="267"/>
      <c r="N165" s="267"/>
    </row>
  </sheetData>
  <mergeCells count="59">
    <mergeCell ref="A1:H1"/>
    <mergeCell ref="A2:C2"/>
    <mergeCell ref="I3:J3"/>
    <mergeCell ref="K3:L3"/>
    <mergeCell ref="M3:N3"/>
    <mergeCell ref="W3:AB3"/>
    <mergeCell ref="R18:T18"/>
    <mergeCell ref="U18:W18"/>
    <mergeCell ref="R26:T26"/>
    <mergeCell ref="U26:W26"/>
    <mergeCell ref="R3:V3"/>
    <mergeCell ref="D3:D4"/>
    <mergeCell ref="D46:D47"/>
    <mergeCell ref="D87:D88"/>
    <mergeCell ref="D127:D128"/>
    <mergeCell ref="I87:J87"/>
    <mergeCell ref="I127:J127"/>
    <mergeCell ref="I46:J46"/>
    <mergeCell ref="A85:H85"/>
    <mergeCell ref="A86:C86"/>
    <mergeCell ref="A46:A47"/>
    <mergeCell ref="B46:B47"/>
    <mergeCell ref="E46:E47"/>
    <mergeCell ref="G46:G47"/>
    <mergeCell ref="A44:H44"/>
    <mergeCell ref="A3:A4"/>
    <mergeCell ref="B3:B4"/>
    <mergeCell ref="B127:B128"/>
    <mergeCell ref="C3:C4"/>
    <mergeCell ref="C46:C47"/>
    <mergeCell ref="C87:C88"/>
    <mergeCell ref="C127:C128"/>
    <mergeCell ref="A126:C126"/>
    <mergeCell ref="A87:A88"/>
    <mergeCell ref="A127:A128"/>
    <mergeCell ref="B87:B88"/>
    <mergeCell ref="A45:C45"/>
    <mergeCell ref="E87:E88"/>
    <mergeCell ref="E127:E128"/>
    <mergeCell ref="F3:F4"/>
    <mergeCell ref="F46:F47"/>
    <mergeCell ref="F87:F88"/>
    <mergeCell ref="F127:F128"/>
    <mergeCell ref="E3:E4"/>
    <mergeCell ref="Q18:Q19"/>
    <mergeCell ref="Q26:Q27"/>
    <mergeCell ref="G87:G88"/>
    <mergeCell ref="G127:G128"/>
    <mergeCell ref="H3:H4"/>
    <mergeCell ref="H46:H47"/>
    <mergeCell ref="H87:H88"/>
    <mergeCell ref="H127:H128"/>
    <mergeCell ref="K87:L87"/>
    <mergeCell ref="M87:N87"/>
    <mergeCell ref="K127:L127"/>
    <mergeCell ref="M127:N127"/>
    <mergeCell ref="K46:L46"/>
    <mergeCell ref="M46:N46"/>
    <mergeCell ref="G3:G4"/>
  </mergeCells>
  <phoneticPr fontId="35" type="noConversion"/>
  <pageMargins left="0.75" right="0.75" top="1" bottom="1" header="0.51" footer="0.51"/>
  <pageSetup paperSize="9" orientation="portrait" horizontalDpi="0" verticalDpi="0"/>
  <headerFooter scaleWithDoc="0" alignWithMargins="0"/>
  <ignoredErrors>
    <ignoredError sqref="I27:N43 J151:N162 J163:L165 I45:N98 K44:N44" formula="1"/>
    <ignoredError sqref="I122:N124" formulaRange="1"/>
    <ignoredError sqref="M163:N165" numberStoredAsText="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286"/>
  <sheetViews>
    <sheetView topLeftCell="A2" zoomScaleSheetLayoutView="100" workbookViewId="0">
      <selection activeCell="H3" sqref="H3"/>
    </sheetView>
  </sheetViews>
  <sheetFormatPr defaultRowHeight="14.25"/>
  <cols>
    <col min="1" max="1" width="0.125" style="1" customWidth="1"/>
    <col min="2" max="2" width="14.375" style="1" customWidth="1"/>
    <col min="3" max="3" width="22.5" style="1" customWidth="1"/>
    <col min="4" max="4" width="42.375" style="1" customWidth="1"/>
    <col min="5" max="5" width="13.5" style="1" customWidth="1"/>
    <col min="6" max="6" width="10.25" style="1" customWidth="1"/>
    <col min="7" max="9" width="13.5" style="1" customWidth="1"/>
    <col min="10" max="10" width="20.625" style="1" customWidth="1"/>
    <col min="11" max="13" width="13.5" style="1" customWidth="1"/>
    <col min="14" max="14" width="15.625" style="1" customWidth="1"/>
    <col min="15" max="15" width="15.5" style="1" customWidth="1"/>
    <col min="16" max="255" width="9" style="1"/>
  </cols>
  <sheetData>
    <row r="1" spans="2:15" s="1" customFormat="1" ht="0.4" customHeight="1"/>
    <row r="2" spans="2:15" s="1" customFormat="1" ht="16.5">
      <c r="B2" s="2" t="s">
        <v>112</v>
      </c>
      <c r="C2" s="2" t="s">
        <v>113</v>
      </c>
      <c r="D2" s="2" t="s">
        <v>5</v>
      </c>
      <c r="E2" s="2" t="s">
        <v>6</v>
      </c>
      <c r="F2" s="2" t="s">
        <v>114</v>
      </c>
      <c r="G2" s="2" t="s">
        <v>4</v>
      </c>
      <c r="H2" s="2" t="s">
        <v>115</v>
      </c>
      <c r="I2" s="2" t="s">
        <v>116</v>
      </c>
      <c r="J2" s="2" t="s">
        <v>117</v>
      </c>
      <c r="K2" s="2" t="s">
        <v>118</v>
      </c>
      <c r="L2" s="2" t="s">
        <v>119</v>
      </c>
      <c r="M2" s="2" t="s">
        <v>120</v>
      </c>
      <c r="N2" s="2" t="s">
        <v>121</v>
      </c>
      <c r="O2" s="2" t="s">
        <v>122</v>
      </c>
    </row>
    <row r="3" spans="2:15" s="1" customFormat="1" ht="13.5">
      <c r="B3" s="3" t="s">
        <v>123</v>
      </c>
      <c r="C3" s="3" t="s">
        <v>123</v>
      </c>
      <c r="D3" s="3" t="s">
        <v>123</v>
      </c>
      <c r="E3" s="3" t="s">
        <v>123</v>
      </c>
      <c r="F3" s="3" t="s">
        <v>123</v>
      </c>
      <c r="G3" s="3"/>
      <c r="H3" s="3">
        <v>1821277</v>
      </c>
      <c r="I3" s="6">
        <v>231.50860593955099</v>
      </c>
      <c r="J3" s="6">
        <v>421641299.30000001</v>
      </c>
      <c r="K3" s="6">
        <v>352486099.76859999</v>
      </c>
      <c r="L3" s="6">
        <v>69155199.531399995</v>
      </c>
      <c r="M3" s="3" t="s">
        <v>123</v>
      </c>
      <c r="N3" s="3" t="s">
        <v>123</v>
      </c>
      <c r="O3" s="3">
        <v>21350</v>
      </c>
    </row>
    <row r="4" spans="2:15" s="1" customFormat="1" ht="13.5">
      <c r="B4" s="4" t="s">
        <v>124</v>
      </c>
      <c r="C4" s="4" t="s">
        <v>125</v>
      </c>
      <c r="D4" s="4" t="s">
        <v>84</v>
      </c>
      <c r="E4" s="4" t="s">
        <v>31</v>
      </c>
      <c r="F4" s="4" t="s">
        <v>126</v>
      </c>
      <c r="G4" s="4">
        <v>101010001</v>
      </c>
      <c r="H4" s="5">
        <v>61601</v>
      </c>
      <c r="I4" s="7">
        <v>879.83</v>
      </c>
      <c r="J4" s="7">
        <v>54198682.740000002</v>
      </c>
      <c r="K4" s="7">
        <v>49533919.472400002</v>
      </c>
      <c r="L4" s="7">
        <v>4664763.2675999999</v>
      </c>
      <c r="M4" s="8">
        <v>8.5999999999999993E-2</v>
      </c>
      <c r="N4" s="5">
        <v>14296</v>
      </c>
      <c r="O4" s="5">
        <v>143</v>
      </c>
    </row>
    <row r="5" spans="2:15" s="1" customFormat="1" ht="13.5">
      <c r="B5" s="4" t="s">
        <v>124</v>
      </c>
      <c r="C5" s="4" t="s">
        <v>125</v>
      </c>
      <c r="D5" s="4" t="s">
        <v>83</v>
      </c>
      <c r="E5" s="4" t="s">
        <v>31</v>
      </c>
      <c r="F5" s="4" t="s">
        <v>126</v>
      </c>
      <c r="G5" s="4">
        <v>101010002</v>
      </c>
      <c r="H5" s="5">
        <v>142696</v>
      </c>
      <c r="I5" s="7">
        <v>379.66</v>
      </c>
      <c r="J5" s="7">
        <v>54176227.899999999</v>
      </c>
      <c r="K5" s="7">
        <v>49042651.789099999</v>
      </c>
      <c r="L5" s="7">
        <v>5133576.1108999997</v>
      </c>
      <c r="M5" s="8">
        <v>9.4700000000000006E-2</v>
      </c>
      <c r="N5" s="5">
        <v>38898</v>
      </c>
      <c r="O5" s="5">
        <v>142</v>
      </c>
    </row>
    <row r="6" spans="2:15" s="1" customFormat="1" ht="13.5">
      <c r="B6" s="4" t="s">
        <v>124</v>
      </c>
      <c r="C6" s="4" t="s">
        <v>127</v>
      </c>
      <c r="D6" s="4" t="s">
        <v>128</v>
      </c>
      <c r="E6" s="4" t="s">
        <v>31</v>
      </c>
      <c r="F6" s="4" t="s">
        <v>126</v>
      </c>
      <c r="G6" s="4">
        <v>101010134</v>
      </c>
      <c r="H6" s="5">
        <v>32602</v>
      </c>
      <c r="I6" s="7">
        <v>1479.4</v>
      </c>
      <c r="J6" s="7">
        <v>48231255.020000003</v>
      </c>
      <c r="K6" s="7">
        <v>45388987.950900003</v>
      </c>
      <c r="L6" s="7">
        <v>2842267.0691</v>
      </c>
      <c r="M6" s="8">
        <v>5.8900000000000001E-2</v>
      </c>
      <c r="N6" s="5">
        <v>5904</v>
      </c>
      <c r="O6" s="5">
        <v>140</v>
      </c>
    </row>
    <row r="7" spans="2:15" s="1" customFormat="1" ht="13.5">
      <c r="B7" s="4" t="s">
        <v>124</v>
      </c>
      <c r="C7" s="4" t="s">
        <v>125</v>
      </c>
      <c r="D7" s="4" t="s">
        <v>129</v>
      </c>
      <c r="E7" s="4" t="s">
        <v>31</v>
      </c>
      <c r="F7" s="4" t="s">
        <v>126</v>
      </c>
      <c r="G7" s="4">
        <v>101010117</v>
      </c>
      <c r="H7" s="5">
        <v>39916</v>
      </c>
      <c r="I7" s="7">
        <v>886.42</v>
      </c>
      <c r="J7" s="7">
        <v>35382306.920000002</v>
      </c>
      <c r="K7" s="7">
        <v>32427773.112799998</v>
      </c>
      <c r="L7" s="7">
        <v>2954533.8072000002</v>
      </c>
      <c r="M7" s="8">
        <v>8.3500000000000005E-2</v>
      </c>
      <c r="N7" s="5">
        <v>8946</v>
      </c>
      <c r="O7" s="5">
        <v>143</v>
      </c>
    </row>
    <row r="8" spans="2:15" s="1" customFormat="1" ht="13.5">
      <c r="B8" s="4" t="s">
        <v>124</v>
      </c>
      <c r="C8" s="4" t="s">
        <v>130</v>
      </c>
      <c r="D8" s="4" t="s">
        <v>87</v>
      </c>
      <c r="E8" s="4" t="s">
        <v>86</v>
      </c>
      <c r="F8" s="4" t="s">
        <v>126</v>
      </c>
      <c r="G8" s="4">
        <v>101010098</v>
      </c>
      <c r="H8" s="5">
        <v>103500</v>
      </c>
      <c r="I8" s="7">
        <v>145.4</v>
      </c>
      <c r="J8" s="7">
        <v>15048871.68</v>
      </c>
      <c r="K8" s="7">
        <v>12312296.3369</v>
      </c>
      <c r="L8" s="7">
        <v>2736575.3431000002</v>
      </c>
      <c r="M8" s="8">
        <v>0.18179999999999999</v>
      </c>
      <c r="N8" s="5">
        <v>41203</v>
      </c>
      <c r="O8" s="5">
        <v>143</v>
      </c>
    </row>
    <row r="9" spans="2:15" s="1" customFormat="1" ht="13.5">
      <c r="B9" s="4" t="s">
        <v>124</v>
      </c>
      <c r="C9" s="4" t="s">
        <v>130</v>
      </c>
      <c r="D9" s="4" t="s">
        <v>131</v>
      </c>
      <c r="E9" s="4" t="s">
        <v>132</v>
      </c>
      <c r="F9" s="4" t="s">
        <v>126</v>
      </c>
      <c r="G9" s="4">
        <v>101010104</v>
      </c>
      <c r="H9" s="5">
        <v>68420</v>
      </c>
      <c r="I9" s="7">
        <v>206.46</v>
      </c>
      <c r="J9" s="7">
        <v>14125982.710000001</v>
      </c>
      <c r="K9" s="7">
        <v>11402711.043400001</v>
      </c>
      <c r="L9" s="7">
        <v>2723271.6666000001</v>
      </c>
      <c r="M9" s="8">
        <v>0.19270000000000001</v>
      </c>
      <c r="N9" s="5">
        <v>24179</v>
      </c>
      <c r="O9" s="5">
        <v>143</v>
      </c>
    </row>
    <row r="10" spans="2:15" s="1" customFormat="1" ht="13.5">
      <c r="B10" s="4" t="s">
        <v>124</v>
      </c>
      <c r="C10" s="4" t="s">
        <v>130</v>
      </c>
      <c r="D10" s="4" t="s">
        <v>133</v>
      </c>
      <c r="E10" s="4" t="s">
        <v>132</v>
      </c>
      <c r="F10" s="4" t="s">
        <v>126</v>
      </c>
      <c r="G10" s="4">
        <v>101010105</v>
      </c>
      <c r="H10" s="5">
        <v>119189</v>
      </c>
      <c r="I10" s="7">
        <v>110.05</v>
      </c>
      <c r="J10" s="7">
        <v>13117252.57</v>
      </c>
      <c r="K10" s="7">
        <v>9512567.6630000006</v>
      </c>
      <c r="L10" s="7">
        <v>3604684.9070000001</v>
      </c>
      <c r="M10" s="8">
        <v>0.27479999999999999</v>
      </c>
      <c r="N10" s="5">
        <v>51819</v>
      </c>
      <c r="O10" s="5">
        <v>143</v>
      </c>
    </row>
    <row r="11" spans="2:15" s="1" customFormat="1" ht="13.5">
      <c r="B11" s="4" t="s">
        <v>124</v>
      </c>
      <c r="C11" s="4" t="s">
        <v>125</v>
      </c>
      <c r="D11" s="4" t="s">
        <v>33</v>
      </c>
      <c r="E11" s="4" t="s">
        <v>31</v>
      </c>
      <c r="F11" s="4" t="s">
        <v>126</v>
      </c>
      <c r="G11" s="4">
        <v>101010099</v>
      </c>
      <c r="H11" s="5">
        <v>12787</v>
      </c>
      <c r="I11" s="7">
        <v>830.46</v>
      </c>
      <c r="J11" s="7">
        <v>10619033</v>
      </c>
      <c r="K11" s="7">
        <v>9380443.9349000007</v>
      </c>
      <c r="L11" s="7">
        <v>1238589.0651</v>
      </c>
      <c r="M11" s="8">
        <v>0.1166</v>
      </c>
      <c r="N11" s="5">
        <v>2425</v>
      </c>
      <c r="O11" s="5">
        <v>140</v>
      </c>
    </row>
    <row r="12" spans="2:15" s="1" customFormat="1" ht="13.5">
      <c r="B12" s="4" t="s">
        <v>124</v>
      </c>
      <c r="C12" s="4" t="s">
        <v>125</v>
      </c>
      <c r="D12" s="4" t="s">
        <v>134</v>
      </c>
      <c r="E12" s="4" t="s">
        <v>31</v>
      </c>
      <c r="F12" s="4" t="s">
        <v>126</v>
      </c>
      <c r="G12" s="4">
        <v>101010019</v>
      </c>
      <c r="H12" s="5">
        <v>23597</v>
      </c>
      <c r="I12" s="7">
        <v>417.53</v>
      </c>
      <c r="J12" s="7">
        <v>9852416.8000000007</v>
      </c>
      <c r="K12" s="7">
        <v>8198524.0965</v>
      </c>
      <c r="L12" s="7">
        <v>1653892.7035000001</v>
      </c>
      <c r="M12" s="8">
        <v>0.1678</v>
      </c>
      <c r="N12" s="5">
        <v>8260</v>
      </c>
      <c r="O12" s="5">
        <v>141</v>
      </c>
    </row>
    <row r="13" spans="2:15" s="1" customFormat="1" ht="13.5">
      <c r="B13" s="4" t="s">
        <v>124</v>
      </c>
      <c r="C13" s="4" t="s">
        <v>125</v>
      </c>
      <c r="D13" s="4" t="s">
        <v>42</v>
      </c>
      <c r="E13" s="4" t="s">
        <v>31</v>
      </c>
      <c r="F13" s="4" t="s">
        <v>126</v>
      </c>
      <c r="G13" s="4">
        <v>101010036</v>
      </c>
      <c r="H13" s="5">
        <v>45184</v>
      </c>
      <c r="I13" s="7">
        <v>203.15</v>
      </c>
      <c r="J13" s="7">
        <v>9178914.8800000008</v>
      </c>
      <c r="K13" s="7">
        <v>6983414.7599999998</v>
      </c>
      <c r="L13" s="7">
        <v>2195500.12</v>
      </c>
      <c r="M13" s="8">
        <v>0.23910000000000001</v>
      </c>
      <c r="N13" s="5">
        <v>14702</v>
      </c>
      <c r="O13" s="5">
        <v>143</v>
      </c>
    </row>
    <row r="14" spans="2:15" s="1" customFormat="1" ht="13.5">
      <c r="B14" s="4" t="s">
        <v>124</v>
      </c>
      <c r="C14" s="4" t="s">
        <v>127</v>
      </c>
      <c r="D14" s="4" t="s">
        <v>135</v>
      </c>
      <c r="E14" s="4" t="s">
        <v>31</v>
      </c>
      <c r="F14" s="4" t="s">
        <v>126</v>
      </c>
      <c r="G14" s="4">
        <v>101010158</v>
      </c>
      <c r="H14" s="5">
        <v>7003</v>
      </c>
      <c r="I14" s="7">
        <v>932.34</v>
      </c>
      <c r="J14" s="7">
        <v>6529143.5</v>
      </c>
      <c r="K14" s="7">
        <v>5084619.5641000001</v>
      </c>
      <c r="L14" s="7">
        <v>1444523.9358999999</v>
      </c>
      <c r="M14" s="8">
        <v>0.22120000000000001</v>
      </c>
      <c r="N14" s="5">
        <v>1860</v>
      </c>
      <c r="O14" s="5">
        <v>129</v>
      </c>
    </row>
    <row r="15" spans="2:15" s="1" customFormat="1" ht="13.5">
      <c r="B15" s="4" t="s">
        <v>124</v>
      </c>
      <c r="C15" s="4" t="s">
        <v>125</v>
      </c>
      <c r="D15" s="4" t="s">
        <v>85</v>
      </c>
      <c r="E15" s="4" t="s">
        <v>86</v>
      </c>
      <c r="F15" s="4" t="s">
        <v>126</v>
      </c>
      <c r="G15" s="4">
        <v>101010004</v>
      </c>
      <c r="H15" s="5">
        <v>14957</v>
      </c>
      <c r="I15" s="7">
        <v>346.05</v>
      </c>
      <c r="J15" s="7">
        <v>5175829</v>
      </c>
      <c r="K15" s="7">
        <v>4187330.1124</v>
      </c>
      <c r="L15" s="7">
        <v>988498.88760000002</v>
      </c>
      <c r="M15" s="8">
        <v>0.19089999999999999</v>
      </c>
      <c r="N15" s="5">
        <v>5828</v>
      </c>
      <c r="O15" s="5">
        <v>143</v>
      </c>
    </row>
    <row r="16" spans="2:15" s="1" customFormat="1" ht="13.5">
      <c r="B16" s="4" t="s">
        <v>124</v>
      </c>
      <c r="C16" s="4" t="s">
        <v>127</v>
      </c>
      <c r="D16" s="4" t="s">
        <v>136</v>
      </c>
      <c r="E16" s="4" t="s">
        <v>31</v>
      </c>
      <c r="F16" s="4" t="s">
        <v>137</v>
      </c>
      <c r="G16" s="4">
        <v>101010536</v>
      </c>
      <c r="H16" s="5">
        <v>969</v>
      </c>
      <c r="I16" s="7">
        <v>5206.53</v>
      </c>
      <c r="J16" s="7">
        <v>5045124</v>
      </c>
      <c r="K16" s="7">
        <v>4535720.7263000002</v>
      </c>
      <c r="L16" s="7">
        <v>509403.27370000002</v>
      </c>
      <c r="M16" s="8">
        <v>0.1009</v>
      </c>
      <c r="N16" s="5">
        <v>229</v>
      </c>
      <c r="O16" s="5">
        <v>77</v>
      </c>
    </row>
    <row r="17" spans="2:15" s="1" customFormat="1" ht="24">
      <c r="B17" s="4" t="s">
        <v>124</v>
      </c>
      <c r="C17" s="4" t="s">
        <v>130</v>
      </c>
      <c r="D17" s="4" t="s">
        <v>138</v>
      </c>
      <c r="E17" s="4" t="s">
        <v>139</v>
      </c>
      <c r="F17" s="4" t="s">
        <v>126</v>
      </c>
      <c r="G17" s="4">
        <v>101010614</v>
      </c>
      <c r="H17" s="5">
        <v>17986</v>
      </c>
      <c r="I17" s="7">
        <v>277.94</v>
      </c>
      <c r="J17" s="7">
        <v>4998972.7</v>
      </c>
      <c r="K17" s="7">
        <v>3077080.8091000002</v>
      </c>
      <c r="L17" s="7">
        <v>1921891.8909</v>
      </c>
      <c r="M17" s="8">
        <v>0.38440000000000002</v>
      </c>
      <c r="N17" s="5">
        <v>6484</v>
      </c>
      <c r="O17" s="5">
        <v>140</v>
      </c>
    </row>
    <row r="18" spans="2:15" s="1" customFormat="1" ht="13.5">
      <c r="B18" s="4" t="s">
        <v>124</v>
      </c>
      <c r="C18" s="4" t="s">
        <v>125</v>
      </c>
      <c r="D18" s="4" t="s">
        <v>140</v>
      </c>
      <c r="E18" s="4" t="s">
        <v>31</v>
      </c>
      <c r="F18" s="4" t="s">
        <v>126</v>
      </c>
      <c r="G18" s="4">
        <v>101010006</v>
      </c>
      <c r="H18" s="5">
        <v>9493</v>
      </c>
      <c r="I18" s="7">
        <v>492.77</v>
      </c>
      <c r="J18" s="7">
        <v>4677822.3</v>
      </c>
      <c r="K18" s="7">
        <v>3862109.2749000001</v>
      </c>
      <c r="L18" s="7">
        <v>815713.02509999997</v>
      </c>
      <c r="M18" s="8">
        <v>0.17430000000000001</v>
      </c>
      <c r="N18" s="5">
        <v>2866</v>
      </c>
      <c r="O18" s="5">
        <v>140</v>
      </c>
    </row>
    <row r="19" spans="2:15" s="1" customFormat="1" ht="13.5">
      <c r="B19" s="4" t="s">
        <v>124</v>
      </c>
      <c r="C19" s="4" t="s">
        <v>127</v>
      </c>
      <c r="D19" s="4" t="s">
        <v>141</v>
      </c>
      <c r="E19" s="4" t="s">
        <v>31</v>
      </c>
      <c r="F19" s="4" t="s">
        <v>126</v>
      </c>
      <c r="G19" s="4">
        <v>101010053</v>
      </c>
      <c r="H19" s="5">
        <v>12695</v>
      </c>
      <c r="I19" s="7">
        <v>348.79</v>
      </c>
      <c r="J19" s="7">
        <v>4427926.28</v>
      </c>
      <c r="K19" s="7">
        <v>3678728.0474999999</v>
      </c>
      <c r="L19" s="7">
        <v>749198.23250000004</v>
      </c>
      <c r="M19" s="8">
        <v>0.1691</v>
      </c>
      <c r="N19" s="5">
        <v>4608</v>
      </c>
      <c r="O19" s="5">
        <v>140</v>
      </c>
    </row>
    <row r="20" spans="2:15" s="1" customFormat="1" ht="13.5">
      <c r="B20" s="4" t="s">
        <v>124</v>
      </c>
      <c r="C20" s="4" t="s">
        <v>125</v>
      </c>
      <c r="D20" s="4" t="s">
        <v>142</v>
      </c>
      <c r="E20" s="4" t="s">
        <v>31</v>
      </c>
      <c r="F20" s="4" t="s">
        <v>126</v>
      </c>
      <c r="G20" s="4">
        <v>101010130</v>
      </c>
      <c r="H20" s="5">
        <v>33346</v>
      </c>
      <c r="I20" s="7">
        <v>132.37</v>
      </c>
      <c r="J20" s="7">
        <v>4413886.7</v>
      </c>
      <c r="K20" s="7">
        <v>3705225.8750999998</v>
      </c>
      <c r="L20" s="7">
        <v>708660.82490000001</v>
      </c>
      <c r="M20" s="8">
        <v>0.1605</v>
      </c>
      <c r="N20" s="5">
        <v>12742</v>
      </c>
      <c r="O20" s="5">
        <v>140</v>
      </c>
    </row>
    <row r="21" spans="2:15" s="1" customFormat="1" ht="24">
      <c r="B21" s="4" t="s">
        <v>124</v>
      </c>
      <c r="C21" s="4" t="s">
        <v>130</v>
      </c>
      <c r="D21" s="4" t="s">
        <v>143</v>
      </c>
      <c r="E21" s="4" t="s">
        <v>139</v>
      </c>
      <c r="F21" s="4" t="s">
        <v>126</v>
      </c>
      <c r="G21" s="4">
        <v>101010623</v>
      </c>
      <c r="H21" s="5">
        <v>53764</v>
      </c>
      <c r="I21" s="7">
        <v>82.09</v>
      </c>
      <c r="J21" s="7">
        <v>4413219</v>
      </c>
      <c r="K21" s="7">
        <v>3396525.4846999999</v>
      </c>
      <c r="L21" s="7">
        <v>1016693.5153</v>
      </c>
      <c r="M21" s="8">
        <v>0.2303</v>
      </c>
      <c r="N21" s="5">
        <v>26860</v>
      </c>
      <c r="O21" s="5">
        <v>139</v>
      </c>
    </row>
    <row r="22" spans="2:15" s="1" customFormat="1" ht="13.5">
      <c r="B22" s="4" t="s">
        <v>124</v>
      </c>
      <c r="C22" s="4" t="s">
        <v>125</v>
      </c>
      <c r="D22" s="4" t="s">
        <v>144</v>
      </c>
      <c r="E22" s="4" t="s">
        <v>31</v>
      </c>
      <c r="F22" s="4" t="s">
        <v>126</v>
      </c>
      <c r="G22" s="4">
        <v>101010493</v>
      </c>
      <c r="H22" s="5">
        <v>10783</v>
      </c>
      <c r="I22" s="7">
        <v>333.88</v>
      </c>
      <c r="J22" s="7">
        <v>3600217.2</v>
      </c>
      <c r="K22" s="7">
        <v>2918473.0992999999</v>
      </c>
      <c r="L22" s="7">
        <v>681744.10069999995</v>
      </c>
      <c r="M22" s="8">
        <v>0.1893</v>
      </c>
      <c r="N22" s="5">
        <v>3528</v>
      </c>
      <c r="O22" s="5">
        <v>130</v>
      </c>
    </row>
    <row r="23" spans="2:15" s="1" customFormat="1" ht="13.5">
      <c r="B23" s="4" t="s">
        <v>124</v>
      </c>
      <c r="C23" s="4" t="s">
        <v>127</v>
      </c>
      <c r="D23" s="4" t="s">
        <v>145</v>
      </c>
      <c r="E23" s="4" t="s">
        <v>31</v>
      </c>
      <c r="F23" s="4" t="s">
        <v>126</v>
      </c>
      <c r="G23" s="4">
        <v>101010530</v>
      </c>
      <c r="H23" s="5">
        <v>8229</v>
      </c>
      <c r="I23" s="7">
        <v>379.07</v>
      </c>
      <c r="J23" s="7">
        <v>3119368</v>
      </c>
      <c r="K23" s="7">
        <v>2161669.5964000002</v>
      </c>
      <c r="L23" s="7">
        <v>957698.40359999996</v>
      </c>
      <c r="M23" s="8">
        <v>0.307</v>
      </c>
      <c r="N23" s="5">
        <v>3055</v>
      </c>
      <c r="O23" s="5">
        <v>97</v>
      </c>
    </row>
    <row r="24" spans="2:15" s="1" customFormat="1" ht="13.5">
      <c r="B24" s="4" t="s">
        <v>124</v>
      </c>
      <c r="C24" s="4" t="s">
        <v>127</v>
      </c>
      <c r="D24" s="4" t="s">
        <v>146</v>
      </c>
      <c r="E24" s="4" t="s">
        <v>31</v>
      </c>
      <c r="F24" s="4" t="s">
        <v>126</v>
      </c>
      <c r="G24" s="4">
        <v>101010529</v>
      </c>
      <c r="H24" s="5">
        <v>14032</v>
      </c>
      <c r="I24" s="7">
        <v>219.44</v>
      </c>
      <c r="J24" s="7">
        <v>3079116.2</v>
      </c>
      <c r="K24" s="7">
        <v>2265458.6740000001</v>
      </c>
      <c r="L24" s="7">
        <v>813657.52599999995</v>
      </c>
      <c r="M24" s="8">
        <v>0.26419999999999999</v>
      </c>
      <c r="N24" s="5">
        <v>5506</v>
      </c>
      <c r="O24" s="5">
        <v>141</v>
      </c>
    </row>
    <row r="25" spans="2:15" s="1" customFormat="1" ht="13.5">
      <c r="B25" s="4" t="s">
        <v>124</v>
      </c>
      <c r="C25" s="4" t="s">
        <v>147</v>
      </c>
      <c r="D25" s="4" t="s">
        <v>148</v>
      </c>
      <c r="E25" s="4" t="s">
        <v>149</v>
      </c>
      <c r="F25" s="4" t="s">
        <v>126</v>
      </c>
      <c r="G25" s="4">
        <v>101010632</v>
      </c>
      <c r="H25" s="5">
        <v>72414</v>
      </c>
      <c r="I25" s="7">
        <v>41.39</v>
      </c>
      <c r="J25" s="7">
        <v>2997423.3</v>
      </c>
      <c r="K25" s="7">
        <v>2340950.4915</v>
      </c>
      <c r="L25" s="7">
        <v>656472.80850000004</v>
      </c>
      <c r="M25" s="8">
        <v>0.219</v>
      </c>
      <c r="N25" s="5">
        <v>36137</v>
      </c>
      <c r="O25" s="5">
        <v>142</v>
      </c>
    </row>
    <row r="26" spans="2:15" s="1" customFormat="1" ht="13.5">
      <c r="B26" s="4" t="s">
        <v>124</v>
      </c>
      <c r="C26" s="4" t="s">
        <v>147</v>
      </c>
      <c r="D26" s="4" t="s">
        <v>150</v>
      </c>
      <c r="E26" s="4" t="s">
        <v>31</v>
      </c>
      <c r="F26" s="4" t="s">
        <v>126</v>
      </c>
      <c r="G26" s="4">
        <v>101010068</v>
      </c>
      <c r="H26" s="5">
        <v>5100</v>
      </c>
      <c r="I26" s="7">
        <v>573.77</v>
      </c>
      <c r="J26" s="7">
        <v>2926249</v>
      </c>
      <c r="K26" s="7">
        <v>2500070.8125999998</v>
      </c>
      <c r="L26" s="7">
        <v>426178.1874</v>
      </c>
      <c r="M26" s="8">
        <v>0.14560000000000001</v>
      </c>
      <c r="N26" s="5">
        <v>1669</v>
      </c>
      <c r="O26" s="5">
        <v>131</v>
      </c>
    </row>
    <row r="27" spans="2:15" s="1" customFormat="1" ht="13.5">
      <c r="B27" s="4" t="s">
        <v>124</v>
      </c>
      <c r="C27" s="4" t="s">
        <v>125</v>
      </c>
      <c r="D27" s="4" t="s">
        <v>151</v>
      </c>
      <c r="E27" s="4" t="s">
        <v>152</v>
      </c>
      <c r="F27" s="4" t="s">
        <v>126</v>
      </c>
      <c r="G27" s="4">
        <v>101010085</v>
      </c>
      <c r="H27" s="5">
        <v>25933</v>
      </c>
      <c r="I27" s="7">
        <v>111.75</v>
      </c>
      <c r="J27" s="7">
        <v>2898140.94</v>
      </c>
      <c r="K27" s="7">
        <v>2329355.4268</v>
      </c>
      <c r="L27" s="7">
        <v>568785.51320000004</v>
      </c>
      <c r="M27" s="8">
        <v>0.19620000000000001</v>
      </c>
      <c r="N27" s="5">
        <v>13108</v>
      </c>
      <c r="O27" s="5">
        <v>142</v>
      </c>
    </row>
    <row r="28" spans="2:15" s="1" customFormat="1" ht="13.5">
      <c r="B28" s="4" t="s">
        <v>124</v>
      </c>
      <c r="C28" s="4" t="s">
        <v>125</v>
      </c>
      <c r="D28" s="4" t="s">
        <v>153</v>
      </c>
      <c r="E28" s="4" t="s">
        <v>31</v>
      </c>
      <c r="F28" s="4" t="s">
        <v>126</v>
      </c>
      <c r="G28" s="4">
        <v>101010559</v>
      </c>
      <c r="H28" s="5">
        <v>29039</v>
      </c>
      <c r="I28" s="7">
        <v>97.78</v>
      </c>
      <c r="J28" s="7">
        <v>2839560.53</v>
      </c>
      <c r="K28" s="7">
        <v>1715403.4098</v>
      </c>
      <c r="L28" s="7">
        <v>1124157.1202</v>
      </c>
      <c r="M28" s="8">
        <v>0.39579999999999999</v>
      </c>
      <c r="N28" s="5">
        <v>7399</v>
      </c>
      <c r="O28" s="5">
        <v>139</v>
      </c>
    </row>
    <row r="29" spans="2:15" s="1" customFormat="1" ht="13.5">
      <c r="B29" s="4" t="s">
        <v>124</v>
      </c>
      <c r="C29" s="4" t="s">
        <v>127</v>
      </c>
      <c r="D29" s="4" t="s">
        <v>154</v>
      </c>
      <c r="E29" s="4" t="s">
        <v>31</v>
      </c>
      <c r="F29" s="4" t="s">
        <v>126</v>
      </c>
      <c r="G29" s="4">
        <v>101010106</v>
      </c>
      <c r="H29" s="5">
        <v>22083</v>
      </c>
      <c r="I29" s="7">
        <v>123.09</v>
      </c>
      <c r="J29" s="7">
        <v>2718226.4</v>
      </c>
      <c r="K29" s="7">
        <v>2089959.7704</v>
      </c>
      <c r="L29" s="7">
        <v>628266.62959999999</v>
      </c>
      <c r="M29" s="8">
        <v>0.2311</v>
      </c>
      <c r="N29" s="5">
        <v>9697</v>
      </c>
      <c r="O29" s="5">
        <v>141</v>
      </c>
    </row>
    <row r="30" spans="2:15" s="1" customFormat="1" ht="13.5">
      <c r="B30" s="4" t="s">
        <v>124</v>
      </c>
      <c r="C30" s="4" t="s">
        <v>127</v>
      </c>
      <c r="D30" s="4" t="s">
        <v>155</v>
      </c>
      <c r="E30" s="4" t="s">
        <v>31</v>
      </c>
      <c r="F30" s="4" t="s">
        <v>126</v>
      </c>
      <c r="G30" s="4">
        <v>101010144</v>
      </c>
      <c r="H30" s="5">
        <v>39019</v>
      </c>
      <c r="I30" s="7">
        <v>69.319999999999993</v>
      </c>
      <c r="J30" s="7">
        <v>2704871.8</v>
      </c>
      <c r="K30" s="7">
        <v>2332967.0128000001</v>
      </c>
      <c r="L30" s="7">
        <v>371904.78720000002</v>
      </c>
      <c r="M30" s="8">
        <v>0.13739999999999999</v>
      </c>
      <c r="N30" s="5">
        <v>9565</v>
      </c>
      <c r="O30" s="5">
        <v>142</v>
      </c>
    </row>
    <row r="31" spans="2:15" s="1" customFormat="1" ht="13.5">
      <c r="B31" s="4" t="s">
        <v>124</v>
      </c>
      <c r="C31" s="4" t="s">
        <v>130</v>
      </c>
      <c r="D31" s="4" t="s">
        <v>156</v>
      </c>
      <c r="E31" s="4" t="s">
        <v>157</v>
      </c>
      <c r="F31" s="4" t="s">
        <v>126</v>
      </c>
      <c r="G31" s="4">
        <v>101010114</v>
      </c>
      <c r="H31" s="5">
        <v>5096</v>
      </c>
      <c r="I31" s="7">
        <v>507</v>
      </c>
      <c r="J31" s="7">
        <v>2583670.4</v>
      </c>
      <c r="K31" s="7">
        <v>2049003.2782000001</v>
      </c>
      <c r="L31" s="7">
        <v>534667.12179999996</v>
      </c>
      <c r="M31" s="8">
        <v>0.2069</v>
      </c>
      <c r="N31" s="5">
        <v>1971</v>
      </c>
      <c r="O31" s="5">
        <v>134</v>
      </c>
    </row>
    <row r="32" spans="2:15" s="1" customFormat="1" ht="13.5">
      <c r="B32" s="4" t="s">
        <v>124</v>
      </c>
      <c r="C32" s="4" t="s">
        <v>130</v>
      </c>
      <c r="D32" s="4" t="s">
        <v>158</v>
      </c>
      <c r="E32" s="4" t="s">
        <v>159</v>
      </c>
      <c r="F32" s="4" t="s">
        <v>126</v>
      </c>
      <c r="G32" s="4">
        <v>101010620</v>
      </c>
      <c r="H32" s="5">
        <v>8456</v>
      </c>
      <c r="I32" s="7">
        <v>291.18</v>
      </c>
      <c r="J32" s="7">
        <v>2462220.1</v>
      </c>
      <c r="K32" s="7">
        <v>1624021.4458000001</v>
      </c>
      <c r="L32" s="7">
        <v>838198.65419999999</v>
      </c>
      <c r="M32" s="8">
        <v>0.34039999999999998</v>
      </c>
      <c r="N32" s="5">
        <v>4124</v>
      </c>
      <c r="O32" s="5">
        <v>141</v>
      </c>
    </row>
    <row r="33" spans="2:15" s="1" customFormat="1" ht="13.5">
      <c r="B33" s="4" t="s">
        <v>124</v>
      </c>
      <c r="C33" s="4" t="s">
        <v>127</v>
      </c>
      <c r="D33" s="4" t="s">
        <v>160</v>
      </c>
      <c r="E33" s="4" t="s">
        <v>31</v>
      </c>
      <c r="F33" s="4" t="s">
        <v>126</v>
      </c>
      <c r="G33" s="4">
        <v>101010118</v>
      </c>
      <c r="H33" s="5">
        <v>4753</v>
      </c>
      <c r="I33" s="7">
        <v>516.04</v>
      </c>
      <c r="J33" s="7">
        <v>2452723</v>
      </c>
      <c r="K33" s="7">
        <v>2016221.2217999999</v>
      </c>
      <c r="L33" s="7">
        <v>436501.7782</v>
      </c>
      <c r="M33" s="8">
        <v>0.1779</v>
      </c>
      <c r="N33" s="5">
        <v>1603</v>
      </c>
      <c r="O33" s="5">
        <v>128</v>
      </c>
    </row>
    <row r="34" spans="2:15" s="1" customFormat="1" ht="13.5">
      <c r="B34" s="4" t="s">
        <v>124</v>
      </c>
      <c r="C34" s="4" t="s">
        <v>125</v>
      </c>
      <c r="D34" s="4" t="s">
        <v>161</v>
      </c>
      <c r="E34" s="4" t="s">
        <v>31</v>
      </c>
      <c r="F34" s="4" t="s">
        <v>126</v>
      </c>
      <c r="G34" s="4">
        <v>101010170</v>
      </c>
      <c r="H34" s="5">
        <v>16531</v>
      </c>
      <c r="I34" s="7">
        <v>135.13</v>
      </c>
      <c r="J34" s="7">
        <v>2233889.2000000002</v>
      </c>
      <c r="K34" s="7">
        <v>1819932.8662</v>
      </c>
      <c r="L34" s="7">
        <v>413956.33380000002</v>
      </c>
      <c r="M34" s="8">
        <v>0.18529999999999999</v>
      </c>
      <c r="N34" s="5">
        <v>6634</v>
      </c>
      <c r="O34" s="5">
        <v>141</v>
      </c>
    </row>
    <row r="35" spans="2:15" s="1" customFormat="1" ht="13.5">
      <c r="B35" s="4" t="s">
        <v>124</v>
      </c>
      <c r="C35" s="4" t="s">
        <v>127</v>
      </c>
      <c r="D35" s="4" t="s">
        <v>162</v>
      </c>
      <c r="E35" s="4" t="s">
        <v>31</v>
      </c>
      <c r="F35" s="4" t="s">
        <v>126</v>
      </c>
      <c r="G35" s="4">
        <v>101010531</v>
      </c>
      <c r="H35" s="5">
        <v>18027</v>
      </c>
      <c r="I35" s="7">
        <v>123.3</v>
      </c>
      <c r="J35" s="7">
        <v>2222645.6</v>
      </c>
      <c r="K35" s="7">
        <v>1431753.7514</v>
      </c>
      <c r="L35" s="7">
        <v>790891.84860000003</v>
      </c>
      <c r="M35" s="8">
        <v>0.35580000000000001</v>
      </c>
      <c r="N35" s="5">
        <v>8500</v>
      </c>
      <c r="O35" s="5">
        <v>143</v>
      </c>
    </row>
    <row r="36" spans="2:15" s="1" customFormat="1" ht="13.5">
      <c r="B36" s="4" t="s">
        <v>124</v>
      </c>
      <c r="C36" s="4" t="s">
        <v>127</v>
      </c>
      <c r="D36" s="4" t="s">
        <v>163</v>
      </c>
      <c r="E36" s="4" t="s">
        <v>164</v>
      </c>
      <c r="F36" s="4" t="s">
        <v>126</v>
      </c>
      <c r="G36" s="4">
        <v>101010578</v>
      </c>
      <c r="H36" s="5">
        <v>2609</v>
      </c>
      <c r="I36" s="7">
        <v>833.41</v>
      </c>
      <c r="J36" s="7">
        <v>2174357</v>
      </c>
      <c r="K36" s="7">
        <v>1953830.5795</v>
      </c>
      <c r="L36" s="7">
        <v>220526.42050000001</v>
      </c>
      <c r="M36" s="8">
        <v>0.1014</v>
      </c>
      <c r="N36" s="5">
        <v>246</v>
      </c>
      <c r="O36" s="5">
        <v>78</v>
      </c>
    </row>
    <row r="37" spans="2:15" s="1" customFormat="1" ht="13.5">
      <c r="B37" s="4" t="s">
        <v>124</v>
      </c>
      <c r="C37" s="4" t="s">
        <v>127</v>
      </c>
      <c r="D37" s="4" t="s">
        <v>165</v>
      </c>
      <c r="E37" s="4" t="s">
        <v>31</v>
      </c>
      <c r="F37" s="4" t="s">
        <v>126</v>
      </c>
      <c r="G37" s="4">
        <v>101010156</v>
      </c>
      <c r="H37" s="5">
        <v>6498</v>
      </c>
      <c r="I37" s="7">
        <v>316.02</v>
      </c>
      <c r="J37" s="7">
        <v>2053487.2</v>
      </c>
      <c r="K37" s="7">
        <v>1737896.6645</v>
      </c>
      <c r="L37" s="7">
        <v>315590.5355</v>
      </c>
      <c r="M37" s="8">
        <v>0.15359999999999999</v>
      </c>
      <c r="N37" s="5">
        <v>2268</v>
      </c>
      <c r="O37" s="5">
        <v>127</v>
      </c>
    </row>
    <row r="38" spans="2:15" s="1" customFormat="1" ht="13.5">
      <c r="B38" s="4" t="s">
        <v>124</v>
      </c>
      <c r="C38" s="4" t="s">
        <v>147</v>
      </c>
      <c r="D38" s="4" t="s">
        <v>166</v>
      </c>
      <c r="E38" s="4" t="s">
        <v>167</v>
      </c>
      <c r="F38" s="4" t="s">
        <v>126</v>
      </c>
      <c r="G38" s="4">
        <v>101010110</v>
      </c>
      <c r="H38" s="5">
        <v>9576</v>
      </c>
      <c r="I38" s="7">
        <v>214.02</v>
      </c>
      <c r="J38" s="7">
        <v>2049503.2</v>
      </c>
      <c r="K38" s="7">
        <v>1504250.1847000001</v>
      </c>
      <c r="L38" s="7">
        <v>545253.01529999997</v>
      </c>
      <c r="M38" s="8">
        <v>0.26600000000000001</v>
      </c>
      <c r="N38" s="5">
        <v>3516</v>
      </c>
      <c r="O38" s="5">
        <v>140</v>
      </c>
    </row>
    <row r="39" spans="2:15" s="1" customFormat="1" ht="13.5">
      <c r="B39" s="4" t="s">
        <v>124</v>
      </c>
      <c r="C39" s="4" t="s">
        <v>127</v>
      </c>
      <c r="D39" s="4" t="s">
        <v>168</v>
      </c>
      <c r="E39" s="4" t="s">
        <v>169</v>
      </c>
      <c r="F39" s="4" t="s">
        <v>126</v>
      </c>
      <c r="G39" s="4">
        <v>101010577</v>
      </c>
      <c r="H39" s="5">
        <v>1329</v>
      </c>
      <c r="I39" s="7">
        <v>1506.81</v>
      </c>
      <c r="J39" s="7">
        <v>2002551</v>
      </c>
      <c r="K39" s="7">
        <v>1784933.1828000001</v>
      </c>
      <c r="L39" s="7">
        <v>217617.81719999999</v>
      </c>
      <c r="M39" s="8">
        <v>0.1086</v>
      </c>
      <c r="N39" s="5">
        <v>134</v>
      </c>
      <c r="O39" s="5">
        <v>69</v>
      </c>
    </row>
    <row r="40" spans="2:15" s="9" customFormat="1" ht="13.5">
      <c r="B40" s="4" t="s">
        <v>124</v>
      </c>
      <c r="C40" s="4" t="s">
        <v>147</v>
      </c>
      <c r="D40" s="4" t="s">
        <v>170</v>
      </c>
      <c r="E40" s="4" t="s">
        <v>31</v>
      </c>
      <c r="F40" s="4" t="s">
        <v>126</v>
      </c>
      <c r="G40" s="4">
        <v>101010136</v>
      </c>
      <c r="H40" s="5">
        <v>4774</v>
      </c>
      <c r="I40" s="7">
        <v>390.15</v>
      </c>
      <c r="J40" s="7">
        <v>1862592</v>
      </c>
      <c r="K40" s="7">
        <v>1671502.2733</v>
      </c>
      <c r="L40" s="7">
        <v>191089.7267</v>
      </c>
      <c r="M40" s="8">
        <v>0.10249999999999999</v>
      </c>
      <c r="N40" s="5">
        <v>1781</v>
      </c>
      <c r="O40" s="5">
        <v>113</v>
      </c>
    </row>
    <row r="41" spans="2:15" s="9" customFormat="1" ht="13.5">
      <c r="B41" s="4" t="s">
        <v>124</v>
      </c>
      <c r="C41" s="4" t="s">
        <v>147</v>
      </c>
      <c r="D41" s="4" t="s">
        <v>171</v>
      </c>
      <c r="E41" s="4" t="s">
        <v>167</v>
      </c>
      <c r="F41" s="4" t="s">
        <v>126</v>
      </c>
      <c r="G41" s="4">
        <v>101010071</v>
      </c>
      <c r="H41" s="5">
        <v>12669</v>
      </c>
      <c r="I41" s="7">
        <v>143.93</v>
      </c>
      <c r="J41" s="7">
        <v>1823496.2</v>
      </c>
      <c r="K41" s="7">
        <v>1407878.3615000001</v>
      </c>
      <c r="L41" s="7">
        <v>415617.83850000001</v>
      </c>
      <c r="M41" s="8">
        <v>0.22789999999999999</v>
      </c>
      <c r="N41" s="5">
        <v>5966</v>
      </c>
      <c r="O41" s="5">
        <v>141</v>
      </c>
    </row>
    <row r="42" spans="2:15" s="1" customFormat="1" ht="13.5">
      <c r="B42" s="4" t="s">
        <v>124</v>
      </c>
      <c r="C42" s="4" t="s">
        <v>127</v>
      </c>
      <c r="D42" s="4" t="s">
        <v>172</v>
      </c>
      <c r="E42" s="4" t="s">
        <v>31</v>
      </c>
      <c r="F42" s="4" t="s">
        <v>126</v>
      </c>
      <c r="G42" s="4">
        <v>101010562</v>
      </c>
      <c r="H42" s="5">
        <v>484</v>
      </c>
      <c r="I42" s="7">
        <v>3272.16</v>
      </c>
      <c r="J42" s="7">
        <v>1583724</v>
      </c>
      <c r="K42" s="7">
        <v>1328586.9501</v>
      </c>
      <c r="L42" s="7">
        <v>255137.04990000001</v>
      </c>
      <c r="M42" s="8">
        <v>0.161</v>
      </c>
      <c r="N42" s="5">
        <v>129</v>
      </c>
      <c r="O42" s="5">
        <v>54</v>
      </c>
    </row>
    <row r="43" spans="2:15" s="1" customFormat="1" ht="13.5">
      <c r="B43" s="4" t="s">
        <v>124</v>
      </c>
      <c r="C43" s="4" t="s">
        <v>130</v>
      </c>
      <c r="D43" s="4" t="s">
        <v>173</v>
      </c>
      <c r="E43" s="4" t="s">
        <v>174</v>
      </c>
      <c r="F43" s="4" t="s">
        <v>126</v>
      </c>
      <c r="G43" s="4">
        <v>101010103</v>
      </c>
      <c r="H43" s="5">
        <v>2351</v>
      </c>
      <c r="I43" s="7">
        <v>662.55</v>
      </c>
      <c r="J43" s="7">
        <v>1557660</v>
      </c>
      <c r="K43" s="7">
        <v>1256328.9857999999</v>
      </c>
      <c r="L43" s="7">
        <v>301331.01419999998</v>
      </c>
      <c r="M43" s="8">
        <v>0.19339999999999999</v>
      </c>
      <c r="N43" s="5">
        <v>829</v>
      </c>
      <c r="O43" s="5">
        <v>83</v>
      </c>
    </row>
    <row r="44" spans="2:15" s="1" customFormat="1" ht="13.5">
      <c r="B44" s="4" t="s">
        <v>124</v>
      </c>
      <c r="C44" s="4" t="s">
        <v>125</v>
      </c>
      <c r="D44" s="4" t="s">
        <v>175</v>
      </c>
      <c r="E44" s="4" t="s">
        <v>176</v>
      </c>
      <c r="F44" s="4" t="s">
        <v>126</v>
      </c>
      <c r="G44" s="4">
        <v>101010096</v>
      </c>
      <c r="H44" s="5">
        <v>9490</v>
      </c>
      <c r="I44" s="7">
        <v>160.25</v>
      </c>
      <c r="J44" s="7">
        <v>1520741</v>
      </c>
      <c r="K44" s="7">
        <v>1140157.5508999999</v>
      </c>
      <c r="L44" s="7">
        <v>380583.44910000003</v>
      </c>
      <c r="M44" s="8">
        <v>0.25019999999999998</v>
      </c>
      <c r="N44" s="5">
        <v>4294</v>
      </c>
      <c r="O44" s="5">
        <v>140</v>
      </c>
    </row>
    <row r="45" spans="2:15" s="1" customFormat="1" ht="13.5">
      <c r="B45" s="4" t="s">
        <v>124</v>
      </c>
      <c r="C45" s="4" t="s">
        <v>125</v>
      </c>
      <c r="D45" s="4" t="s">
        <v>177</v>
      </c>
      <c r="E45" s="4" t="s">
        <v>31</v>
      </c>
      <c r="F45" s="4" t="s">
        <v>126</v>
      </c>
      <c r="G45" s="4">
        <v>101010169</v>
      </c>
      <c r="H45" s="5">
        <v>9135</v>
      </c>
      <c r="I45" s="7">
        <v>160.72999999999999</v>
      </c>
      <c r="J45" s="7">
        <v>1468300</v>
      </c>
      <c r="K45" s="7">
        <v>914856.82759999996</v>
      </c>
      <c r="L45" s="7">
        <v>553443.17240000004</v>
      </c>
      <c r="M45" s="8">
        <v>0.37690000000000001</v>
      </c>
      <c r="N45" s="5">
        <v>4689</v>
      </c>
      <c r="O45" s="5">
        <v>140</v>
      </c>
    </row>
    <row r="46" spans="2:15" s="1" customFormat="1" ht="13.5">
      <c r="B46" s="4" t="s">
        <v>124</v>
      </c>
      <c r="C46" s="4" t="s">
        <v>125</v>
      </c>
      <c r="D46" s="4" t="s">
        <v>178</v>
      </c>
      <c r="E46" s="4" t="s">
        <v>31</v>
      </c>
      <c r="F46" s="4" t="s">
        <v>126</v>
      </c>
      <c r="G46" s="4">
        <v>101010145</v>
      </c>
      <c r="H46" s="5">
        <v>11120</v>
      </c>
      <c r="I46" s="7">
        <v>129.80000000000001</v>
      </c>
      <c r="J46" s="7">
        <v>1443360.5</v>
      </c>
      <c r="K46" s="7">
        <v>1004400.0672</v>
      </c>
      <c r="L46" s="7">
        <v>438960.43280000001</v>
      </c>
      <c r="M46" s="8">
        <v>0.30409999999999998</v>
      </c>
      <c r="N46" s="5">
        <v>3942</v>
      </c>
      <c r="O46" s="5">
        <v>140</v>
      </c>
    </row>
    <row r="47" spans="2:15" s="1" customFormat="1" ht="13.5">
      <c r="B47" s="10" t="s">
        <v>124</v>
      </c>
      <c r="C47" s="10" t="s">
        <v>125</v>
      </c>
      <c r="D47" s="10" t="s">
        <v>37</v>
      </c>
      <c r="E47" s="10" t="s">
        <v>31</v>
      </c>
      <c r="F47" s="10" t="s">
        <v>126</v>
      </c>
      <c r="G47" s="10">
        <v>101010112</v>
      </c>
      <c r="H47" s="11">
        <v>5378</v>
      </c>
      <c r="I47" s="12">
        <v>263.98</v>
      </c>
      <c r="J47" s="12">
        <v>1419673.2</v>
      </c>
      <c r="K47" s="12">
        <v>1071120.1328</v>
      </c>
      <c r="L47" s="12">
        <v>348553.06719999999</v>
      </c>
      <c r="M47" s="13">
        <v>0.2455</v>
      </c>
      <c r="N47" s="11">
        <v>1878</v>
      </c>
      <c r="O47" s="11">
        <v>133</v>
      </c>
    </row>
    <row r="48" spans="2:15" s="1" customFormat="1" ht="13.5">
      <c r="B48" s="4" t="s">
        <v>124</v>
      </c>
      <c r="C48" s="4" t="s">
        <v>125</v>
      </c>
      <c r="D48" s="4" t="s">
        <v>179</v>
      </c>
      <c r="E48" s="4" t="s">
        <v>31</v>
      </c>
      <c r="F48" s="4" t="s">
        <v>126</v>
      </c>
      <c r="G48" s="4">
        <v>101010132</v>
      </c>
      <c r="H48" s="5">
        <v>11371</v>
      </c>
      <c r="I48" s="7">
        <v>121.51</v>
      </c>
      <c r="J48" s="7">
        <v>1381739</v>
      </c>
      <c r="K48" s="7">
        <v>987460.36789999995</v>
      </c>
      <c r="L48" s="7">
        <v>394278.63209999999</v>
      </c>
      <c r="M48" s="8">
        <v>0.2853</v>
      </c>
      <c r="N48" s="5">
        <v>4233</v>
      </c>
      <c r="O48" s="5">
        <v>135</v>
      </c>
    </row>
    <row r="49" spans="2:15" s="1" customFormat="1" ht="13.5">
      <c r="B49" s="4" t="s">
        <v>124</v>
      </c>
      <c r="C49" s="4" t="s">
        <v>125</v>
      </c>
      <c r="D49" s="4" t="s">
        <v>180</v>
      </c>
      <c r="E49" s="4" t="s">
        <v>181</v>
      </c>
      <c r="F49" s="4" t="s">
        <v>126</v>
      </c>
      <c r="G49" s="4">
        <v>101010133</v>
      </c>
      <c r="H49" s="5">
        <v>6272</v>
      </c>
      <c r="I49" s="7">
        <v>211.02</v>
      </c>
      <c r="J49" s="7">
        <v>1323510</v>
      </c>
      <c r="K49" s="7">
        <v>1014552.0397</v>
      </c>
      <c r="L49" s="7">
        <v>308957.96029999998</v>
      </c>
      <c r="M49" s="8">
        <v>0.2334</v>
      </c>
      <c r="N49" s="5">
        <v>1970</v>
      </c>
      <c r="O49" s="5">
        <v>122</v>
      </c>
    </row>
    <row r="50" spans="2:15" s="1" customFormat="1" ht="13.5">
      <c r="B50" s="4" t="s">
        <v>124</v>
      </c>
      <c r="C50" s="4" t="s">
        <v>125</v>
      </c>
      <c r="D50" s="4" t="s">
        <v>48</v>
      </c>
      <c r="E50" s="4" t="s">
        <v>31</v>
      </c>
      <c r="F50" s="4" t="s">
        <v>126</v>
      </c>
      <c r="G50" s="4">
        <v>101010024</v>
      </c>
      <c r="H50" s="5">
        <v>20996</v>
      </c>
      <c r="I50" s="7">
        <v>60.23</v>
      </c>
      <c r="J50" s="7">
        <v>1264689.7</v>
      </c>
      <c r="K50" s="7">
        <v>802036.22629999998</v>
      </c>
      <c r="L50" s="7">
        <v>462653.47369999997</v>
      </c>
      <c r="M50" s="8">
        <v>0.36580000000000001</v>
      </c>
      <c r="N50" s="5">
        <v>9383</v>
      </c>
      <c r="O50" s="5">
        <v>139</v>
      </c>
    </row>
    <row r="51" spans="2:15" s="1" customFormat="1" ht="24">
      <c r="B51" s="4" t="s">
        <v>124</v>
      </c>
      <c r="C51" s="4" t="s">
        <v>130</v>
      </c>
      <c r="D51" s="4" t="s">
        <v>182</v>
      </c>
      <c r="E51" s="4" t="s">
        <v>139</v>
      </c>
      <c r="F51" s="4" t="s">
        <v>126</v>
      </c>
      <c r="G51" s="4">
        <v>101010613</v>
      </c>
      <c r="H51" s="5">
        <v>7717</v>
      </c>
      <c r="I51" s="7">
        <v>163.80000000000001</v>
      </c>
      <c r="J51" s="7">
        <v>1264068</v>
      </c>
      <c r="K51" s="7">
        <v>720024.69330000004</v>
      </c>
      <c r="L51" s="7">
        <v>544043.30669999996</v>
      </c>
      <c r="M51" s="8">
        <v>0.43030000000000002</v>
      </c>
      <c r="N51" s="5">
        <v>2858</v>
      </c>
      <c r="O51" s="5">
        <v>138</v>
      </c>
    </row>
    <row r="52" spans="2:15" s="1" customFormat="1" ht="13.5">
      <c r="B52" s="4" t="s">
        <v>124</v>
      </c>
      <c r="C52" s="4" t="s">
        <v>125</v>
      </c>
      <c r="D52" s="4" t="s">
        <v>183</v>
      </c>
      <c r="E52" s="4" t="s">
        <v>31</v>
      </c>
      <c r="F52" s="4" t="s">
        <v>126</v>
      </c>
      <c r="G52" s="4">
        <v>101010490</v>
      </c>
      <c r="H52" s="5">
        <v>1130</v>
      </c>
      <c r="I52" s="7">
        <v>1104.75</v>
      </c>
      <c r="J52" s="7">
        <v>1248364</v>
      </c>
      <c r="K52" s="7">
        <v>899439.95920000004</v>
      </c>
      <c r="L52" s="7">
        <v>348924.04080000002</v>
      </c>
      <c r="M52" s="8">
        <v>0.27950000000000003</v>
      </c>
      <c r="N52" s="5">
        <v>362</v>
      </c>
      <c r="O52" s="5">
        <v>72</v>
      </c>
    </row>
    <row r="53" spans="2:15" s="1" customFormat="1" ht="13.5">
      <c r="B53" s="4" t="s">
        <v>124</v>
      </c>
      <c r="C53" s="4" t="s">
        <v>125</v>
      </c>
      <c r="D53" s="4" t="s">
        <v>184</v>
      </c>
      <c r="E53" s="4" t="s">
        <v>31</v>
      </c>
      <c r="F53" s="4" t="s">
        <v>126</v>
      </c>
      <c r="G53" s="4">
        <v>101010008</v>
      </c>
      <c r="H53" s="5">
        <v>2766</v>
      </c>
      <c r="I53" s="7">
        <v>441.67</v>
      </c>
      <c r="J53" s="7">
        <v>1221650</v>
      </c>
      <c r="K53" s="7">
        <v>831432.84620000003</v>
      </c>
      <c r="L53" s="7">
        <v>390217.15379999997</v>
      </c>
      <c r="M53" s="8">
        <v>0.31940000000000002</v>
      </c>
      <c r="N53" s="5">
        <v>856</v>
      </c>
      <c r="O53" s="5">
        <v>109</v>
      </c>
    </row>
    <row r="54" spans="2:15" s="1" customFormat="1" ht="13.5">
      <c r="B54" s="4" t="s">
        <v>124</v>
      </c>
      <c r="C54" s="4" t="s">
        <v>127</v>
      </c>
      <c r="D54" s="4" t="s">
        <v>185</v>
      </c>
      <c r="E54" s="4" t="s">
        <v>31</v>
      </c>
      <c r="F54" s="4" t="s">
        <v>126</v>
      </c>
      <c r="G54" s="4">
        <v>101010528</v>
      </c>
      <c r="H54" s="5">
        <v>13802</v>
      </c>
      <c r="I54" s="7">
        <v>81.760000000000005</v>
      </c>
      <c r="J54" s="7">
        <v>1128439</v>
      </c>
      <c r="K54" s="7">
        <v>730443.77930000005</v>
      </c>
      <c r="L54" s="7">
        <v>397995.22070000001</v>
      </c>
      <c r="M54" s="8">
        <v>0.35260000000000002</v>
      </c>
      <c r="N54" s="5">
        <v>7051</v>
      </c>
      <c r="O54" s="5">
        <v>142</v>
      </c>
    </row>
    <row r="55" spans="2:15" s="1" customFormat="1" ht="13.5">
      <c r="B55" s="4" t="s">
        <v>124</v>
      </c>
      <c r="C55" s="4" t="s">
        <v>125</v>
      </c>
      <c r="D55" s="4" t="s">
        <v>186</v>
      </c>
      <c r="E55" s="4" t="s">
        <v>31</v>
      </c>
      <c r="F55" s="4" t="s">
        <v>126</v>
      </c>
      <c r="G55" s="4">
        <v>101010197</v>
      </c>
      <c r="H55" s="5">
        <v>7125</v>
      </c>
      <c r="I55" s="7">
        <v>148.84</v>
      </c>
      <c r="J55" s="7">
        <v>1060451</v>
      </c>
      <c r="K55" s="7">
        <v>629081.62320000003</v>
      </c>
      <c r="L55" s="7">
        <v>431369.37680000003</v>
      </c>
      <c r="M55" s="8">
        <v>0.40670000000000001</v>
      </c>
      <c r="N55" s="5">
        <v>2350</v>
      </c>
      <c r="O55" s="5">
        <v>136</v>
      </c>
    </row>
    <row r="56" spans="2:15" s="1" customFormat="1" ht="13.5">
      <c r="B56" s="4" t="s">
        <v>124</v>
      </c>
      <c r="C56" s="4" t="s">
        <v>147</v>
      </c>
      <c r="D56" s="4" t="s">
        <v>187</v>
      </c>
      <c r="E56" s="4" t="s">
        <v>31</v>
      </c>
      <c r="F56" s="4" t="s">
        <v>126</v>
      </c>
      <c r="G56" s="4">
        <v>101010603</v>
      </c>
      <c r="H56" s="5">
        <v>17536</v>
      </c>
      <c r="I56" s="7">
        <v>60.31</v>
      </c>
      <c r="J56" s="7">
        <v>1057636.5</v>
      </c>
      <c r="K56" s="7">
        <v>569171.81810000003</v>
      </c>
      <c r="L56" s="7">
        <v>488464.68190000003</v>
      </c>
      <c r="M56" s="8">
        <v>0.46179999999999999</v>
      </c>
      <c r="N56" s="5">
        <v>5517</v>
      </c>
      <c r="O56" s="5">
        <v>140</v>
      </c>
    </row>
    <row r="57" spans="2:15" s="1" customFormat="1" ht="13.5">
      <c r="B57" s="4" t="s">
        <v>124</v>
      </c>
      <c r="C57" s="4" t="s">
        <v>125</v>
      </c>
      <c r="D57" s="4" t="s">
        <v>188</v>
      </c>
      <c r="E57" s="4" t="s">
        <v>31</v>
      </c>
      <c r="F57" s="4" t="s">
        <v>126</v>
      </c>
      <c r="G57" s="4">
        <v>101010010</v>
      </c>
      <c r="H57" s="5">
        <v>15180</v>
      </c>
      <c r="I57" s="7">
        <v>68.06</v>
      </c>
      <c r="J57" s="7">
        <v>1033116.8</v>
      </c>
      <c r="K57" s="7">
        <v>787749.22499999998</v>
      </c>
      <c r="L57" s="7">
        <v>245367.57500000001</v>
      </c>
      <c r="M57" s="8">
        <v>0.23749999999999999</v>
      </c>
      <c r="N57" s="5">
        <v>8898</v>
      </c>
      <c r="O57" s="5">
        <v>124</v>
      </c>
    </row>
    <row r="58" spans="2:15" s="1" customFormat="1" ht="13.5">
      <c r="B58" s="4" t="s">
        <v>124</v>
      </c>
      <c r="C58" s="4" t="s">
        <v>127</v>
      </c>
      <c r="D58" s="4" t="s">
        <v>189</v>
      </c>
      <c r="E58" s="4" t="s">
        <v>31</v>
      </c>
      <c r="F58" s="4" t="s">
        <v>126</v>
      </c>
      <c r="G58" s="4">
        <v>101010159</v>
      </c>
      <c r="H58" s="5">
        <v>1130</v>
      </c>
      <c r="I58" s="7">
        <v>905.31</v>
      </c>
      <c r="J58" s="7">
        <v>1022998</v>
      </c>
      <c r="K58" s="7">
        <v>785306.4693</v>
      </c>
      <c r="L58" s="7">
        <v>237691.5307</v>
      </c>
      <c r="M58" s="8">
        <v>0.23230000000000001</v>
      </c>
      <c r="N58" s="5">
        <v>311</v>
      </c>
      <c r="O58" s="5">
        <v>83</v>
      </c>
    </row>
    <row r="59" spans="2:15" s="1" customFormat="1" ht="13.5">
      <c r="B59" s="4" t="s">
        <v>124</v>
      </c>
      <c r="C59" s="4" t="s">
        <v>147</v>
      </c>
      <c r="D59" s="4" t="s">
        <v>190</v>
      </c>
      <c r="E59" s="4" t="s">
        <v>167</v>
      </c>
      <c r="F59" s="4" t="s">
        <v>126</v>
      </c>
      <c r="G59" s="4">
        <v>101010070</v>
      </c>
      <c r="H59" s="5">
        <v>10174</v>
      </c>
      <c r="I59" s="7">
        <v>98.01</v>
      </c>
      <c r="J59" s="7">
        <v>997182.6</v>
      </c>
      <c r="K59" s="7">
        <v>732185.74329999997</v>
      </c>
      <c r="L59" s="7">
        <v>264996.8567</v>
      </c>
      <c r="M59" s="8">
        <v>0.26569999999999999</v>
      </c>
      <c r="N59" s="5">
        <v>4630</v>
      </c>
      <c r="O59" s="5">
        <v>142</v>
      </c>
    </row>
    <row r="60" spans="2:15" s="1" customFormat="1" ht="13.5">
      <c r="B60" s="4" t="s">
        <v>124</v>
      </c>
      <c r="C60" s="4" t="s">
        <v>125</v>
      </c>
      <c r="D60" s="4" t="s">
        <v>191</v>
      </c>
      <c r="E60" s="4" t="s">
        <v>31</v>
      </c>
      <c r="F60" s="4" t="s">
        <v>126</v>
      </c>
      <c r="G60" s="4">
        <v>101010177</v>
      </c>
      <c r="H60" s="5">
        <v>3844</v>
      </c>
      <c r="I60" s="7">
        <v>256.5</v>
      </c>
      <c r="J60" s="7">
        <v>985998.8</v>
      </c>
      <c r="K60" s="7">
        <v>732473.5736</v>
      </c>
      <c r="L60" s="7">
        <v>253525.22640000001</v>
      </c>
      <c r="M60" s="8">
        <v>0.2571</v>
      </c>
      <c r="N60" s="5">
        <v>1433</v>
      </c>
      <c r="O60" s="5">
        <v>120</v>
      </c>
    </row>
    <row r="61" spans="2:15" s="1" customFormat="1" ht="13.5">
      <c r="B61" s="4" t="s">
        <v>124</v>
      </c>
      <c r="C61" s="4" t="s">
        <v>147</v>
      </c>
      <c r="D61" s="4" t="s">
        <v>192</v>
      </c>
      <c r="E61" s="4" t="s">
        <v>167</v>
      </c>
      <c r="F61" s="4" t="s">
        <v>126</v>
      </c>
      <c r="G61" s="4">
        <v>101010600</v>
      </c>
      <c r="H61" s="5">
        <v>15019</v>
      </c>
      <c r="I61" s="7">
        <v>63.96</v>
      </c>
      <c r="J61" s="7">
        <v>960544</v>
      </c>
      <c r="K61" s="7">
        <v>674627.97970000003</v>
      </c>
      <c r="L61" s="7">
        <v>285916.02029999997</v>
      </c>
      <c r="M61" s="8">
        <v>0.29759999999999998</v>
      </c>
      <c r="N61" s="5">
        <v>3192</v>
      </c>
      <c r="O61" s="5">
        <v>130</v>
      </c>
    </row>
    <row r="62" spans="2:15" s="1" customFormat="1" ht="13.5">
      <c r="B62" s="4" t="s">
        <v>124</v>
      </c>
      <c r="C62" s="4" t="s">
        <v>125</v>
      </c>
      <c r="D62" s="4" t="s">
        <v>193</v>
      </c>
      <c r="E62" s="4" t="s">
        <v>31</v>
      </c>
      <c r="F62" s="4" t="s">
        <v>126</v>
      </c>
      <c r="G62" s="4">
        <v>101010166</v>
      </c>
      <c r="H62" s="5">
        <v>4503</v>
      </c>
      <c r="I62" s="7">
        <v>208.84</v>
      </c>
      <c r="J62" s="7">
        <v>940385.9</v>
      </c>
      <c r="K62" s="7">
        <v>690982.36930000002</v>
      </c>
      <c r="L62" s="7">
        <v>249403.5307</v>
      </c>
      <c r="M62" s="8">
        <v>0.26519999999999999</v>
      </c>
      <c r="N62" s="5">
        <v>1355</v>
      </c>
      <c r="O62" s="5">
        <v>134</v>
      </c>
    </row>
    <row r="63" spans="2:15" s="1" customFormat="1" ht="13.5">
      <c r="B63" s="4" t="s">
        <v>124</v>
      </c>
      <c r="C63" s="4" t="s">
        <v>130</v>
      </c>
      <c r="D63" s="4" t="s">
        <v>194</v>
      </c>
      <c r="E63" s="4" t="s">
        <v>195</v>
      </c>
      <c r="F63" s="4" t="s">
        <v>126</v>
      </c>
      <c r="G63" s="4">
        <v>101010622</v>
      </c>
      <c r="H63" s="5">
        <v>20394</v>
      </c>
      <c r="I63" s="7">
        <v>44.84</v>
      </c>
      <c r="J63" s="7">
        <v>914428.5</v>
      </c>
      <c r="K63" s="7">
        <v>643115.05480000004</v>
      </c>
      <c r="L63" s="7">
        <v>271313.44520000002</v>
      </c>
      <c r="M63" s="8">
        <v>0.29670000000000002</v>
      </c>
      <c r="N63" s="5">
        <v>11350</v>
      </c>
      <c r="O63" s="5">
        <v>136</v>
      </c>
    </row>
    <row r="64" spans="2:15" s="1" customFormat="1" ht="13.5">
      <c r="B64" s="4" t="s">
        <v>124</v>
      </c>
      <c r="C64" s="4" t="s">
        <v>127</v>
      </c>
      <c r="D64" s="4" t="s">
        <v>196</v>
      </c>
      <c r="E64" s="4" t="s">
        <v>31</v>
      </c>
      <c r="F64" s="4" t="s">
        <v>126</v>
      </c>
      <c r="G64" s="4">
        <v>101010205</v>
      </c>
      <c r="H64" s="5">
        <v>2281</v>
      </c>
      <c r="I64" s="7">
        <v>396.92</v>
      </c>
      <c r="J64" s="7">
        <v>905375</v>
      </c>
      <c r="K64" s="7">
        <v>514003.23910000001</v>
      </c>
      <c r="L64" s="7">
        <v>391371.76089999999</v>
      </c>
      <c r="M64" s="8">
        <v>0.43219999999999997</v>
      </c>
      <c r="N64" s="5">
        <v>386</v>
      </c>
      <c r="O64" s="5">
        <v>87</v>
      </c>
    </row>
    <row r="65" spans="2:15" s="1" customFormat="1" ht="13.5">
      <c r="B65" s="4" t="s">
        <v>124</v>
      </c>
      <c r="C65" s="4" t="s">
        <v>127</v>
      </c>
      <c r="D65" s="4" t="s">
        <v>197</v>
      </c>
      <c r="E65" s="4" t="s">
        <v>31</v>
      </c>
      <c r="F65" s="4" t="s">
        <v>126</v>
      </c>
      <c r="G65" s="4">
        <v>101010575</v>
      </c>
      <c r="H65" s="5">
        <v>3918</v>
      </c>
      <c r="I65" s="7">
        <v>217.52</v>
      </c>
      <c r="J65" s="7">
        <v>852260</v>
      </c>
      <c r="K65" s="7">
        <v>591591.83649999998</v>
      </c>
      <c r="L65" s="7">
        <v>260668.1635</v>
      </c>
      <c r="M65" s="8">
        <v>0.30580000000000002</v>
      </c>
      <c r="N65" s="5">
        <v>1486</v>
      </c>
      <c r="O65" s="5">
        <v>85</v>
      </c>
    </row>
    <row r="66" spans="2:15" s="1" customFormat="1" ht="13.5">
      <c r="B66" s="4" t="s">
        <v>124</v>
      </c>
      <c r="C66" s="4" t="s">
        <v>147</v>
      </c>
      <c r="D66" s="4" t="s">
        <v>198</v>
      </c>
      <c r="E66" s="4" t="s">
        <v>167</v>
      </c>
      <c r="F66" s="4" t="s">
        <v>126</v>
      </c>
      <c r="G66" s="4">
        <v>101010069</v>
      </c>
      <c r="H66" s="5">
        <v>6365</v>
      </c>
      <c r="I66" s="7">
        <v>130.07</v>
      </c>
      <c r="J66" s="7">
        <v>827909.5</v>
      </c>
      <c r="K66" s="7">
        <v>617258.42339999997</v>
      </c>
      <c r="L66" s="7">
        <v>210651.0766</v>
      </c>
      <c r="M66" s="8">
        <v>0.25440000000000002</v>
      </c>
      <c r="N66" s="5">
        <v>3019</v>
      </c>
      <c r="O66" s="5">
        <v>140</v>
      </c>
    </row>
    <row r="67" spans="2:15" s="1" customFormat="1" ht="13.5">
      <c r="B67" s="4" t="s">
        <v>124</v>
      </c>
      <c r="C67" s="4" t="s">
        <v>125</v>
      </c>
      <c r="D67" s="4" t="s">
        <v>199</v>
      </c>
      <c r="E67" s="4" t="s">
        <v>31</v>
      </c>
      <c r="F67" s="4" t="s">
        <v>126</v>
      </c>
      <c r="G67" s="4">
        <v>101010131</v>
      </c>
      <c r="H67" s="5">
        <v>9494</v>
      </c>
      <c r="I67" s="7">
        <v>84.5</v>
      </c>
      <c r="J67" s="7">
        <v>802206.2</v>
      </c>
      <c r="K67" s="7">
        <v>628011.03150000004</v>
      </c>
      <c r="L67" s="7">
        <v>174195.1685</v>
      </c>
      <c r="M67" s="8">
        <v>0.21709999999999999</v>
      </c>
      <c r="N67" s="5">
        <v>3269</v>
      </c>
      <c r="O67" s="5">
        <v>134</v>
      </c>
    </row>
    <row r="68" spans="2:15" s="1" customFormat="1" ht="13.5">
      <c r="B68" s="4" t="s">
        <v>124</v>
      </c>
      <c r="C68" s="4" t="s">
        <v>127</v>
      </c>
      <c r="D68" s="4" t="s">
        <v>200</v>
      </c>
      <c r="E68" s="4" t="s">
        <v>157</v>
      </c>
      <c r="F68" s="4" t="s">
        <v>126</v>
      </c>
      <c r="G68" s="4">
        <v>101010545</v>
      </c>
      <c r="H68" s="5">
        <v>1509</v>
      </c>
      <c r="I68" s="7">
        <v>526.36</v>
      </c>
      <c r="J68" s="7">
        <v>794270</v>
      </c>
      <c r="K68" s="7">
        <v>554053.13260000001</v>
      </c>
      <c r="L68" s="7">
        <v>240216.86739999999</v>
      </c>
      <c r="M68" s="8">
        <v>0.3024</v>
      </c>
      <c r="N68" s="5">
        <v>225</v>
      </c>
      <c r="O68" s="5">
        <v>68</v>
      </c>
    </row>
    <row r="69" spans="2:15" s="1" customFormat="1" ht="13.5">
      <c r="B69" s="4" t="s">
        <v>124</v>
      </c>
      <c r="C69" s="4" t="s">
        <v>127</v>
      </c>
      <c r="D69" s="4" t="s">
        <v>201</v>
      </c>
      <c r="E69" s="4" t="s">
        <v>202</v>
      </c>
      <c r="F69" s="4" t="s">
        <v>126</v>
      </c>
      <c r="G69" s="4">
        <v>101010553</v>
      </c>
      <c r="H69" s="5">
        <v>535</v>
      </c>
      <c r="I69" s="7">
        <v>1401.47</v>
      </c>
      <c r="J69" s="7">
        <v>749784</v>
      </c>
      <c r="K69" s="7">
        <v>502197.93680000002</v>
      </c>
      <c r="L69" s="7">
        <v>247586.0632</v>
      </c>
      <c r="M69" s="8">
        <v>0.33019999999999999</v>
      </c>
      <c r="N69" s="5">
        <v>162</v>
      </c>
      <c r="O69" s="5">
        <v>62</v>
      </c>
    </row>
    <row r="70" spans="2:15" s="1" customFormat="1" ht="13.5">
      <c r="B70" s="4" t="s">
        <v>124</v>
      </c>
      <c r="C70" s="4" t="s">
        <v>127</v>
      </c>
      <c r="D70" s="4" t="s">
        <v>203</v>
      </c>
      <c r="E70" s="4" t="s">
        <v>204</v>
      </c>
      <c r="F70" s="4" t="s">
        <v>126</v>
      </c>
      <c r="G70" s="4">
        <v>101010548</v>
      </c>
      <c r="H70" s="5">
        <v>119</v>
      </c>
      <c r="I70" s="7">
        <v>6006.55</v>
      </c>
      <c r="J70" s="7">
        <v>714779</v>
      </c>
      <c r="K70" s="7">
        <v>444214.03970000002</v>
      </c>
      <c r="L70" s="7">
        <v>270564.96029999998</v>
      </c>
      <c r="M70" s="8">
        <v>0.3785</v>
      </c>
      <c r="N70" s="5">
        <v>41</v>
      </c>
      <c r="O70" s="5">
        <v>22</v>
      </c>
    </row>
    <row r="71" spans="2:15" s="1" customFormat="1" ht="13.5">
      <c r="B71" s="4" t="s">
        <v>124</v>
      </c>
      <c r="C71" s="4" t="s">
        <v>147</v>
      </c>
      <c r="D71" s="4" t="s">
        <v>205</v>
      </c>
      <c r="E71" s="4" t="s">
        <v>176</v>
      </c>
      <c r="F71" s="4" t="s">
        <v>126</v>
      </c>
      <c r="G71" s="4">
        <v>101010126</v>
      </c>
      <c r="H71" s="5">
        <v>24516</v>
      </c>
      <c r="I71" s="7">
        <v>28.98</v>
      </c>
      <c r="J71" s="7">
        <v>710557.7</v>
      </c>
      <c r="K71" s="7">
        <v>612444.70880000002</v>
      </c>
      <c r="L71" s="7">
        <v>98112.991200000004</v>
      </c>
      <c r="M71" s="8">
        <v>0.13800000000000001</v>
      </c>
      <c r="N71" s="5">
        <v>13557</v>
      </c>
      <c r="O71" s="5">
        <v>141</v>
      </c>
    </row>
    <row r="72" spans="2:15" s="1" customFormat="1" ht="13.5">
      <c r="B72" s="4" t="s">
        <v>124</v>
      </c>
      <c r="C72" s="4" t="s">
        <v>125</v>
      </c>
      <c r="D72" s="4" t="s">
        <v>206</v>
      </c>
      <c r="E72" s="4" t="s">
        <v>31</v>
      </c>
      <c r="F72" s="4" t="s">
        <v>126</v>
      </c>
      <c r="G72" s="4">
        <v>101010491</v>
      </c>
      <c r="H72" s="5">
        <v>10874</v>
      </c>
      <c r="I72" s="7">
        <v>65.19</v>
      </c>
      <c r="J72" s="7">
        <v>708886</v>
      </c>
      <c r="K72" s="7">
        <v>374635.50809999998</v>
      </c>
      <c r="L72" s="7">
        <v>334250.49190000002</v>
      </c>
      <c r="M72" s="8">
        <v>0.47149999999999997</v>
      </c>
      <c r="N72" s="5">
        <v>3201</v>
      </c>
      <c r="O72" s="5">
        <v>132</v>
      </c>
    </row>
    <row r="73" spans="2:15" s="1" customFormat="1" ht="13.5">
      <c r="B73" s="4" t="s">
        <v>124</v>
      </c>
      <c r="C73" s="4" t="s">
        <v>125</v>
      </c>
      <c r="D73" s="4" t="s">
        <v>207</v>
      </c>
      <c r="E73" s="4" t="s">
        <v>31</v>
      </c>
      <c r="F73" s="4" t="s">
        <v>126</v>
      </c>
      <c r="G73" s="4">
        <v>101010128</v>
      </c>
      <c r="H73" s="5">
        <v>9661</v>
      </c>
      <c r="I73" s="7">
        <v>71.7</v>
      </c>
      <c r="J73" s="7">
        <v>692671.6</v>
      </c>
      <c r="K73" s="7">
        <v>503743.25540000002</v>
      </c>
      <c r="L73" s="7">
        <v>188928.34460000001</v>
      </c>
      <c r="M73" s="8">
        <v>0.2727</v>
      </c>
      <c r="N73" s="5">
        <v>4892</v>
      </c>
      <c r="O73" s="5">
        <v>142</v>
      </c>
    </row>
    <row r="74" spans="2:15" s="1" customFormat="1" ht="13.5">
      <c r="B74" s="4" t="s">
        <v>124</v>
      </c>
      <c r="C74" s="4" t="s">
        <v>125</v>
      </c>
      <c r="D74" s="4" t="s">
        <v>208</v>
      </c>
      <c r="E74" s="4" t="s">
        <v>31</v>
      </c>
      <c r="F74" s="4" t="s">
        <v>126</v>
      </c>
      <c r="G74" s="4">
        <v>101010160</v>
      </c>
      <c r="H74" s="5">
        <v>6606</v>
      </c>
      <c r="I74" s="7">
        <v>103.05</v>
      </c>
      <c r="J74" s="7">
        <v>680769.2</v>
      </c>
      <c r="K74" s="7">
        <v>523745.77559999999</v>
      </c>
      <c r="L74" s="7">
        <v>157023.42439999999</v>
      </c>
      <c r="M74" s="8">
        <v>0.2306</v>
      </c>
      <c r="N74" s="5">
        <v>2519</v>
      </c>
      <c r="O74" s="5">
        <v>138</v>
      </c>
    </row>
    <row r="75" spans="2:15" s="1" customFormat="1" ht="13.5">
      <c r="B75" s="4" t="s">
        <v>124</v>
      </c>
      <c r="C75" s="4" t="s">
        <v>130</v>
      </c>
      <c r="D75" s="4" t="s">
        <v>209</v>
      </c>
      <c r="E75" s="4" t="s">
        <v>157</v>
      </c>
      <c r="F75" s="4" t="s">
        <v>126</v>
      </c>
      <c r="G75" s="4">
        <v>101010137</v>
      </c>
      <c r="H75" s="5">
        <v>885</v>
      </c>
      <c r="I75" s="7">
        <v>765.26</v>
      </c>
      <c r="J75" s="7">
        <v>677251.4</v>
      </c>
      <c r="K75" s="7">
        <v>589375.32290000003</v>
      </c>
      <c r="L75" s="7">
        <v>87876.077099999995</v>
      </c>
      <c r="M75" s="8">
        <v>0.12970000000000001</v>
      </c>
      <c r="N75" s="5">
        <v>369</v>
      </c>
      <c r="O75" s="5">
        <v>89</v>
      </c>
    </row>
    <row r="76" spans="2:15" s="1" customFormat="1" ht="13.5">
      <c r="B76" s="4" t="s">
        <v>124</v>
      </c>
      <c r="C76" s="4" t="s">
        <v>147</v>
      </c>
      <c r="D76" s="4" t="s">
        <v>210</v>
      </c>
      <c r="E76" s="4" t="s">
        <v>31</v>
      </c>
      <c r="F76" s="4" t="s">
        <v>126</v>
      </c>
      <c r="G76" s="4">
        <v>101010602</v>
      </c>
      <c r="H76" s="5">
        <v>21862</v>
      </c>
      <c r="I76" s="7">
        <v>30.44</v>
      </c>
      <c r="J76" s="7">
        <v>665382.6</v>
      </c>
      <c r="K76" s="7">
        <v>349701.09879999998</v>
      </c>
      <c r="L76" s="7">
        <v>315681.5012</v>
      </c>
      <c r="M76" s="8">
        <v>0.47439999999999999</v>
      </c>
      <c r="N76" s="5">
        <v>9054</v>
      </c>
      <c r="O76" s="5">
        <v>138</v>
      </c>
    </row>
    <row r="77" spans="2:15" s="1" customFormat="1" ht="13.5">
      <c r="B77" s="4" t="s">
        <v>124</v>
      </c>
      <c r="C77" s="4" t="s">
        <v>125</v>
      </c>
      <c r="D77" s="4" t="s">
        <v>211</v>
      </c>
      <c r="E77" s="4" t="s">
        <v>176</v>
      </c>
      <c r="F77" s="4" t="s">
        <v>126</v>
      </c>
      <c r="G77" s="4">
        <v>101010097</v>
      </c>
      <c r="H77" s="5">
        <v>8548</v>
      </c>
      <c r="I77" s="7">
        <v>77.739999999999995</v>
      </c>
      <c r="J77" s="7">
        <v>664501.1</v>
      </c>
      <c r="K77" s="7">
        <v>494851.516</v>
      </c>
      <c r="L77" s="7">
        <v>169649.584</v>
      </c>
      <c r="M77" s="8">
        <v>0.25530000000000003</v>
      </c>
      <c r="N77" s="5">
        <v>4473</v>
      </c>
      <c r="O77" s="5">
        <v>141</v>
      </c>
    </row>
    <row r="78" spans="2:15" s="1" customFormat="1" ht="13.5">
      <c r="B78" s="4" t="s">
        <v>124</v>
      </c>
      <c r="C78" s="4" t="s">
        <v>127</v>
      </c>
      <c r="D78" s="4" t="s">
        <v>212</v>
      </c>
      <c r="E78" s="4" t="s">
        <v>123</v>
      </c>
      <c r="F78" s="4" t="s">
        <v>126</v>
      </c>
      <c r="G78" s="4">
        <v>101010555</v>
      </c>
      <c r="H78" s="5">
        <v>2396</v>
      </c>
      <c r="I78" s="7">
        <v>273.18</v>
      </c>
      <c r="J78" s="7">
        <v>654542</v>
      </c>
      <c r="K78" s="7">
        <v>364429.22639999999</v>
      </c>
      <c r="L78" s="7">
        <v>290112.77360000001</v>
      </c>
      <c r="M78" s="8">
        <v>0.44319999999999998</v>
      </c>
      <c r="N78" s="5">
        <v>1125</v>
      </c>
      <c r="O78" s="5">
        <v>125</v>
      </c>
    </row>
    <row r="79" spans="2:15" s="1" customFormat="1" ht="13.5">
      <c r="B79" s="4" t="s">
        <v>124</v>
      </c>
      <c r="C79" s="4" t="s">
        <v>127</v>
      </c>
      <c r="D79" s="4" t="s">
        <v>213</v>
      </c>
      <c r="E79" s="4" t="s">
        <v>31</v>
      </c>
      <c r="F79" s="4" t="s">
        <v>126</v>
      </c>
      <c r="G79" s="4">
        <v>101010157</v>
      </c>
      <c r="H79" s="5">
        <v>55</v>
      </c>
      <c r="I79" s="7">
        <v>11735.73</v>
      </c>
      <c r="J79" s="7">
        <v>645465</v>
      </c>
      <c r="K79" s="7">
        <v>543145.50069999998</v>
      </c>
      <c r="L79" s="7">
        <v>102319.4993</v>
      </c>
      <c r="M79" s="8">
        <v>0.1585</v>
      </c>
      <c r="N79" s="5">
        <v>22</v>
      </c>
      <c r="O79" s="5">
        <v>13</v>
      </c>
    </row>
    <row r="80" spans="2:15" s="1" customFormat="1" ht="13.5">
      <c r="B80" s="4" t="s">
        <v>124</v>
      </c>
      <c r="C80" s="4" t="s">
        <v>130</v>
      </c>
      <c r="D80" s="4" t="s">
        <v>214</v>
      </c>
      <c r="E80" s="4" t="s">
        <v>215</v>
      </c>
      <c r="F80" s="4" t="s">
        <v>126</v>
      </c>
      <c r="G80" s="4">
        <v>101010619</v>
      </c>
      <c r="H80" s="5">
        <v>33373</v>
      </c>
      <c r="I80" s="7">
        <v>17.95</v>
      </c>
      <c r="J80" s="7">
        <v>598911.30000000005</v>
      </c>
      <c r="K80" s="7">
        <v>391094.30940000003</v>
      </c>
      <c r="L80" s="7">
        <v>207816.99059999999</v>
      </c>
      <c r="M80" s="8">
        <v>0.34689999999999999</v>
      </c>
      <c r="N80" s="5">
        <v>10959</v>
      </c>
      <c r="O80" s="5">
        <v>140</v>
      </c>
    </row>
    <row r="81" spans="2:15" s="1" customFormat="1" ht="13.5">
      <c r="B81" s="10" t="s">
        <v>124</v>
      </c>
      <c r="C81" s="10" t="s">
        <v>125</v>
      </c>
      <c r="D81" s="10" t="s">
        <v>216</v>
      </c>
      <c r="E81" s="10" t="s">
        <v>31</v>
      </c>
      <c r="F81" s="10" t="s">
        <v>126</v>
      </c>
      <c r="G81" s="10">
        <v>101010111</v>
      </c>
      <c r="H81" s="11">
        <v>2715</v>
      </c>
      <c r="I81" s="12">
        <v>210.86</v>
      </c>
      <c r="J81" s="12">
        <v>572472.4</v>
      </c>
      <c r="K81" s="12">
        <v>440937.01040000003</v>
      </c>
      <c r="L81" s="12">
        <v>131535.38959999999</v>
      </c>
      <c r="M81" s="13">
        <v>0.22969999999999999</v>
      </c>
      <c r="N81" s="11">
        <v>944</v>
      </c>
      <c r="O81" s="11">
        <v>131</v>
      </c>
    </row>
    <row r="82" spans="2:15" s="1" customFormat="1" ht="13.5">
      <c r="B82" s="4" t="s">
        <v>124</v>
      </c>
      <c r="C82" s="4" t="s">
        <v>125</v>
      </c>
      <c r="D82" s="4" t="s">
        <v>217</v>
      </c>
      <c r="E82" s="4" t="s">
        <v>31</v>
      </c>
      <c r="F82" s="4" t="s">
        <v>126</v>
      </c>
      <c r="G82" s="4">
        <v>101010561</v>
      </c>
      <c r="H82" s="5">
        <v>3783</v>
      </c>
      <c r="I82" s="7">
        <v>147.59</v>
      </c>
      <c r="J82" s="7">
        <v>558321</v>
      </c>
      <c r="K82" s="7">
        <v>359663.39559999999</v>
      </c>
      <c r="L82" s="7">
        <v>198657.60440000001</v>
      </c>
      <c r="M82" s="8">
        <v>0.35580000000000001</v>
      </c>
      <c r="N82" s="5">
        <v>2233</v>
      </c>
      <c r="O82" s="5">
        <v>132</v>
      </c>
    </row>
    <row r="83" spans="2:15" s="1" customFormat="1" ht="13.5">
      <c r="B83" s="4" t="s">
        <v>124</v>
      </c>
      <c r="C83" s="4" t="s">
        <v>125</v>
      </c>
      <c r="D83" s="4" t="s">
        <v>218</v>
      </c>
      <c r="E83" s="4" t="s">
        <v>31</v>
      </c>
      <c r="F83" s="4" t="s">
        <v>126</v>
      </c>
      <c r="G83" s="4">
        <v>101010116</v>
      </c>
      <c r="H83" s="5">
        <v>3954</v>
      </c>
      <c r="I83" s="7">
        <v>140.63999999999999</v>
      </c>
      <c r="J83" s="7">
        <v>556093</v>
      </c>
      <c r="K83" s="7">
        <v>424623.82770000002</v>
      </c>
      <c r="L83" s="7">
        <v>131469.17230000001</v>
      </c>
      <c r="M83" s="8">
        <v>0.2364</v>
      </c>
      <c r="N83" s="5">
        <v>1473</v>
      </c>
      <c r="O83" s="5">
        <v>121</v>
      </c>
    </row>
    <row r="84" spans="2:15" s="1" customFormat="1" ht="13.5">
      <c r="B84" s="4" t="s">
        <v>124</v>
      </c>
      <c r="C84" s="4" t="s">
        <v>127</v>
      </c>
      <c r="D84" s="4" t="s">
        <v>219</v>
      </c>
      <c r="E84" s="4" t="s">
        <v>31</v>
      </c>
      <c r="F84" s="4" t="s">
        <v>126</v>
      </c>
      <c r="G84" s="4">
        <v>101010550</v>
      </c>
      <c r="H84" s="5">
        <v>2164</v>
      </c>
      <c r="I84" s="7">
        <v>252.69</v>
      </c>
      <c r="J84" s="7">
        <v>546831</v>
      </c>
      <c r="K84" s="7">
        <v>385414.7843</v>
      </c>
      <c r="L84" s="7">
        <v>161416.2157</v>
      </c>
      <c r="M84" s="8">
        <v>0.29509999999999997</v>
      </c>
      <c r="N84" s="5">
        <v>494</v>
      </c>
      <c r="O84" s="5">
        <v>75</v>
      </c>
    </row>
    <row r="85" spans="2:15" s="1" customFormat="1" ht="13.5">
      <c r="B85" s="4" t="s">
        <v>124</v>
      </c>
      <c r="C85" s="4" t="s">
        <v>220</v>
      </c>
      <c r="D85" s="4" t="s">
        <v>221</v>
      </c>
      <c r="E85" s="4" t="s">
        <v>31</v>
      </c>
      <c r="F85" s="4" t="s">
        <v>126</v>
      </c>
      <c r="G85" s="4">
        <v>101010124</v>
      </c>
      <c r="H85" s="5">
        <v>7221</v>
      </c>
      <c r="I85" s="7">
        <v>75.28</v>
      </c>
      <c r="J85" s="7">
        <v>543562.19999999995</v>
      </c>
      <c r="K85" s="7">
        <v>395867.7574</v>
      </c>
      <c r="L85" s="7">
        <v>147694.44260000001</v>
      </c>
      <c r="M85" s="8">
        <v>0.2717</v>
      </c>
      <c r="N85" s="5">
        <v>3901</v>
      </c>
      <c r="O85" s="5">
        <v>136</v>
      </c>
    </row>
    <row r="86" spans="2:15" s="1" customFormat="1" ht="13.5">
      <c r="B86" s="4" t="s">
        <v>124</v>
      </c>
      <c r="C86" s="4" t="s">
        <v>127</v>
      </c>
      <c r="D86" s="4" t="s">
        <v>222</v>
      </c>
      <c r="E86" s="4" t="s">
        <v>31</v>
      </c>
      <c r="F86" s="4" t="s">
        <v>126</v>
      </c>
      <c r="G86" s="4">
        <v>101010544</v>
      </c>
      <c r="H86" s="5">
        <v>259</v>
      </c>
      <c r="I86" s="7">
        <v>2046.18</v>
      </c>
      <c r="J86" s="7">
        <v>529961</v>
      </c>
      <c r="K86" s="7">
        <v>482679.04979999998</v>
      </c>
      <c r="L86" s="7">
        <v>47281.950199999999</v>
      </c>
      <c r="M86" s="8">
        <v>8.9200000000000002E-2</v>
      </c>
      <c r="N86" s="5">
        <v>48</v>
      </c>
      <c r="O86" s="5">
        <v>25</v>
      </c>
    </row>
    <row r="87" spans="2:15" s="1" customFormat="1" ht="13.5">
      <c r="B87" s="4" t="s">
        <v>124</v>
      </c>
      <c r="C87" s="4" t="s">
        <v>125</v>
      </c>
      <c r="D87" s="4" t="s">
        <v>223</v>
      </c>
      <c r="E87" s="4" t="s">
        <v>31</v>
      </c>
      <c r="F87" s="4" t="s">
        <v>126</v>
      </c>
      <c r="G87" s="4">
        <v>101010129</v>
      </c>
      <c r="H87" s="5">
        <v>5536</v>
      </c>
      <c r="I87" s="7">
        <v>95.72</v>
      </c>
      <c r="J87" s="7">
        <v>529883.6</v>
      </c>
      <c r="K87" s="7">
        <v>410560.81770000001</v>
      </c>
      <c r="L87" s="7">
        <v>119322.78230000001</v>
      </c>
      <c r="M87" s="8">
        <v>0.22509999999999999</v>
      </c>
      <c r="N87" s="5">
        <v>2778</v>
      </c>
      <c r="O87" s="5">
        <v>139</v>
      </c>
    </row>
    <row r="88" spans="2:15" s="1" customFormat="1" ht="13.5">
      <c r="B88" s="4" t="s">
        <v>124</v>
      </c>
      <c r="C88" s="4" t="s">
        <v>125</v>
      </c>
      <c r="D88" s="4" t="s">
        <v>224</v>
      </c>
      <c r="E88" s="4" t="s">
        <v>225</v>
      </c>
      <c r="F88" s="4" t="s">
        <v>126</v>
      </c>
      <c r="G88" s="4">
        <v>101010155</v>
      </c>
      <c r="H88" s="5">
        <v>3709</v>
      </c>
      <c r="I88" s="7">
        <v>142.47999999999999</v>
      </c>
      <c r="J88" s="7">
        <v>528457.19999999995</v>
      </c>
      <c r="K88" s="7">
        <v>339330.68650000001</v>
      </c>
      <c r="L88" s="7">
        <v>189126.5135</v>
      </c>
      <c r="M88" s="8">
        <v>0.35780000000000001</v>
      </c>
      <c r="N88" s="5">
        <v>1801</v>
      </c>
      <c r="O88" s="5">
        <v>104</v>
      </c>
    </row>
    <row r="89" spans="2:15" s="1" customFormat="1" ht="13.5">
      <c r="B89" s="4" t="s">
        <v>124</v>
      </c>
      <c r="C89" s="4" t="s">
        <v>220</v>
      </c>
      <c r="D89" s="4" t="s">
        <v>226</v>
      </c>
      <c r="E89" s="4" t="s">
        <v>31</v>
      </c>
      <c r="F89" s="4" t="s">
        <v>126</v>
      </c>
      <c r="G89" s="4">
        <v>101010139</v>
      </c>
      <c r="H89" s="5">
        <v>3711</v>
      </c>
      <c r="I89" s="7">
        <v>135.71</v>
      </c>
      <c r="J89" s="7">
        <v>503631</v>
      </c>
      <c r="K89" s="7">
        <v>367438.21480000002</v>
      </c>
      <c r="L89" s="7">
        <v>136192.78520000001</v>
      </c>
      <c r="M89" s="8">
        <v>0.27039999999999997</v>
      </c>
      <c r="N89" s="5">
        <v>1831</v>
      </c>
      <c r="O89" s="5">
        <v>127</v>
      </c>
    </row>
    <row r="90" spans="2:15" s="1" customFormat="1" ht="13.5">
      <c r="B90" s="4" t="s">
        <v>124</v>
      </c>
      <c r="C90" s="4" t="s">
        <v>125</v>
      </c>
      <c r="D90" s="4" t="s">
        <v>227</v>
      </c>
      <c r="E90" s="4" t="s">
        <v>228</v>
      </c>
      <c r="F90" s="4" t="s">
        <v>137</v>
      </c>
      <c r="G90" s="4">
        <v>101010513</v>
      </c>
      <c r="H90" s="5">
        <v>406</v>
      </c>
      <c r="I90" s="7">
        <v>1235.67</v>
      </c>
      <c r="J90" s="7">
        <v>501682</v>
      </c>
      <c r="K90" s="7">
        <v>299741.42450000002</v>
      </c>
      <c r="L90" s="7">
        <v>201940.57550000001</v>
      </c>
      <c r="M90" s="8">
        <v>0.40250000000000002</v>
      </c>
      <c r="N90" s="5">
        <v>299</v>
      </c>
      <c r="O90" s="5">
        <v>91</v>
      </c>
    </row>
    <row r="91" spans="2:15" s="1" customFormat="1" ht="13.5">
      <c r="B91" s="4" t="s">
        <v>124</v>
      </c>
      <c r="C91" s="4" t="s">
        <v>147</v>
      </c>
      <c r="D91" s="4" t="s">
        <v>229</v>
      </c>
      <c r="E91" s="4" t="s">
        <v>167</v>
      </c>
      <c r="F91" s="4" t="s">
        <v>126</v>
      </c>
      <c r="G91" s="4">
        <v>101010113</v>
      </c>
      <c r="H91" s="5">
        <v>3532</v>
      </c>
      <c r="I91" s="7">
        <v>137.33000000000001</v>
      </c>
      <c r="J91" s="7">
        <v>485045</v>
      </c>
      <c r="K91" s="7">
        <v>302588.89559999999</v>
      </c>
      <c r="L91" s="7">
        <v>182456.10440000001</v>
      </c>
      <c r="M91" s="8">
        <v>0.37609999999999999</v>
      </c>
      <c r="N91" s="5">
        <v>1959</v>
      </c>
      <c r="O91" s="5">
        <v>135</v>
      </c>
    </row>
    <row r="92" spans="2:15" s="1" customFormat="1" ht="13.5">
      <c r="B92" s="4" t="s">
        <v>124</v>
      </c>
      <c r="C92" s="4" t="s">
        <v>125</v>
      </c>
      <c r="D92" s="4" t="s">
        <v>230</v>
      </c>
      <c r="E92" s="4" t="s">
        <v>86</v>
      </c>
      <c r="F92" s="4" t="s">
        <v>126</v>
      </c>
      <c r="G92" s="4">
        <v>101010009</v>
      </c>
      <c r="H92" s="5">
        <v>6123</v>
      </c>
      <c r="I92" s="7">
        <v>77.760000000000005</v>
      </c>
      <c r="J92" s="7">
        <v>476123</v>
      </c>
      <c r="K92" s="7">
        <v>364815.41409999999</v>
      </c>
      <c r="L92" s="7">
        <v>111307.58590000001</v>
      </c>
      <c r="M92" s="8">
        <v>0.23369999999999999</v>
      </c>
      <c r="N92" s="5">
        <v>3241</v>
      </c>
      <c r="O92" s="5">
        <v>128</v>
      </c>
    </row>
    <row r="93" spans="2:15" s="1" customFormat="1" ht="13.5">
      <c r="B93" s="4" t="s">
        <v>124</v>
      </c>
      <c r="C93" s="4" t="s">
        <v>127</v>
      </c>
      <c r="D93" s="4" t="s">
        <v>231</v>
      </c>
      <c r="E93" s="4" t="s">
        <v>232</v>
      </c>
      <c r="F93" s="4" t="s">
        <v>137</v>
      </c>
      <c r="G93" s="4">
        <v>101010588</v>
      </c>
      <c r="H93" s="5">
        <v>100</v>
      </c>
      <c r="I93" s="7">
        <v>4736.5200000000004</v>
      </c>
      <c r="J93" s="7">
        <v>473652</v>
      </c>
      <c r="K93" s="7">
        <v>418750</v>
      </c>
      <c r="L93" s="7">
        <v>54902</v>
      </c>
      <c r="M93" s="8">
        <v>0.1159</v>
      </c>
      <c r="N93" s="5">
        <v>24</v>
      </c>
      <c r="O93" s="5">
        <v>15</v>
      </c>
    </row>
    <row r="94" spans="2:15" s="1" customFormat="1" ht="13.5">
      <c r="B94" s="4" t="s">
        <v>124</v>
      </c>
      <c r="C94" s="4" t="s">
        <v>147</v>
      </c>
      <c r="D94" s="4" t="s">
        <v>233</v>
      </c>
      <c r="E94" s="4" t="s">
        <v>167</v>
      </c>
      <c r="F94" s="4" t="s">
        <v>126</v>
      </c>
      <c r="G94" s="4">
        <v>101010610</v>
      </c>
      <c r="H94" s="5">
        <v>5292</v>
      </c>
      <c r="I94" s="7">
        <v>89.23</v>
      </c>
      <c r="J94" s="7">
        <v>472206</v>
      </c>
      <c r="K94" s="7">
        <v>219034.68659999999</v>
      </c>
      <c r="L94" s="7">
        <v>253171.31340000001</v>
      </c>
      <c r="M94" s="8">
        <v>0.53610000000000002</v>
      </c>
      <c r="N94" s="5">
        <v>1647</v>
      </c>
      <c r="O94" s="5">
        <v>128</v>
      </c>
    </row>
    <row r="95" spans="2:15" s="1" customFormat="1" ht="13.5">
      <c r="B95" s="4" t="s">
        <v>124</v>
      </c>
      <c r="C95" s="4" t="s">
        <v>125</v>
      </c>
      <c r="D95" s="4" t="s">
        <v>234</v>
      </c>
      <c r="E95" s="4" t="s">
        <v>31</v>
      </c>
      <c r="F95" s="4" t="s">
        <v>126</v>
      </c>
      <c r="G95" s="4">
        <v>101010494</v>
      </c>
      <c r="H95" s="5">
        <v>1861</v>
      </c>
      <c r="I95" s="7">
        <v>236.26</v>
      </c>
      <c r="J95" s="7">
        <v>439688.8</v>
      </c>
      <c r="K95" s="7">
        <v>306848.97289999999</v>
      </c>
      <c r="L95" s="7">
        <v>132839.82709999999</v>
      </c>
      <c r="M95" s="8">
        <v>0.30209999999999998</v>
      </c>
      <c r="N95" s="5">
        <v>551</v>
      </c>
      <c r="O95" s="5">
        <v>74</v>
      </c>
    </row>
    <row r="96" spans="2:15" s="1" customFormat="1" ht="13.5">
      <c r="B96" s="4" t="s">
        <v>124</v>
      </c>
      <c r="C96" s="4" t="s">
        <v>127</v>
      </c>
      <c r="D96" s="4" t="s">
        <v>235</v>
      </c>
      <c r="E96" s="4" t="s">
        <v>31</v>
      </c>
      <c r="F96" s="4" t="s">
        <v>137</v>
      </c>
      <c r="G96" s="4">
        <v>101010540</v>
      </c>
      <c r="H96" s="5">
        <v>23</v>
      </c>
      <c r="I96" s="7">
        <v>18800</v>
      </c>
      <c r="J96" s="7">
        <v>432400</v>
      </c>
      <c r="K96" s="7">
        <v>387321.97810000001</v>
      </c>
      <c r="L96" s="7">
        <v>45078.0219</v>
      </c>
      <c r="M96" s="8">
        <v>0.1042</v>
      </c>
      <c r="N96" s="5">
        <v>5</v>
      </c>
      <c r="O96" s="5">
        <v>5</v>
      </c>
    </row>
    <row r="97" spans="2:15" s="1" customFormat="1" ht="13.5">
      <c r="B97" s="4" t="s">
        <v>124</v>
      </c>
      <c r="C97" s="4" t="s">
        <v>236</v>
      </c>
      <c r="D97" s="4" t="s">
        <v>237</v>
      </c>
      <c r="E97" s="4" t="s">
        <v>31</v>
      </c>
      <c r="F97" s="4" t="s">
        <v>126</v>
      </c>
      <c r="G97" s="4">
        <v>101010142</v>
      </c>
      <c r="H97" s="5">
        <v>8576</v>
      </c>
      <c r="I97" s="7">
        <v>47.41</v>
      </c>
      <c r="J97" s="7">
        <v>406568</v>
      </c>
      <c r="K97" s="7">
        <v>248291.3909</v>
      </c>
      <c r="L97" s="7">
        <v>158276.6091</v>
      </c>
      <c r="M97" s="8">
        <v>0.38919999999999999</v>
      </c>
      <c r="N97" s="5">
        <v>4315</v>
      </c>
      <c r="O97" s="5">
        <v>135</v>
      </c>
    </row>
    <row r="98" spans="2:15" s="1" customFormat="1" ht="13.5">
      <c r="B98" s="4" t="s">
        <v>124</v>
      </c>
      <c r="C98" s="4" t="s">
        <v>147</v>
      </c>
      <c r="D98" s="4" t="s">
        <v>238</v>
      </c>
      <c r="E98" s="4" t="s">
        <v>31</v>
      </c>
      <c r="F98" s="4" t="s">
        <v>126</v>
      </c>
      <c r="G98" s="4">
        <v>101010605</v>
      </c>
      <c r="H98" s="5">
        <v>3537</v>
      </c>
      <c r="I98" s="7">
        <v>114.62</v>
      </c>
      <c r="J98" s="7">
        <v>405418</v>
      </c>
      <c r="K98" s="7">
        <v>174650.9491</v>
      </c>
      <c r="L98" s="7">
        <v>230767.0509</v>
      </c>
      <c r="M98" s="8">
        <v>0.56920000000000004</v>
      </c>
      <c r="N98" s="5">
        <v>1380</v>
      </c>
      <c r="O98" s="5">
        <v>127</v>
      </c>
    </row>
    <row r="99" spans="2:15" s="1" customFormat="1" ht="13.5">
      <c r="B99" s="4" t="s">
        <v>124</v>
      </c>
      <c r="C99" s="4" t="s">
        <v>125</v>
      </c>
      <c r="D99" s="4" t="s">
        <v>239</v>
      </c>
      <c r="E99" s="4" t="s">
        <v>31</v>
      </c>
      <c r="F99" s="4" t="s">
        <v>126</v>
      </c>
      <c r="G99" s="4">
        <v>101010204</v>
      </c>
      <c r="H99" s="5">
        <v>11084</v>
      </c>
      <c r="I99" s="7">
        <v>36.5</v>
      </c>
      <c r="J99" s="7">
        <v>404598</v>
      </c>
      <c r="K99" s="7">
        <v>249670.27780000001</v>
      </c>
      <c r="L99" s="7">
        <v>154927.72219999999</v>
      </c>
      <c r="M99" s="8">
        <v>0.38290000000000002</v>
      </c>
      <c r="N99" s="5">
        <v>3674</v>
      </c>
      <c r="O99" s="5">
        <v>140</v>
      </c>
    </row>
    <row r="100" spans="2:15" s="1" customFormat="1" ht="13.5">
      <c r="B100" s="4" t="s">
        <v>124</v>
      </c>
      <c r="C100" s="4" t="s">
        <v>127</v>
      </c>
      <c r="D100" s="4" t="s">
        <v>240</v>
      </c>
      <c r="E100" s="4" t="s">
        <v>31</v>
      </c>
      <c r="F100" s="4" t="s">
        <v>126</v>
      </c>
      <c r="G100" s="4">
        <v>101010551</v>
      </c>
      <c r="H100" s="5">
        <v>1006</v>
      </c>
      <c r="I100" s="7">
        <v>399.84</v>
      </c>
      <c r="J100" s="7">
        <v>402239</v>
      </c>
      <c r="K100" s="7">
        <v>271922.05119999999</v>
      </c>
      <c r="L100" s="7">
        <v>130316.9488</v>
      </c>
      <c r="M100" s="8">
        <v>0.32390000000000002</v>
      </c>
      <c r="N100" s="5">
        <v>406</v>
      </c>
      <c r="O100" s="5">
        <v>69</v>
      </c>
    </row>
    <row r="101" spans="2:15" s="1" customFormat="1" ht="13.5">
      <c r="B101" s="4" t="s">
        <v>124</v>
      </c>
      <c r="C101" s="4" t="s">
        <v>125</v>
      </c>
      <c r="D101" s="4" t="s">
        <v>50</v>
      </c>
      <c r="E101" s="4" t="s">
        <v>31</v>
      </c>
      <c r="F101" s="4" t="s">
        <v>126</v>
      </c>
      <c r="G101" s="4">
        <v>101010501</v>
      </c>
      <c r="H101" s="5">
        <v>2732</v>
      </c>
      <c r="I101" s="7">
        <v>144.88</v>
      </c>
      <c r="J101" s="7">
        <v>395807</v>
      </c>
      <c r="K101" s="7">
        <v>206820.36369999999</v>
      </c>
      <c r="L101" s="7">
        <v>188986.63630000001</v>
      </c>
      <c r="M101" s="8">
        <v>0.47739999999999999</v>
      </c>
      <c r="N101" s="5">
        <v>1235</v>
      </c>
      <c r="O101" s="5">
        <v>119</v>
      </c>
    </row>
    <row r="102" spans="2:15" s="1" customFormat="1" ht="13.5">
      <c r="B102" s="4" t="s">
        <v>124</v>
      </c>
      <c r="C102" s="4" t="s">
        <v>127</v>
      </c>
      <c r="D102" s="4" t="s">
        <v>241</v>
      </c>
      <c r="E102" s="4" t="s">
        <v>31</v>
      </c>
      <c r="F102" s="4" t="s">
        <v>126</v>
      </c>
      <c r="G102" s="4">
        <v>101010556</v>
      </c>
      <c r="H102" s="5">
        <v>1835</v>
      </c>
      <c r="I102" s="7">
        <v>214.19</v>
      </c>
      <c r="J102" s="7">
        <v>393034</v>
      </c>
      <c r="K102" s="7">
        <v>257349.21549999999</v>
      </c>
      <c r="L102" s="7">
        <v>135684.78450000001</v>
      </c>
      <c r="M102" s="8">
        <v>0.34520000000000001</v>
      </c>
      <c r="N102" s="5">
        <v>727</v>
      </c>
      <c r="O102" s="5">
        <v>78</v>
      </c>
    </row>
    <row r="103" spans="2:15" s="1" customFormat="1" ht="13.5">
      <c r="B103" s="4" t="s">
        <v>124</v>
      </c>
      <c r="C103" s="4" t="s">
        <v>220</v>
      </c>
      <c r="D103" s="4" t="s">
        <v>242</v>
      </c>
      <c r="E103" s="4" t="s">
        <v>31</v>
      </c>
      <c r="F103" s="4" t="s">
        <v>126</v>
      </c>
      <c r="G103" s="4">
        <v>101010037</v>
      </c>
      <c r="H103" s="5">
        <v>7222</v>
      </c>
      <c r="I103" s="7">
        <v>53.59</v>
      </c>
      <c r="J103" s="7">
        <v>387033.3</v>
      </c>
      <c r="K103" s="7">
        <v>272644.5111</v>
      </c>
      <c r="L103" s="7">
        <v>114388.7889</v>
      </c>
      <c r="M103" s="8">
        <v>0.29549999999999998</v>
      </c>
      <c r="N103" s="5">
        <v>3376</v>
      </c>
      <c r="O103" s="5">
        <v>137</v>
      </c>
    </row>
    <row r="104" spans="2:15" s="1" customFormat="1" ht="13.5">
      <c r="B104" s="4" t="s">
        <v>124</v>
      </c>
      <c r="C104" s="4" t="s">
        <v>127</v>
      </c>
      <c r="D104" s="4" t="s">
        <v>243</v>
      </c>
      <c r="E104" s="4" t="s">
        <v>244</v>
      </c>
      <c r="F104" s="4" t="s">
        <v>137</v>
      </c>
      <c r="G104" s="4">
        <v>101010573</v>
      </c>
      <c r="H104" s="5">
        <v>277</v>
      </c>
      <c r="I104" s="7">
        <v>1389.95</v>
      </c>
      <c r="J104" s="7">
        <v>385016</v>
      </c>
      <c r="K104" s="7">
        <v>317320</v>
      </c>
      <c r="L104" s="7">
        <v>67696</v>
      </c>
      <c r="M104" s="8">
        <v>0.17580000000000001</v>
      </c>
      <c r="N104" s="5">
        <v>86</v>
      </c>
      <c r="O104" s="5">
        <v>41</v>
      </c>
    </row>
    <row r="105" spans="2:15" s="1" customFormat="1" ht="13.5">
      <c r="B105" s="4" t="s">
        <v>124</v>
      </c>
      <c r="C105" s="4" t="s">
        <v>125</v>
      </c>
      <c r="D105" s="4" t="s">
        <v>245</v>
      </c>
      <c r="E105" s="4" t="s">
        <v>246</v>
      </c>
      <c r="F105" s="4" t="s">
        <v>126</v>
      </c>
      <c r="G105" s="4">
        <v>101010163</v>
      </c>
      <c r="H105" s="5">
        <v>5266</v>
      </c>
      <c r="I105" s="7">
        <v>72.95</v>
      </c>
      <c r="J105" s="7">
        <v>384160.2</v>
      </c>
      <c r="K105" s="7">
        <v>306925.9975</v>
      </c>
      <c r="L105" s="7">
        <v>77234.202499999999</v>
      </c>
      <c r="M105" s="8">
        <v>0.20100000000000001</v>
      </c>
      <c r="N105" s="5">
        <v>2455</v>
      </c>
      <c r="O105" s="5">
        <v>131</v>
      </c>
    </row>
    <row r="106" spans="2:15" s="1" customFormat="1" ht="13.5">
      <c r="B106" s="4" t="s">
        <v>124</v>
      </c>
      <c r="C106" s="4" t="s">
        <v>125</v>
      </c>
      <c r="D106" s="4" t="s">
        <v>247</v>
      </c>
      <c r="E106" s="4" t="s">
        <v>31</v>
      </c>
      <c r="F106" s="4" t="s">
        <v>126</v>
      </c>
      <c r="G106" s="4">
        <v>101010206</v>
      </c>
      <c r="H106" s="5">
        <v>3808</v>
      </c>
      <c r="I106" s="7">
        <v>98.32</v>
      </c>
      <c r="J106" s="7">
        <v>374399</v>
      </c>
      <c r="K106" s="7">
        <v>252037.52720000001</v>
      </c>
      <c r="L106" s="7">
        <v>122361.4728</v>
      </c>
      <c r="M106" s="8">
        <v>0.32679999999999998</v>
      </c>
      <c r="N106" s="5">
        <v>1290</v>
      </c>
      <c r="O106" s="5">
        <v>133</v>
      </c>
    </row>
    <row r="107" spans="2:15" s="1" customFormat="1" ht="13.5">
      <c r="B107" s="4" t="s">
        <v>124</v>
      </c>
      <c r="C107" s="4" t="s">
        <v>147</v>
      </c>
      <c r="D107" s="4" t="s">
        <v>248</v>
      </c>
      <c r="E107" s="4" t="s">
        <v>249</v>
      </c>
      <c r="F107" s="4" t="s">
        <v>126</v>
      </c>
      <c r="G107" s="4">
        <v>101010093</v>
      </c>
      <c r="H107" s="5">
        <v>5026</v>
      </c>
      <c r="I107" s="7">
        <v>72.45</v>
      </c>
      <c r="J107" s="7">
        <v>364114</v>
      </c>
      <c r="K107" s="7">
        <v>230762.55119999999</v>
      </c>
      <c r="L107" s="7">
        <v>133351.44880000001</v>
      </c>
      <c r="M107" s="8">
        <v>0.36620000000000003</v>
      </c>
      <c r="N107" s="5">
        <v>2801</v>
      </c>
      <c r="O107" s="5">
        <v>138</v>
      </c>
    </row>
    <row r="108" spans="2:15" s="1" customFormat="1" ht="13.5">
      <c r="B108" s="4" t="s">
        <v>124</v>
      </c>
      <c r="C108" s="4" t="s">
        <v>127</v>
      </c>
      <c r="D108" s="4" t="s">
        <v>250</v>
      </c>
      <c r="E108" s="4" t="s">
        <v>251</v>
      </c>
      <c r="F108" s="4" t="s">
        <v>126</v>
      </c>
      <c r="G108" s="4">
        <v>101010590</v>
      </c>
      <c r="H108" s="5">
        <v>360</v>
      </c>
      <c r="I108" s="7">
        <v>991.1</v>
      </c>
      <c r="J108" s="7">
        <v>356796</v>
      </c>
      <c r="K108" s="7">
        <v>295200</v>
      </c>
      <c r="L108" s="7">
        <v>61596</v>
      </c>
      <c r="M108" s="8">
        <v>0.1726</v>
      </c>
      <c r="N108" s="5">
        <v>35</v>
      </c>
      <c r="O108" s="5">
        <v>16</v>
      </c>
    </row>
    <row r="109" spans="2:15" s="1" customFormat="1" ht="13.5">
      <c r="B109" s="4" t="s">
        <v>124</v>
      </c>
      <c r="C109" s="4" t="s">
        <v>127</v>
      </c>
      <c r="D109" s="4" t="s">
        <v>252</v>
      </c>
      <c r="E109" s="4" t="s">
        <v>228</v>
      </c>
      <c r="F109" s="4" t="s">
        <v>137</v>
      </c>
      <c r="G109" s="4">
        <v>101010546</v>
      </c>
      <c r="H109" s="5">
        <v>263</v>
      </c>
      <c r="I109" s="7">
        <v>1324.89</v>
      </c>
      <c r="J109" s="7">
        <v>348445</v>
      </c>
      <c r="K109" s="7">
        <v>208731.5772</v>
      </c>
      <c r="L109" s="7">
        <v>139713.4228</v>
      </c>
      <c r="M109" s="8">
        <v>0.40089999999999998</v>
      </c>
      <c r="N109" s="5">
        <v>163</v>
      </c>
      <c r="O109" s="5">
        <v>81</v>
      </c>
    </row>
    <row r="110" spans="2:15" s="1" customFormat="1" ht="13.5">
      <c r="B110" s="4" t="s">
        <v>124</v>
      </c>
      <c r="C110" s="4" t="s">
        <v>125</v>
      </c>
      <c r="D110" s="4" t="s">
        <v>253</v>
      </c>
      <c r="E110" s="4" t="s">
        <v>31</v>
      </c>
      <c r="F110" s="4" t="s">
        <v>126</v>
      </c>
      <c r="G110" s="4">
        <v>101010100</v>
      </c>
      <c r="H110" s="5">
        <v>11028</v>
      </c>
      <c r="I110" s="7">
        <v>30.77</v>
      </c>
      <c r="J110" s="7">
        <v>339306.7</v>
      </c>
      <c r="K110" s="7">
        <v>204602.57269999999</v>
      </c>
      <c r="L110" s="7">
        <v>134704.12729999999</v>
      </c>
      <c r="M110" s="8">
        <v>0.39689999999999998</v>
      </c>
      <c r="N110" s="5">
        <v>4960</v>
      </c>
      <c r="O110" s="5">
        <v>141</v>
      </c>
    </row>
    <row r="111" spans="2:15" s="1" customFormat="1" ht="13.5">
      <c r="B111" s="4" t="s">
        <v>124</v>
      </c>
      <c r="C111" s="4" t="s">
        <v>125</v>
      </c>
      <c r="D111" s="4" t="s">
        <v>254</v>
      </c>
      <c r="E111" s="4" t="s">
        <v>31</v>
      </c>
      <c r="F111" s="4" t="s">
        <v>126</v>
      </c>
      <c r="G111" s="4">
        <v>101010180</v>
      </c>
      <c r="H111" s="5">
        <v>6694</v>
      </c>
      <c r="I111" s="7">
        <v>50</v>
      </c>
      <c r="J111" s="7">
        <v>334700</v>
      </c>
      <c r="K111" s="7">
        <v>304066.10810000001</v>
      </c>
      <c r="L111" s="7">
        <v>30633.891899999999</v>
      </c>
      <c r="M111" s="8">
        <v>9.1499999999999998E-2</v>
      </c>
      <c r="N111" s="5">
        <v>3976</v>
      </c>
      <c r="O111" s="5">
        <v>9</v>
      </c>
    </row>
    <row r="112" spans="2:15" s="1" customFormat="1" ht="13.5">
      <c r="B112" s="4" t="s">
        <v>124</v>
      </c>
      <c r="C112" s="4" t="s">
        <v>125</v>
      </c>
      <c r="D112" s="4" t="s">
        <v>255</v>
      </c>
      <c r="E112" s="4" t="s">
        <v>31</v>
      </c>
      <c r="F112" s="4" t="s">
        <v>126</v>
      </c>
      <c r="G112" s="4">
        <v>101010107</v>
      </c>
      <c r="H112" s="5">
        <v>6781</v>
      </c>
      <c r="I112" s="7">
        <v>46.67</v>
      </c>
      <c r="J112" s="7">
        <v>316469</v>
      </c>
      <c r="K112" s="7">
        <v>259412.92370000001</v>
      </c>
      <c r="L112" s="7">
        <v>57056.076300000001</v>
      </c>
      <c r="M112" s="8">
        <v>0.1802</v>
      </c>
      <c r="N112" s="5">
        <v>3185</v>
      </c>
      <c r="O112" s="5">
        <v>139</v>
      </c>
    </row>
    <row r="113" spans="2:15" s="1" customFormat="1" ht="13.5">
      <c r="B113" s="4" t="s">
        <v>124</v>
      </c>
      <c r="C113" s="4" t="s">
        <v>125</v>
      </c>
      <c r="D113" s="4" t="s">
        <v>256</v>
      </c>
      <c r="E113" s="4" t="s">
        <v>31</v>
      </c>
      <c r="F113" s="4" t="s">
        <v>126</v>
      </c>
      <c r="G113" s="4">
        <v>101010189</v>
      </c>
      <c r="H113" s="5">
        <v>10544</v>
      </c>
      <c r="I113" s="7">
        <v>29.43</v>
      </c>
      <c r="J113" s="7">
        <v>310299.5</v>
      </c>
      <c r="K113" s="7">
        <v>202673.2562</v>
      </c>
      <c r="L113" s="7">
        <v>107626.2438</v>
      </c>
      <c r="M113" s="8">
        <v>0.3468</v>
      </c>
      <c r="N113" s="5">
        <v>2061</v>
      </c>
      <c r="O113" s="5">
        <v>136</v>
      </c>
    </row>
    <row r="114" spans="2:15" s="1" customFormat="1" ht="13.5">
      <c r="B114" s="4" t="s">
        <v>124</v>
      </c>
      <c r="C114" s="4" t="s">
        <v>125</v>
      </c>
      <c r="D114" s="4" t="s">
        <v>257</v>
      </c>
      <c r="E114" s="4" t="s">
        <v>31</v>
      </c>
      <c r="F114" s="4" t="s">
        <v>126</v>
      </c>
      <c r="G114" s="4">
        <v>101010518</v>
      </c>
      <c r="H114" s="5">
        <v>238</v>
      </c>
      <c r="I114" s="7">
        <v>1279.98</v>
      </c>
      <c r="J114" s="7">
        <v>304636</v>
      </c>
      <c r="K114" s="7">
        <v>211943.40179999999</v>
      </c>
      <c r="L114" s="7">
        <v>92692.598199999993</v>
      </c>
      <c r="M114" s="8">
        <v>0.30420000000000003</v>
      </c>
      <c r="N114" s="5">
        <v>74</v>
      </c>
      <c r="O114" s="5">
        <v>46</v>
      </c>
    </row>
    <row r="115" spans="2:15" s="1" customFormat="1" ht="13.5">
      <c r="B115" s="4" t="s">
        <v>124</v>
      </c>
      <c r="C115" s="4" t="s">
        <v>125</v>
      </c>
      <c r="D115" s="4" t="s">
        <v>258</v>
      </c>
      <c r="E115" s="4" t="s">
        <v>176</v>
      </c>
      <c r="F115" s="4" t="s">
        <v>126</v>
      </c>
      <c r="G115" s="4">
        <v>101010597</v>
      </c>
      <c r="H115" s="5">
        <v>21686</v>
      </c>
      <c r="I115" s="7">
        <v>14</v>
      </c>
      <c r="J115" s="7">
        <v>303645.7</v>
      </c>
      <c r="K115" s="7">
        <v>227481.73379999999</v>
      </c>
      <c r="L115" s="7">
        <v>76163.966199999995</v>
      </c>
      <c r="M115" s="8">
        <v>0.25080000000000002</v>
      </c>
      <c r="N115" s="5">
        <v>10867</v>
      </c>
      <c r="O115" s="5">
        <v>141</v>
      </c>
    </row>
    <row r="116" spans="2:15" s="1" customFormat="1" ht="13.5">
      <c r="B116" s="4" t="s">
        <v>124</v>
      </c>
      <c r="C116" s="4" t="s">
        <v>125</v>
      </c>
      <c r="D116" s="4" t="s">
        <v>259</v>
      </c>
      <c r="E116" s="4" t="s">
        <v>176</v>
      </c>
      <c r="F116" s="4" t="s">
        <v>126</v>
      </c>
      <c r="G116" s="4">
        <v>101010188</v>
      </c>
      <c r="H116" s="5">
        <v>6364</v>
      </c>
      <c r="I116" s="7">
        <v>47.53</v>
      </c>
      <c r="J116" s="7">
        <v>302476.59999999998</v>
      </c>
      <c r="K116" s="7">
        <v>171535.50889999999</v>
      </c>
      <c r="L116" s="7">
        <v>130941.09110000001</v>
      </c>
      <c r="M116" s="8">
        <v>0.43280000000000002</v>
      </c>
      <c r="N116" s="5">
        <v>3761</v>
      </c>
      <c r="O116" s="5">
        <v>127</v>
      </c>
    </row>
    <row r="117" spans="2:15" s="1" customFormat="1" ht="13.5">
      <c r="B117" s="4" t="s">
        <v>124</v>
      </c>
      <c r="C117" s="4" t="s">
        <v>130</v>
      </c>
      <c r="D117" s="4" t="s">
        <v>260</v>
      </c>
      <c r="E117" s="4" t="s">
        <v>232</v>
      </c>
      <c r="F117" s="4" t="s">
        <v>126</v>
      </c>
      <c r="G117" s="4">
        <v>101010627</v>
      </c>
      <c r="H117" s="5">
        <v>3507</v>
      </c>
      <c r="I117" s="7">
        <v>85</v>
      </c>
      <c r="J117" s="7">
        <v>298095</v>
      </c>
      <c r="K117" s="7">
        <v>186011.37040000001</v>
      </c>
      <c r="L117" s="7">
        <v>112083.6296</v>
      </c>
      <c r="M117" s="8">
        <v>0.37590000000000001</v>
      </c>
      <c r="N117" s="5">
        <v>2605</v>
      </c>
      <c r="O117" s="5">
        <v>111</v>
      </c>
    </row>
    <row r="118" spans="2:15" s="1" customFormat="1" ht="13.5">
      <c r="B118" s="4" t="s">
        <v>124</v>
      </c>
      <c r="C118" s="4" t="s">
        <v>125</v>
      </c>
      <c r="D118" s="4" t="s">
        <v>261</v>
      </c>
      <c r="E118" s="4" t="s">
        <v>31</v>
      </c>
      <c r="F118" s="4" t="s">
        <v>126</v>
      </c>
      <c r="G118" s="4">
        <v>101010516</v>
      </c>
      <c r="H118" s="5">
        <v>5462</v>
      </c>
      <c r="I118" s="7">
        <v>54.11</v>
      </c>
      <c r="J118" s="7">
        <v>295576</v>
      </c>
      <c r="K118" s="7">
        <v>202857.02350000001</v>
      </c>
      <c r="L118" s="7">
        <v>92718.976500000004</v>
      </c>
      <c r="M118" s="8">
        <v>0.31359999999999999</v>
      </c>
      <c r="N118" s="5">
        <v>801</v>
      </c>
      <c r="O118" s="5">
        <v>63</v>
      </c>
    </row>
    <row r="119" spans="2:15" s="1" customFormat="1" ht="13.5">
      <c r="B119" s="4" t="s">
        <v>124</v>
      </c>
      <c r="C119" s="4" t="s">
        <v>147</v>
      </c>
      <c r="D119" s="4" t="s">
        <v>262</v>
      </c>
      <c r="E119" s="4" t="s">
        <v>31</v>
      </c>
      <c r="F119" s="4" t="s">
        <v>126</v>
      </c>
      <c r="G119" s="4">
        <v>101010095</v>
      </c>
      <c r="H119" s="5">
        <v>806</v>
      </c>
      <c r="I119" s="7">
        <v>358.37</v>
      </c>
      <c r="J119" s="7">
        <v>288847</v>
      </c>
      <c r="K119" s="7">
        <v>191344.3352</v>
      </c>
      <c r="L119" s="7">
        <v>97502.664799999999</v>
      </c>
      <c r="M119" s="8">
        <v>0.33750000000000002</v>
      </c>
      <c r="N119" s="5">
        <v>367</v>
      </c>
      <c r="O119" s="5">
        <v>81</v>
      </c>
    </row>
    <row r="120" spans="2:15" s="1" customFormat="1" ht="13.5">
      <c r="B120" s="4" t="s">
        <v>124</v>
      </c>
      <c r="C120" s="4" t="s">
        <v>125</v>
      </c>
      <c r="D120" s="4" t="s">
        <v>263</v>
      </c>
      <c r="E120" s="4" t="s">
        <v>251</v>
      </c>
      <c r="F120" s="4" t="s">
        <v>126</v>
      </c>
      <c r="G120" s="4">
        <v>101010207</v>
      </c>
      <c r="H120" s="5">
        <v>1247</v>
      </c>
      <c r="I120" s="7">
        <v>229.95</v>
      </c>
      <c r="J120" s="7">
        <v>286753.40000000002</v>
      </c>
      <c r="K120" s="7">
        <v>135942.7322</v>
      </c>
      <c r="L120" s="7">
        <v>150810.6678</v>
      </c>
      <c r="M120" s="8">
        <v>0.52590000000000003</v>
      </c>
      <c r="N120" s="5">
        <v>769</v>
      </c>
      <c r="O120" s="5">
        <v>104</v>
      </c>
    </row>
    <row r="121" spans="2:15" s="1" customFormat="1" ht="13.5">
      <c r="B121" s="4" t="s">
        <v>124</v>
      </c>
      <c r="C121" s="4" t="s">
        <v>130</v>
      </c>
      <c r="D121" s="4" t="s">
        <v>264</v>
      </c>
      <c r="E121" s="4" t="s">
        <v>31</v>
      </c>
      <c r="F121" s="4" t="s">
        <v>126</v>
      </c>
      <c r="G121" s="4">
        <v>101010628</v>
      </c>
      <c r="H121" s="5">
        <v>3368</v>
      </c>
      <c r="I121" s="7">
        <v>82.12</v>
      </c>
      <c r="J121" s="7">
        <v>276595</v>
      </c>
      <c r="K121" s="7">
        <v>161039.59479999999</v>
      </c>
      <c r="L121" s="7">
        <v>115555.40519999999</v>
      </c>
      <c r="M121" s="8">
        <v>0.41770000000000002</v>
      </c>
      <c r="N121" s="5">
        <v>1817</v>
      </c>
      <c r="O121" s="5">
        <v>124</v>
      </c>
    </row>
    <row r="122" spans="2:15" s="1" customFormat="1" ht="13.5">
      <c r="B122" s="4" t="s">
        <v>124</v>
      </c>
      <c r="C122" s="4" t="s">
        <v>125</v>
      </c>
      <c r="D122" s="4" t="s">
        <v>265</v>
      </c>
      <c r="E122" s="4" t="s">
        <v>31</v>
      </c>
      <c r="F122" s="4" t="s">
        <v>126</v>
      </c>
      <c r="G122" s="4">
        <v>101010208</v>
      </c>
      <c r="H122" s="5">
        <v>1418</v>
      </c>
      <c r="I122" s="7">
        <v>184.44</v>
      </c>
      <c r="J122" s="7">
        <v>261540</v>
      </c>
      <c r="K122" s="7">
        <v>142698.0061</v>
      </c>
      <c r="L122" s="7">
        <v>118841.9939</v>
      </c>
      <c r="M122" s="8">
        <v>0.45429999999999998</v>
      </c>
      <c r="N122" s="5">
        <v>863</v>
      </c>
      <c r="O122" s="5">
        <v>124</v>
      </c>
    </row>
    <row r="123" spans="2:15" s="1" customFormat="1" ht="13.5">
      <c r="B123" s="4" t="s">
        <v>124</v>
      </c>
      <c r="C123" s="4" t="s">
        <v>125</v>
      </c>
      <c r="D123" s="4" t="s">
        <v>52</v>
      </c>
      <c r="E123" s="4" t="s">
        <v>31</v>
      </c>
      <c r="F123" s="4" t="s">
        <v>126</v>
      </c>
      <c r="G123" s="4">
        <v>101010500</v>
      </c>
      <c r="H123" s="5">
        <v>2680</v>
      </c>
      <c r="I123" s="7">
        <v>94.38</v>
      </c>
      <c r="J123" s="7">
        <v>252944.2</v>
      </c>
      <c r="K123" s="7">
        <v>170167.951</v>
      </c>
      <c r="L123" s="7">
        <v>82776.248999999996</v>
      </c>
      <c r="M123" s="8">
        <v>0.32719999999999999</v>
      </c>
      <c r="N123" s="5">
        <v>988</v>
      </c>
      <c r="O123" s="5">
        <v>103</v>
      </c>
    </row>
    <row r="124" spans="2:15" s="1" customFormat="1" ht="13.5">
      <c r="B124" s="4" t="s">
        <v>124</v>
      </c>
      <c r="C124" s="4" t="s">
        <v>125</v>
      </c>
      <c r="D124" s="4" t="s">
        <v>266</v>
      </c>
      <c r="E124" s="4" t="s">
        <v>31</v>
      </c>
      <c r="F124" s="4" t="s">
        <v>126</v>
      </c>
      <c r="G124" s="4">
        <v>101010519</v>
      </c>
      <c r="H124" s="5">
        <v>402</v>
      </c>
      <c r="I124" s="7">
        <v>619.63</v>
      </c>
      <c r="J124" s="7">
        <v>249090</v>
      </c>
      <c r="K124" s="7">
        <v>200646</v>
      </c>
      <c r="L124" s="7">
        <v>48444</v>
      </c>
      <c r="M124" s="8">
        <v>0.19439999999999999</v>
      </c>
      <c r="N124" s="5">
        <v>141</v>
      </c>
      <c r="O124" s="5">
        <v>65</v>
      </c>
    </row>
    <row r="125" spans="2:15" s="1" customFormat="1" ht="13.5">
      <c r="B125" s="4" t="s">
        <v>124</v>
      </c>
      <c r="C125" s="4" t="s">
        <v>147</v>
      </c>
      <c r="D125" s="4" t="s">
        <v>267</v>
      </c>
      <c r="E125" s="4" t="s">
        <v>31</v>
      </c>
      <c r="F125" s="4" t="s">
        <v>126</v>
      </c>
      <c r="G125" s="4">
        <v>101010094</v>
      </c>
      <c r="H125" s="5">
        <v>3851</v>
      </c>
      <c r="I125" s="7">
        <v>64.510000000000005</v>
      </c>
      <c r="J125" s="7">
        <v>248417</v>
      </c>
      <c r="K125" s="7">
        <v>146035.85829999999</v>
      </c>
      <c r="L125" s="7">
        <v>102381.14169999999</v>
      </c>
      <c r="M125" s="8">
        <v>0.41210000000000002</v>
      </c>
      <c r="N125" s="5">
        <v>2298</v>
      </c>
      <c r="O125" s="5">
        <v>137</v>
      </c>
    </row>
    <row r="126" spans="2:15" s="1" customFormat="1" ht="13.5">
      <c r="B126" s="4" t="s">
        <v>124</v>
      </c>
      <c r="C126" s="4" t="s">
        <v>127</v>
      </c>
      <c r="D126" s="4" t="s">
        <v>268</v>
      </c>
      <c r="E126" s="4" t="s">
        <v>31</v>
      </c>
      <c r="F126" s="4" t="s">
        <v>126</v>
      </c>
      <c r="G126" s="4">
        <v>101010571</v>
      </c>
      <c r="H126" s="5">
        <v>567</v>
      </c>
      <c r="I126" s="7">
        <v>435.27</v>
      </c>
      <c r="J126" s="7">
        <v>246798</v>
      </c>
      <c r="K126" s="7">
        <v>168981.56789999999</v>
      </c>
      <c r="L126" s="7">
        <v>77816.432100000005</v>
      </c>
      <c r="M126" s="8">
        <v>0.31530000000000002</v>
      </c>
      <c r="N126" s="5">
        <v>180</v>
      </c>
      <c r="O126" s="5">
        <v>51</v>
      </c>
    </row>
    <row r="127" spans="2:15" s="1" customFormat="1" ht="13.5">
      <c r="B127" s="4" t="s">
        <v>124</v>
      </c>
      <c r="C127" s="4" t="s">
        <v>127</v>
      </c>
      <c r="D127" s="4" t="s">
        <v>269</v>
      </c>
      <c r="E127" s="4" t="s">
        <v>31</v>
      </c>
      <c r="F127" s="4" t="s">
        <v>126</v>
      </c>
      <c r="G127" s="4">
        <v>101010552</v>
      </c>
      <c r="H127" s="5">
        <v>433</v>
      </c>
      <c r="I127" s="7">
        <v>564.53</v>
      </c>
      <c r="J127" s="7">
        <v>244440</v>
      </c>
      <c r="K127" s="7">
        <v>181297.78109999999</v>
      </c>
      <c r="L127" s="7">
        <v>63142.2189</v>
      </c>
      <c r="M127" s="8">
        <v>0.25829999999999997</v>
      </c>
      <c r="N127" s="5">
        <v>170</v>
      </c>
      <c r="O127" s="5">
        <v>63</v>
      </c>
    </row>
    <row r="128" spans="2:15" s="1" customFormat="1" ht="13.5">
      <c r="B128" s="4" t="s">
        <v>124</v>
      </c>
      <c r="C128" s="4" t="s">
        <v>130</v>
      </c>
      <c r="D128" s="4" t="s">
        <v>270</v>
      </c>
      <c r="E128" s="4" t="s">
        <v>31</v>
      </c>
      <c r="F128" s="4" t="s">
        <v>126</v>
      </c>
      <c r="G128" s="4">
        <v>101010629</v>
      </c>
      <c r="H128" s="5">
        <v>1662</v>
      </c>
      <c r="I128" s="7">
        <v>144.41999999999999</v>
      </c>
      <c r="J128" s="7">
        <v>240020</v>
      </c>
      <c r="K128" s="7">
        <v>150687.45209999999</v>
      </c>
      <c r="L128" s="7">
        <v>89332.547900000005</v>
      </c>
      <c r="M128" s="8">
        <v>0.37209999999999999</v>
      </c>
      <c r="N128" s="5">
        <v>820</v>
      </c>
      <c r="O128" s="5">
        <v>120</v>
      </c>
    </row>
    <row r="129" spans="2:15" s="1" customFormat="1" ht="13.5">
      <c r="B129" s="4" t="s">
        <v>124</v>
      </c>
      <c r="C129" s="4" t="s">
        <v>125</v>
      </c>
      <c r="D129" s="4" t="s">
        <v>271</v>
      </c>
      <c r="E129" s="4" t="s">
        <v>31</v>
      </c>
      <c r="F129" s="4" t="s">
        <v>126</v>
      </c>
      <c r="G129" s="4">
        <v>101010517</v>
      </c>
      <c r="H129" s="5">
        <v>505</v>
      </c>
      <c r="I129" s="7">
        <v>473.65</v>
      </c>
      <c r="J129" s="7">
        <v>239194</v>
      </c>
      <c r="K129" s="7">
        <v>192834.84390000001</v>
      </c>
      <c r="L129" s="7">
        <v>46359.1561</v>
      </c>
      <c r="M129" s="8">
        <v>0.1938</v>
      </c>
      <c r="N129" s="5">
        <v>190</v>
      </c>
      <c r="O129" s="5">
        <v>67</v>
      </c>
    </row>
    <row r="130" spans="2:15" s="1" customFormat="1" ht="13.5">
      <c r="B130" s="4" t="s">
        <v>124</v>
      </c>
      <c r="C130" s="4" t="s">
        <v>127</v>
      </c>
      <c r="D130" s="4" t="s">
        <v>272</v>
      </c>
      <c r="E130" s="4" t="s">
        <v>273</v>
      </c>
      <c r="F130" s="4" t="s">
        <v>126</v>
      </c>
      <c r="G130" s="4">
        <v>101010543</v>
      </c>
      <c r="H130" s="5">
        <v>832</v>
      </c>
      <c r="I130" s="7">
        <v>280.69</v>
      </c>
      <c r="J130" s="7">
        <v>233535</v>
      </c>
      <c r="K130" s="7">
        <v>146042.50839999999</v>
      </c>
      <c r="L130" s="7">
        <v>87492.491599999994</v>
      </c>
      <c r="M130" s="8">
        <v>0.37459999999999999</v>
      </c>
      <c r="N130" s="5">
        <v>295</v>
      </c>
      <c r="O130" s="5">
        <v>84</v>
      </c>
    </row>
    <row r="131" spans="2:15" s="1" customFormat="1" ht="13.5">
      <c r="B131" s="4" t="s">
        <v>124</v>
      </c>
      <c r="C131" s="4" t="s">
        <v>220</v>
      </c>
      <c r="D131" s="4" t="s">
        <v>274</v>
      </c>
      <c r="E131" s="4" t="s">
        <v>215</v>
      </c>
      <c r="F131" s="4" t="s">
        <v>126</v>
      </c>
      <c r="G131" s="4">
        <v>101010612</v>
      </c>
      <c r="H131" s="5">
        <v>11313</v>
      </c>
      <c r="I131" s="7">
        <v>19.79</v>
      </c>
      <c r="J131" s="7">
        <v>223923.92</v>
      </c>
      <c r="K131" s="7">
        <v>153561.5974</v>
      </c>
      <c r="L131" s="7">
        <v>70362.3226</v>
      </c>
      <c r="M131" s="8">
        <v>0.31419999999999998</v>
      </c>
      <c r="N131" s="5">
        <v>3520</v>
      </c>
      <c r="O131" s="5">
        <v>125</v>
      </c>
    </row>
    <row r="132" spans="2:15" s="1" customFormat="1" ht="13.5">
      <c r="B132" s="4" t="s">
        <v>124</v>
      </c>
      <c r="C132" s="4" t="s">
        <v>127</v>
      </c>
      <c r="D132" s="4" t="s">
        <v>275</v>
      </c>
      <c r="E132" s="4" t="s">
        <v>123</v>
      </c>
      <c r="F132" s="4" t="s">
        <v>126</v>
      </c>
      <c r="G132" s="4">
        <v>101010568</v>
      </c>
      <c r="H132" s="5">
        <v>1193</v>
      </c>
      <c r="I132" s="7">
        <v>186.48</v>
      </c>
      <c r="J132" s="7">
        <v>222474</v>
      </c>
      <c r="K132" s="7">
        <v>166013.15400000001</v>
      </c>
      <c r="L132" s="7">
        <v>56460.845999999998</v>
      </c>
      <c r="M132" s="8">
        <v>0.25369999999999998</v>
      </c>
      <c r="N132" s="5">
        <v>534</v>
      </c>
      <c r="O132" s="5">
        <v>84</v>
      </c>
    </row>
    <row r="133" spans="2:15" s="1" customFormat="1" ht="13.5">
      <c r="B133" s="4" t="s">
        <v>124</v>
      </c>
      <c r="C133" s="4" t="s">
        <v>147</v>
      </c>
      <c r="D133" s="4" t="s">
        <v>276</v>
      </c>
      <c r="E133" s="4" t="s">
        <v>277</v>
      </c>
      <c r="F133" s="4" t="s">
        <v>126</v>
      </c>
      <c r="G133" s="4">
        <v>101010122</v>
      </c>
      <c r="H133" s="5">
        <v>33282</v>
      </c>
      <c r="I133" s="7">
        <v>6.53</v>
      </c>
      <c r="J133" s="7">
        <v>217248.91</v>
      </c>
      <c r="K133" s="7">
        <v>129167.7038</v>
      </c>
      <c r="L133" s="7">
        <v>88081.206200000001</v>
      </c>
      <c r="M133" s="8">
        <v>0.40539999999999998</v>
      </c>
      <c r="N133" s="5">
        <v>6327</v>
      </c>
      <c r="O133" s="5">
        <v>139</v>
      </c>
    </row>
    <row r="134" spans="2:15" s="1" customFormat="1" ht="13.5">
      <c r="B134" s="4" t="s">
        <v>124</v>
      </c>
      <c r="C134" s="4" t="s">
        <v>125</v>
      </c>
      <c r="D134" s="4" t="s">
        <v>278</v>
      </c>
      <c r="E134" s="4" t="s">
        <v>31</v>
      </c>
      <c r="F134" s="4" t="s">
        <v>126</v>
      </c>
      <c r="G134" s="4">
        <v>101010108</v>
      </c>
      <c r="H134" s="5">
        <v>2900</v>
      </c>
      <c r="I134" s="7">
        <v>74.41</v>
      </c>
      <c r="J134" s="7">
        <v>215795</v>
      </c>
      <c r="K134" s="7">
        <v>173662.7733</v>
      </c>
      <c r="L134" s="7">
        <v>42132.226699999999</v>
      </c>
      <c r="M134" s="8">
        <v>0.19520000000000001</v>
      </c>
      <c r="N134" s="5">
        <v>1398</v>
      </c>
      <c r="O134" s="5">
        <v>129</v>
      </c>
    </row>
    <row r="135" spans="2:15" s="1" customFormat="1" ht="13.5">
      <c r="B135" s="4" t="s">
        <v>124</v>
      </c>
      <c r="C135" s="4" t="s">
        <v>147</v>
      </c>
      <c r="D135" s="4" t="s">
        <v>279</v>
      </c>
      <c r="E135" s="4" t="s">
        <v>176</v>
      </c>
      <c r="F135" s="4" t="s">
        <v>126</v>
      </c>
      <c r="G135" s="4">
        <v>101010601</v>
      </c>
      <c r="H135" s="5">
        <v>3188</v>
      </c>
      <c r="I135" s="7">
        <v>67.459999999999994</v>
      </c>
      <c r="J135" s="7">
        <v>215076</v>
      </c>
      <c r="K135" s="7">
        <v>124018.982</v>
      </c>
      <c r="L135" s="7">
        <v>91057.017999999996</v>
      </c>
      <c r="M135" s="8">
        <v>0.42330000000000001</v>
      </c>
      <c r="N135" s="5">
        <v>1946</v>
      </c>
      <c r="O135" s="5">
        <v>131</v>
      </c>
    </row>
    <row r="136" spans="2:15" s="1" customFormat="1" ht="13.5">
      <c r="B136" s="4" t="s">
        <v>124</v>
      </c>
      <c r="C136" s="4" t="s">
        <v>127</v>
      </c>
      <c r="D136" s="4" t="s">
        <v>280</v>
      </c>
      <c r="E136" s="4" t="s">
        <v>31</v>
      </c>
      <c r="F136" s="4" t="s">
        <v>126</v>
      </c>
      <c r="G136" s="4">
        <v>101010558</v>
      </c>
      <c r="H136" s="5">
        <v>2087</v>
      </c>
      <c r="I136" s="7">
        <v>95.57</v>
      </c>
      <c r="J136" s="7">
        <v>199453</v>
      </c>
      <c r="K136" s="7">
        <v>125551.19680000001</v>
      </c>
      <c r="L136" s="7">
        <v>73901.803199999995</v>
      </c>
      <c r="M136" s="8">
        <v>0.3705</v>
      </c>
      <c r="N136" s="5">
        <v>1063</v>
      </c>
      <c r="O136" s="5">
        <v>75</v>
      </c>
    </row>
    <row r="137" spans="2:15" s="1" customFormat="1" ht="13.5">
      <c r="B137" s="4" t="s">
        <v>124</v>
      </c>
      <c r="C137" s="4" t="s">
        <v>130</v>
      </c>
      <c r="D137" s="4" t="s">
        <v>281</v>
      </c>
      <c r="E137" s="4" t="s">
        <v>167</v>
      </c>
      <c r="F137" s="4" t="s">
        <v>126</v>
      </c>
      <c r="G137" s="4">
        <v>101010618</v>
      </c>
      <c r="H137" s="5">
        <v>3679</v>
      </c>
      <c r="I137" s="7">
        <v>52.11</v>
      </c>
      <c r="J137" s="7">
        <v>191702</v>
      </c>
      <c r="K137" s="7">
        <v>139707.40549999999</v>
      </c>
      <c r="L137" s="7">
        <v>51994.594499999999</v>
      </c>
      <c r="M137" s="8">
        <v>0.2712</v>
      </c>
      <c r="N137" s="5">
        <v>2266</v>
      </c>
      <c r="O137" s="5">
        <v>134</v>
      </c>
    </row>
    <row r="138" spans="2:15" s="1" customFormat="1" ht="13.5">
      <c r="B138" s="4" t="s">
        <v>124</v>
      </c>
      <c r="C138" s="4" t="s">
        <v>125</v>
      </c>
      <c r="D138" s="4" t="s">
        <v>282</v>
      </c>
      <c r="E138" s="4" t="s">
        <v>31</v>
      </c>
      <c r="F138" s="4" t="s">
        <v>126</v>
      </c>
      <c r="G138" s="4">
        <v>101010147</v>
      </c>
      <c r="H138" s="5">
        <v>1005</v>
      </c>
      <c r="I138" s="7">
        <v>187.38</v>
      </c>
      <c r="J138" s="7">
        <v>188318</v>
      </c>
      <c r="K138" s="7">
        <v>142333.7401</v>
      </c>
      <c r="L138" s="7">
        <v>45984.259899999997</v>
      </c>
      <c r="M138" s="8">
        <v>0.24410000000000001</v>
      </c>
      <c r="N138" s="5">
        <v>327</v>
      </c>
      <c r="O138" s="5">
        <v>92</v>
      </c>
    </row>
    <row r="139" spans="2:15" s="1" customFormat="1" ht="13.5">
      <c r="B139" s="4" t="s">
        <v>124</v>
      </c>
      <c r="C139" s="4" t="s">
        <v>125</v>
      </c>
      <c r="D139" s="4" t="s">
        <v>58</v>
      </c>
      <c r="E139" s="4" t="s">
        <v>123</v>
      </c>
      <c r="F139" s="4" t="s">
        <v>126</v>
      </c>
      <c r="G139" s="4">
        <v>101010512</v>
      </c>
      <c r="H139" s="5">
        <v>200</v>
      </c>
      <c r="I139" s="7">
        <v>928.26</v>
      </c>
      <c r="J139" s="7">
        <v>185652</v>
      </c>
      <c r="K139" s="7">
        <v>148267.12880000001</v>
      </c>
      <c r="L139" s="7">
        <v>37384.871200000001</v>
      </c>
      <c r="M139" s="8">
        <v>0.20130000000000001</v>
      </c>
      <c r="N139" s="5">
        <v>29</v>
      </c>
      <c r="O139" s="5">
        <v>13</v>
      </c>
    </row>
    <row r="140" spans="2:15" s="1" customFormat="1" ht="13.5">
      <c r="B140" s="4" t="s">
        <v>124</v>
      </c>
      <c r="C140" s="4" t="s">
        <v>147</v>
      </c>
      <c r="D140" s="4" t="s">
        <v>283</v>
      </c>
      <c r="E140" s="4" t="s">
        <v>284</v>
      </c>
      <c r="F140" s="4" t="s">
        <v>137</v>
      </c>
      <c r="G140" s="4">
        <v>101010072</v>
      </c>
      <c r="H140" s="5">
        <v>3082</v>
      </c>
      <c r="I140" s="7">
        <v>57.6</v>
      </c>
      <c r="J140" s="7">
        <v>177538</v>
      </c>
      <c r="K140" s="7">
        <v>107619.4659</v>
      </c>
      <c r="L140" s="7">
        <v>69918.534100000004</v>
      </c>
      <c r="M140" s="8">
        <v>0.39379999999999998</v>
      </c>
      <c r="N140" s="5">
        <v>2006</v>
      </c>
      <c r="O140" s="5">
        <v>132</v>
      </c>
    </row>
    <row r="141" spans="2:15" s="1" customFormat="1" ht="13.5">
      <c r="B141" s="4" t="s">
        <v>124</v>
      </c>
      <c r="C141" s="4" t="s">
        <v>125</v>
      </c>
      <c r="D141" s="4" t="s">
        <v>285</v>
      </c>
      <c r="E141" s="4" t="s">
        <v>157</v>
      </c>
      <c r="F141" s="4" t="s">
        <v>126</v>
      </c>
      <c r="G141" s="4">
        <v>101010181</v>
      </c>
      <c r="H141" s="5">
        <v>1910</v>
      </c>
      <c r="I141" s="7">
        <v>84.96</v>
      </c>
      <c r="J141" s="7">
        <v>162270</v>
      </c>
      <c r="K141" s="7">
        <v>139822.62030000001</v>
      </c>
      <c r="L141" s="7">
        <v>22447.379700000001</v>
      </c>
      <c r="M141" s="8">
        <v>0.13830000000000001</v>
      </c>
      <c r="N141" s="5">
        <v>821</v>
      </c>
      <c r="O141" s="5">
        <v>9</v>
      </c>
    </row>
    <row r="142" spans="2:15" s="1" customFormat="1" ht="13.5">
      <c r="B142" s="4" t="s">
        <v>124</v>
      </c>
      <c r="C142" s="4" t="s">
        <v>147</v>
      </c>
      <c r="D142" s="4" t="s">
        <v>286</v>
      </c>
      <c r="E142" s="4" t="s">
        <v>31</v>
      </c>
      <c r="F142" s="4" t="s">
        <v>126</v>
      </c>
      <c r="G142" s="4">
        <v>101010606</v>
      </c>
      <c r="H142" s="5">
        <v>1002</v>
      </c>
      <c r="I142" s="7">
        <v>159.65</v>
      </c>
      <c r="J142" s="7">
        <v>159965</v>
      </c>
      <c r="K142" s="7">
        <v>71585.399699999994</v>
      </c>
      <c r="L142" s="7">
        <v>88379.600300000006</v>
      </c>
      <c r="M142" s="8">
        <v>0.5524</v>
      </c>
      <c r="N142" s="5">
        <v>324</v>
      </c>
      <c r="O142" s="5">
        <v>90</v>
      </c>
    </row>
    <row r="143" spans="2:15" s="1" customFormat="1" ht="13.5">
      <c r="B143" s="4" t="s">
        <v>124</v>
      </c>
      <c r="C143" s="4" t="s">
        <v>130</v>
      </c>
      <c r="D143" s="4" t="s">
        <v>287</v>
      </c>
      <c r="E143" s="4" t="s">
        <v>31</v>
      </c>
      <c r="F143" s="4" t="s">
        <v>126</v>
      </c>
      <c r="G143" s="4">
        <v>101010631</v>
      </c>
      <c r="H143" s="5">
        <v>472</v>
      </c>
      <c r="I143" s="7">
        <v>336.91</v>
      </c>
      <c r="J143" s="7">
        <v>159020</v>
      </c>
      <c r="K143" s="7">
        <v>108266.51609999999</v>
      </c>
      <c r="L143" s="7">
        <v>50753.483899999999</v>
      </c>
      <c r="M143" s="8">
        <v>0.31909999999999999</v>
      </c>
      <c r="N143" s="5">
        <v>217</v>
      </c>
      <c r="O143" s="5">
        <v>63</v>
      </c>
    </row>
    <row r="144" spans="2:15" s="1" customFormat="1" ht="13.5">
      <c r="B144" s="4" t="s">
        <v>124</v>
      </c>
      <c r="C144" s="4" t="s">
        <v>125</v>
      </c>
      <c r="D144" s="4" t="s">
        <v>288</v>
      </c>
      <c r="E144" s="4" t="s">
        <v>31</v>
      </c>
      <c r="F144" s="4" t="s">
        <v>126</v>
      </c>
      <c r="G144" s="4">
        <v>101010534</v>
      </c>
      <c r="H144" s="5">
        <v>1591</v>
      </c>
      <c r="I144" s="7">
        <v>97.71</v>
      </c>
      <c r="J144" s="7">
        <v>155458</v>
      </c>
      <c r="K144" s="7">
        <v>107898.0453</v>
      </c>
      <c r="L144" s="7">
        <v>47559.954700000002</v>
      </c>
      <c r="M144" s="8">
        <v>0.30590000000000001</v>
      </c>
      <c r="N144" s="5">
        <v>766</v>
      </c>
      <c r="O144" s="5">
        <v>121</v>
      </c>
    </row>
    <row r="145" spans="2:15" s="1" customFormat="1" ht="13.5">
      <c r="B145" s="4" t="s">
        <v>124</v>
      </c>
      <c r="C145" s="4" t="s">
        <v>125</v>
      </c>
      <c r="D145" s="4" t="s">
        <v>289</v>
      </c>
      <c r="E145" s="4" t="s">
        <v>290</v>
      </c>
      <c r="F145" s="4" t="s">
        <v>126</v>
      </c>
      <c r="G145" s="4">
        <v>101010179</v>
      </c>
      <c r="H145" s="5">
        <v>2479</v>
      </c>
      <c r="I145" s="7">
        <v>61.67</v>
      </c>
      <c r="J145" s="7">
        <v>152884</v>
      </c>
      <c r="K145" s="7">
        <v>103786.04399999999</v>
      </c>
      <c r="L145" s="7">
        <v>49097.955999999998</v>
      </c>
      <c r="M145" s="8">
        <v>0.3211</v>
      </c>
      <c r="N145" s="5">
        <v>1818</v>
      </c>
      <c r="O145" s="5">
        <v>130</v>
      </c>
    </row>
    <row r="146" spans="2:15" s="1" customFormat="1" ht="13.5">
      <c r="B146" s="4" t="s">
        <v>124</v>
      </c>
      <c r="C146" s="4" t="s">
        <v>127</v>
      </c>
      <c r="D146" s="4" t="s">
        <v>291</v>
      </c>
      <c r="E146" s="4" t="s">
        <v>31</v>
      </c>
      <c r="F146" s="4" t="s">
        <v>126</v>
      </c>
      <c r="G146" s="4">
        <v>101010547</v>
      </c>
      <c r="H146" s="5">
        <v>720</v>
      </c>
      <c r="I146" s="7">
        <v>211.64</v>
      </c>
      <c r="J146" s="7">
        <v>152380</v>
      </c>
      <c r="K146" s="7">
        <v>81959.991500000004</v>
      </c>
      <c r="L146" s="7">
        <v>70420.008499999996</v>
      </c>
      <c r="M146" s="8">
        <v>0.46210000000000001</v>
      </c>
      <c r="N146" s="5">
        <v>360</v>
      </c>
      <c r="O146" s="5">
        <v>66</v>
      </c>
    </row>
    <row r="147" spans="2:15" s="1" customFormat="1" ht="13.5">
      <c r="B147" s="4" t="s">
        <v>124</v>
      </c>
      <c r="C147" s="4" t="s">
        <v>147</v>
      </c>
      <c r="D147" s="4" t="s">
        <v>292</v>
      </c>
      <c r="E147" s="4" t="s">
        <v>176</v>
      </c>
      <c r="F147" s="4" t="s">
        <v>126</v>
      </c>
      <c r="G147" s="4">
        <v>101010121</v>
      </c>
      <c r="H147" s="5">
        <v>12937</v>
      </c>
      <c r="I147" s="7">
        <v>11.5</v>
      </c>
      <c r="J147" s="7">
        <v>148751.5</v>
      </c>
      <c r="K147" s="7">
        <v>113048.3104</v>
      </c>
      <c r="L147" s="7">
        <v>35703.189599999998</v>
      </c>
      <c r="M147" s="8">
        <v>0.24</v>
      </c>
      <c r="N147" s="5">
        <v>5039</v>
      </c>
      <c r="O147" s="5">
        <v>140</v>
      </c>
    </row>
    <row r="148" spans="2:15" s="1" customFormat="1" ht="13.5">
      <c r="B148" s="4" t="s">
        <v>124</v>
      </c>
      <c r="C148" s="4" t="s">
        <v>127</v>
      </c>
      <c r="D148" s="4" t="s">
        <v>293</v>
      </c>
      <c r="E148" s="4" t="s">
        <v>123</v>
      </c>
      <c r="F148" s="4" t="s">
        <v>126</v>
      </c>
      <c r="G148" s="4">
        <v>101010567</v>
      </c>
      <c r="H148" s="5">
        <v>30</v>
      </c>
      <c r="I148" s="7">
        <v>4866.47</v>
      </c>
      <c r="J148" s="7">
        <v>145994</v>
      </c>
      <c r="K148" s="7">
        <v>109290</v>
      </c>
      <c r="L148" s="7">
        <v>36704</v>
      </c>
      <c r="M148" s="8">
        <v>0.25140000000000001</v>
      </c>
      <c r="N148" s="5">
        <v>10</v>
      </c>
      <c r="O148" s="5">
        <v>10</v>
      </c>
    </row>
    <row r="149" spans="2:15" s="1" customFormat="1" ht="13.5">
      <c r="B149" s="4" t="s">
        <v>124</v>
      </c>
      <c r="C149" s="4" t="s">
        <v>125</v>
      </c>
      <c r="D149" s="4" t="s">
        <v>294</v>
      </c>
      <c r="E149" s="4" t="s">
        <v>167</v>
      </c>
      <c r="F149" s="4" t="s">
        <v>126</v>
      </c>
      <c r="G149" s="4">
        <v>101010162</v>
      </c>
      <c r="H149" s="5">
        <v>2166</v>
      </c>
      <c r="I149" s="7">
        <v>65.5</v>
      </c>
      <c r="J149" s="7">
        <v>141874.20000000001</v>
      </c>
      <c r="K149" s="7">
        <v>75256.9715</v>
      </c>
      <c r="L149" s="7">
        <v>66617.228499999997</v>
      </c>
      <c r="M149" s="8">
        <v>0.46949999999999997</v>
      </c>
      <c r="N149" s="5">
        <v>992</v>
      </c>
      <c r="O149" s="5">
        <v>132</v>
      </c>
    </row>
    <row r="150" spans="2:15" s="1" customFormat="1" ht="13.5">
      <c r="B150" s="4" t="s">
        <v>124</v>
      </c>
      <c r="C150" s="4" t="s">
        <v>125</v>
      </c>
      <c r="D150" s="4" t="s">
        <v>295</v>
      </c>
      <c r="E150" s="4" t="s">
        <v>31</v>
      </c>
      <c r="F150" s="4" t="s">
        <v>126</v>
      </c>
      <c r="G150" s="4">
        <v>101010533</v>
      </c>
      <c r="H150" s="5">
        <v>1659</v>
      </c>
      <c r="I150" s="7">
        <v>84.95</v>
      </c>
      <c r="J150" s="7">
        <v>140931</v>
      </c>
      <c r="K150" s="7">
        <v>85047.065499999997</v>
      </c>
      <c r="L150" s="7">
        <v>55883.934500000003</v>
      </c>
      <c r="M150" s="8">
        <v>0.39650000000000002</v>
      </c>
      <c r="N150" s="5">
        <v>978</v>
      </c>
      <c r="O150" s="5">
        <v>99</v>
      </c>
    </row>
    <row r="151" spans="2:15" s="1" customFormat="1" ht="13.5">
      <c r="B151" s="4" t="s">
        <v>124</v>
      </c>
      <c r="C151" s="4" t="s">
        <v>125</v>
      </c>
      <c r="D151" s="4" t="s">
        <v>296</v>
      </c>
      <c r="E151" s="4" t="s">
        <v>31</v>
      </c>
      <c r="F151" s="4" t="s">
        <v>126</v>
      </c>
      <c r="G151" s="4">
        <v>101010198</v>
      </c>
      <c r="H151" s="5">
        <v>632</v>
      </c>
      <c r="I151" s="7">
        <v>222.07</v>
      </c>
      <c r="J151" s="7">
        <v>140346</v>
      </c>
      <c r="K151" s="7">
        <v>99141.1011</v>
      </c>
      <c r="L151" s="7">
        <v>41204.8989</v>
      </c>
      <c r="M151" s="8">
        <v>0.29349999999999998</v>
      </c>
      <c r="N151" s="5">
        <v>239</v>
      </c>
      <c r="O151" s="5">
        <v>75</v>
      </c>
    </row>
    <row r="152" spans="2:15" s="1" customFormat="1" ht="13.5">
      <c r="B152" s="4" t="s">
        <v>124</v>
      </c>
      <c r="C152" s="4" t="s">
        <v>130</v>
      </c>
      <c r="D152" s="4" t="s">
        <v>297</v>
      </c>
      <c r="E152" s="4" t="s">
        <v>298</v>
      </c>
      <c r="F152" s="4" t="s">
        <v>126</v>
      </c>
      <c r="G152" s="4">
        <v>101010120</v>
      </c>
      <c r="H152" s="5">
        <v>6007</v>
      </c>
      <c r="I152" s="7">
        <v>23</v>
      </c>
      <c r="J152" s="7">
        <v>138149.29999999999</v>
      </c>
      <c r="K152" s="7">
        <v>106421.69680000001</v>
      </c>
      <c r="L152" s="7">
        <v>31727.603200000001</v>
      </c>
      <c r="M152" s="8">
        <v>0.2296</v>
      </c>
      <c r="N152" s="5">
        <v>3613</v>
      </c>
      <c r="O152" s="5">
        <v>100</v>
      </c>
    </row>
    <row r="153" spans="2:15" s="1" customFormat="1" ht="13.5">
      <c r="B153" s="4" t="s">
        <v>124</v>
      </c>
      <c r="C153" s="4" t="s">
        <v>127</v>
      </c>
      <c r="D153" s="4" t="s">
        <v>299</v>
      </c>
      <c r="E153" s="4" t="s">
        <v>31</v>
      </c>
      <c r="F153" s="4" t="s">
        <v>126</v>
      </c>
      <c r="G153" s="4">
        <v>101010138</v>
      </c>
      <c r="H153" s="5">
        <v>408</v>
      </c>
      <c r="I153" s="7">
        <v>323.58</v>
      </c>
      <c r="J153" s="7">
        <v>132022</v>
      </c>
      <c r="K153" s="7">
        <v>89760</v>
      </c>
      <c r="L153" s="7">
        <v>42262</v>
      </c>
      <c r="M153" s="8">
        <v>0.3201</v>
      </c>
      <c r="N153" s="5">
        <v>192</v>
      </c>
      <c r="O153" s="5">
        <v>62</v>
      </c>
    </row>
    <row r="154" spans="2:15" s="1" customFormat="1" ht="13.5">
      <c r="B154" s="4" t="s">
        <v>124</v>
      </c>
      <c r="C154" s="4" t="s">
        <v>127</v>
      </c>
      <c r="D154" s="4" t="s">
        <v>300</v>
      </c>
      <c r="E154" s="4" t="s">
        <v>123</v>
      </c>
      <c r="F154" s="4" t="s">
        <v>126</v>
      </c>
      <c r="G154" s="4">
        <v>101010557</v>
      </c>
      <c r="H154" s="5">
        <v>223</v>
      </c>
      <c r="I154" s="7">
        <v>586.98</v>
      </c>
      <c r="J154" s="7">
        <v>130896</v>
      </c>
      <c r="K154" s="7">
        <v>81504.899900000004</v>
      </c>
      <c r="L154" s="7">
        <v>49391.100100000003</v>
      </c>
      <c r="M154" s="8">
        <v>0.37730000000000002</v>
      </c>
      <c r="N154" s="5">
        <v>106</v>
      </c>
      <c r="O154" s="5">
        <v>45</v>
      </c>
    </row>
    <row r="155" spans="2:15" s="1" customFormat="1" ht="13.5">
      <c r="B155" s="4" t="s">
        <v>124</v>
      </c>
      <c r="C155" s="4" t="s">
        <v>147</v>
      </c>
      <c r="D155" s="4" t="s">
        <v>301</v>
      </c>
      <c r="E155" s="4" t="s">
        <v>302</v>
      </c>
      <c r="F155" s="4" t="s">
        <v>126</v>
      </c>
      <c r="G155" s="4">
        <v>101010596</v>
      </c>
      <c r="H155" s="5">
        <v>8127</v>
      </c>
      <c r="I155" s="7">
        <v>15.99</v>
      </c>
      <c r="J155" s="7">
        <v>129961.2</v>
      </c>
      <c r="K155" s="7">
        <v>95301.8649</v>
      </c>
      <c r="L155" s="7">
        <v>34659.335099999997</v>
      </c>
      <c r="M155" s="8">
        <v>0.2666</v>
      </c>
      <c r="N155" s="5">
        <v>6652</v>
      </c>
      <c r="O155" s="5">
        <v>136</v>
      </c>
    </row>
    <row r="156" spans="2:15" s="1" customFormat="1" ht="13.5">
      <c r="B156" s="4" t="s">
        <v>124</v>
      </c>
      <c r="C156" s="4" t="s">
        <v>147</v>
      </c>
      <c r="D156" s="4" t="s">
        <v>303</v>
      </c>
      <c r="E156" s="4" t="s">
        <v>31</v>
      </c>
      <c r="F156" s="4" t="s">
        <v>126</v>
      </c>
      <c r="G156" s="4">
        <v>101010075</v>
      </c>
      <c r="H156" s="5">
        <v>1465</v>
      </c>
      <c r="I156" s="7">
        <v>87.24</v>
      </c>
      <c r="J156" s="7">
        <v>127801.5</v>
      </c>
      <c r="K156" s="7">
        <v>87059.617599999998</v>
      </c>
      <c r="L156" s="7">
        <v>40741.882400000002</v>
      </c>
      <c r="M156" s="8">
        <v>0.31869999999999998</v>
      </c>
      <c r="N156" s="5">
        <v>787</v>
      </c>
      <c r="O156" s="5">
        <v>126</v>
      </c>
    </row>
    <row r="157" spans="2:15" s="1" customFormat="1" ht="13.5">
      <c r="B157" s="4" t="s">
        <v>124</v>
      </c>
      <c r="C157" s="4" t="s">
        <v>125</v>
      </c>
      <c r="D157" s="4" t="s">
        <v>304</v>
      </c>
      <c r="E157" s="4" t="s">
        <v>31</v>
      </c>
      <c r="F157" s="4" t="s">
        <v>126</v>
      </c>
      <c r="G157" s="4">
        <v>101010161</v>
      </c>
      <c r="H157" s="5">
        <v>790</v>
      </c>
      <c r="I157" s="7">
        <v>161.51</v>
      </c>
      <c r="J157" s="7">
        <v>127593</v>
      </c>
      <c r="K157" s="7">
        <v>68392.500700000004</v>
      </c>
      <c r="L157" s="7">
        <v>59200.499300000003</v>
      </c>
      <c r="M157" s="8">
        <v>0.46389999999999998</v>
      </c>
      <c r="N157" s="5">
        <v>579</v>
      </c>
      <c r="O157" s="5">
        <v>75</v>
      </c>
    </row>
    <row r="158" spans="2:15" s="1" customFormat="1" ht="13.5">
      <c r="B158" s="4" t="s">
        <v>124</v>
      </c>
      <c r="C158" s="4" t="s">
        <v>125</v>
      </c>
      <c r="D158" s="4" t="s">
        <v>69</v>
      </c>
      <c r="E158" s="4" t="s">
        <v>123</v>
      </c>
      <c r="F158" s="4" t="s">
        <v>126</v>
      </c>
      <c r="G158" s="4">
        <v>101010560</v>
      </c>
      <c r="H158" s="5">
        <v>50</v>
      </c>
      <c r="I158" s="7">
        <v>2551.1999999999998</v>
      </c>
      <c r="J158" s="7">
        <v>127560</v>
      </c>
      <c r="K158" s="7">
        <v>105627.36500000001</v>
      </c>
      <c r="L158" s="7">
        <v>21932.634999999998</v>
      </c>
      <c r="M158" s="8">
        <v>0.1719</v>
      </c>
      <c r="N158" s="5">
        <v>22</v>
      </c>
      <c r="O158" s="5">
        <v>15</v>
      </c>
    </row>
    <row r="159" spans="2:15" s="1" customFormat="1" ht="13.5">
      <c r="B159" s="4" t="s">
        <v>124</v>
      </c>
      <c r="C159" s="4" t="s">
        <v>125</v>
      </c>
      <c r="D159" s="4" t="s">
        <v>305</v>
      </c>
      <c r="E159" s="4" t="s">
        <v>31</v>
      </c>
      <c r="F159" s="4" t="s">
        <v>126</v>
      </c>
      <c r="G159" s="4">
        <v>101010495</v>
      </c>
      <c r="H159" s="5">
        <v>356</v>
      </c>
      <c r="I159" s="7">
        <v>356.56</v>
      </c>
      <c r="J159" s="7">
        <v>126936</v>
      </c>
      <c r="K159" s="7">
        <v>88295.429499999998</v>
      </c>
      <c r="L159" s="7">
        <v>38640.570500000002</v>
      </c>
      <c r="M159" s="8">
        <v>0.3044</v>
      </c>
      <c r="N159" s="5">
        <v>86</v>
      </c>
      <c r="O159" s="5">
        <v>36</v>
      </c>
    </row>
    <row r="160" spans="2:15" s="1" customFormat="1" ht="13.5">
      <c r="B160" s="4" t="s">
        <v>124</v>
      </c>
      <c r="C160" s="4" t="s">
        <v>125</v>
      </c>
      <c r="D160" s="4" t="s">
        <v>306</v>
      </c>
      <c r="E160" s="4" t="s">
        <v>31</v>
      </c>
      <c r="F160" s="4" t="s">
        <v>126</v>
      </c>
      <c r="G160" s="4">
        <v>101010492</v>
      </c>
      <c r="H160" s="5">
        <v>633</v>
      </c>
      <c r="I160" s="7">
        <v>191.52</v>
      </c>
      <c r="J160" s="7">
        <v>121232</v>
      </c>
      <c r="K160" s="7">
        <v>99729.435400000002</v>
      </c>
      <c r="L160" s="7">
        <v>21502.564600000002</v>
      </c>
      <c r="M160" s="8">
        <v>0.17730000000000001</v>
      </c>
      <c r="N160" s="5">
        <v>134</v>
      </c>
      <c r="O160" s="5">
        <v>12</v>
      </c>
    </row>
    <row r="161" spans="2:15" s="1" customFormat="1" ht="13.5">
      <c r="B161" s="4" t="s">
        <v>124</v>
      </c>
      <c r="C161" s="4" t="s">
        <v>130</v>
      </c>
      <c r="D161" s="4" t="s">
        <v>307</v>
      </c>
      <c r="E161" s="4" t="s">
        <v>31</v>
      </c>
      <c r="F161" s="4" t="s">
        <v>126</v>
      </c>
      <c r="G161" s="4">
        <v>101010193</v>
      </c>
      <c r="H161" s="5">
        <v>3357</v>
      </c>
      <c r="I161" s="7">
        <v>34.630000000000003</v>
      </c>
      <c r="J161" s="7">
        <v>116268</v>
      </c>
      <c r="K161" s="7">
        <v>69604.5141</v>
      </c>
      <c r="L161" s="7">
        <v>46663.4859</v>
      </c>
      <c r="M161" s="8">
        <v>0.40129999999999999</v>
      </c>
      <c r="N161" s="5">
        <v>1645</v>
      </c>
      <c r="O161" s="5">
        <v>132</v>
      </c>
    </row>
    <row r="162" spans="2:15" s="1" customFormat="1" ht="13.5">
      <c r="B162" s="4" t="s">
        <v>124</v>
      </c>
      <c r="C162" s="4" t="s">
        <v>125</v>
      </c>
      <c r="D162" s="4" t="s">
        <v>308</v>
      </c>
      <c r="E162" s="4" t="s">
        <v>228</v>
      </c>
      <c r="F162" s="4" t="s">
        <v>137</v>
      </c>
      <c r="G162" s="4">
        <v>101010514</v>
      </c>
      <c r="H162" s="5">
        <v>101</v>
      </c>
      <c r="I162" s="7">
        <v>1135.1600000000001</v>
      </c>
      <c r="J162" s="7">
        <v>114651</v>
      </c>
      <c r="K162" s="7">
        <v>63905.906900000002</v>
      </c>
      <c r="L162" s="7">
        <v>50745.093099999998</v>
      </c>
      <c r="M162" s="8">
        <v>0.44259999999999999</v>
      </c>
      <c r="N162" s="5">
        <v>82</v>
      </c>
      <c r="O162" s="5">
        <v>48</v>
      </c>
    </row>
    <row r="163" spans="2:15" s="1" customFormat="1" ht="13.5">
      <c r="B163" s="4" t="s">
        <v>124</v>
      </c>
      <c r="C163" s="4" t="s">
        <v>125</v>
      </c>
      <c r="D163" s="4" t="s">
        <v>309</v>
      </c>
      <c r="E163" s="4" t="s">
        <v>31</v>
      </c>
      <c r="F163" s="4" t="s">
        <v>126</v>
      </c>
      <c r="G163" s="4">
        <v>101010084</v>
      </c>
      <c r="H163" s="5">
        <v>2855</v>
      </c>
      <c r="I163" s="7">
        <v>40.07</v>
      </c>
      <c r="J163" s="7">
        <v>114389</v>
      </c>
      <c r="K163" s="7">
        <v>78309.552500000005</v>
      </c>
      <c r="L163" s="7">
        <v>36079.447500000002</v>
      </c>
      <c r="M163" s="8">
        <v>0.31540000000000001</v>
      </c>
      <c r="N163" s="5">
        <v>1579</v>
      </c>
      <c r="O163" s="5">
        <v>132</v>
      </c>
    </row>
    <row r="164" spans="2:15" s="1" customFormat="1" ht="13.5">
      <c r="B164" s="4" t="s">
        <v>124</v>
      </c>
      <c r="C164" s="4" t="s">
        <v>125</v>
      </c>
      <c r="D164" s="4" t="s">
        <v>310</v>
      </c>
      <c r="E164" s="4" t="s">
        <v>31</v>
      </c>
      <c r="F164" s="4" t="s">
        <v>137</v>
      </c>
      <c r="G164" s="4">
        <v>101010489</v>
      </c>
      <c r="H164" s="5">
        <v>683</v>
      </c>
      <c r="I164" s="7">
        <v>166.13</v>
      </c>
      <c r="J164" s="7">
        <v>113464</v>
      </c>
      <c r="K164" s="7">
        <v>87299.788100000005</v>
      </c>
      <c r="L164" s="7">
        <v>26164.211899999998</v>
      </c>
      <c r="M164" s="8">
        <v>0.23050000000000001</v>
      </c>
      <c r="N164" s="5">
        <v>376</v>
      </c>
      <c r="O164" s="5">
        <v>92</v>
      </c>
    </row>
    <row r="165" spans="2:15" s="1" customFormat="1" ht="13.5">
      <c r="B165" s="4" t="s">
        <v>124</v>
      </c>
      <c r="C165" s="4" t="s">
        <v>127</v>
      </c>
      <c r="D165" s="4" t="s">
        <v>311</v>
      </c>
      <c r="E165" s="4" t="s">
        <v>31</v>
      </c>
      <c r="F165" s="4" t="s">
        <v>126</v>
      </c>
      <c r="G165" s="4">
        <v>101010576</v>
      </c>
      <c r="H165" s="5">
        <v>720</v>
      </c>
      <c r="I165" s="7">
        <v>150.06</v>
      </c>
      <c r="J165" s="7">
        <v>108041</v>
      </c>
      <c r="K165" s="7">
        <v>62732.936900000001</v>
      </c>
      <c r="L165" s="7">
        <v>45308.063099999999</v>
      </c>
      <c r="M165" s="8">
        <v>0.41930000000000001</v>
      </c>
      <c r="N165" s="5">
        <v>314</v>
      </c>
      <c r="O165" s="5">
        <v>69</v>
      </c>
    </row>
    <row r="166" spans="2:15" s="1" customFormat="1" ht="13.5">
      <c r="B166" s="4" t="s">
        <v>124</v>
      </c>
      <c r="C166" s="4" t="s">
        <v>125</v>
      </c>
      <c r="D166" s="4" t="s">
        <v>312</v>
      </c>
      <c r="E166" s="4" t="s">
        <v>123</v>
      </c>
      <c r="F166" s="4" t="s">
        <v>126</v>
      </c>
      <c r="G166" s="4">
        <v>101010508</v>
      </c>
      <c r="H166" s="5">
        <v>151</v>
      </c>
      <c r="I166" s="7">
        <v>684.58</v>
      </c>
      <c r="J166" s="7">
        <v>103372</v>
      </c>
      <c r="K166" s="7">
        <v>73382.435899999997</v>
      </c>
      <c r="L166" s="7">
        <v>29989.5641</v>
      </c>
      <c r="M166" s="8">
        <v>0.29010000000000002</v>
      </c>
      <c r="N166" s="5">
        <v>61</v>
      </c>
      <c r="O166" s="5">
        <v>45</v>
      </c>
    </row>
    <row r="167" spans="2:15" s="1" customFormat="1" ht="13.5">
      <c r="B167" s="4" t="s">
        <v>124</v>
      </c>
      <c r="C167" s="4" t="s">
        <v>127</v>
      </c>
      <c r="D167" s="4" t="s">
        <v>313</v>
      </c>
      <c r="E167" s="4" t="s">
        <v>314</v>
      </c>
      <c r="F167" s="4" t="s">
        <v>137</v>
      </c>
      <c r="G167" s="4">
        <v>101010538</v>
      </c>
      <c r="H167" s="5">
        <v>185</v>
      </c>
      <c r="I167" s="7">
        <v>546.73</v>
      </c>
      <c r="J167" s="7">
        <v>101145</v>
      </c>
      <c r="K167" s="7">
        <v>82060</v>
      </c>
      <c r="L167" s="7">
        <v>19085</v>
      </c>
      <c r="M167" s="8">
        <v>0.18859999999999999</v>
      </c>
      <c r="N167" s="5">
        <v>43</v>
      </c>
      <c r="O167" s="5">
        <v>28</v>
      </c>
    </row>
    <row r="168" spans="2:15" s="1" customFormat="1" ht="13.5">
      <c r="B168" s="4" t="s">
        <v>124</v>
      </c>
      <c r="C168" s="4" t="s">
        <v>125</v>
      </c>
      <c r="D168" s="4" t="s">
        <v>315</v>
      </c>
      <c r="E168" s="4" t="s">
        <v>176</v>
      </c>
      <c r="F168" s="4" t="s">
        <v>126</v>
      </c>
      <c r="G168" s="4">
        <v>101010153</v>
      </c>
      <c r="H168" s="5">
        <v>628</v>
      </c>
      <c r="I168" s="7">
        <v>154.19999999999999</v>
      </c>
      <c r="J168" s="7">
        <v>96840</v>
      </c>
      <c r="K168" s="7">
        <v>86560.960800000001</v>
      </c>
      <c r="L168" s="7">
        <v>10279.039199999999</v>
      </c>
      <c r="M168" s="8">
        <v>0.1061</v>
      </c>
      <c r="N168" s="5">
        <v>141</v>
      </c>
      <c r="O168" s="5">
        <v>10</v>
      </c>
    </row>
    <row r="169" spans="2:15" s="1" customFormat="1" ht="13.5">
      <c r="B169" s="4" t="s">
        <v>124</v>
      </c>
      <c r="C169" s="4" t="s">
        <v>125</v>
      </c>
      <c r="D169" s="4" t="s">
        <v>316</v>
      </c>
      <c r="E169" s="4" t="s">
        <v>31</v>
      </c>
      <c r="F169" s="4" t="s">
        <v>126</v>
      </c>
      <c r="G169" s="4">
        <v>101010148</v>
      </c>
      <c r="H169" s="5">
        <v>204</v>
      </c>
      <c r="I169" s="7">
        <v>471.76</v>
      </c>
      <c r="J169" s="7">
        <v>96240</v>
      </c>
      <c r="K169" s="7">
        <v>89270</v>
      </c>
      <c r="L169" s="7">
        <v>6970</v>
      </c>
      <c r="M169" s="8">
        <v>7.2400000000000006E-2</v>
      </c>
      <c r="N169" s="5">
        <v>3</v>
      </c>
      <c r="O169" s="5">
        <v>1</v>
      </c>
    </row>
    <row r="170" spans="2:15" s="1" customFormat="1" ht="13.5">
      <c r="B170" s="4" t="s">
        <v>124</v>
      </c>
      <c r="C170" s="4" t="s">
        <v>236</v>
      </c>
      <c r="D170" s="4" t="s">
        <v>317</v>
      </c>
      <c r="E170" s="4" t="s">
        <v>31</v>
      </c>
      <c r="F170" s="4" t="s">
        <v>126</v>
      </c>
      <c r="G170" s="4">
        <v>101010141</v>
      </c>
      <c r="H170" s="5">
        <v>294</v>
      </c>
      <c r="I170" s="7">
        <v>312.07</v>
      </c>
      <c r="J170" s="7">
        <v>91748</v>
      </c>
      <c r="K170" s="7">
        <v>61555.507899999997</v>
      </c>
      <c r="L170" s="7">
        <v>30192.492099999999</v>
      </c>
      <c r="M170" s="8">
        <v>0.32900000000000001</v>
      </c>
      <c r="N170" s="5">
        <v>122</v>
      </c>
      <c r="O170" s="5">
        <v>53</v>
      </c>
    </row>
    <row r="171" spans="2:15" s="1" customFormat="1" ht="13.5">
      <c r="B171" s="4" t="s">
        <v>124</v>
      </c>
      <c r="C171" s="4" t="s">
        <v>147</v>
      </c>
      <c r="D171" s="4" t="s">
        <v>318</v>
      </c>
      <c r="E171" s="4" t="s">
        <v>31</v>
      </c>
      <c r="F171" s="4" t="s">
        <v>126</v>
      </c>
      <c r="G171" s="4">
        <v>101010154</v>
      </c>
      <c r="H171" s="5">
        <v>223</v>
      </c>
      <c r="I171" s="7">
        <v>387.08</v>
      </c>
      <c r="J171" s="7">
        <v>86318</v>
      </c>
      <c r="K171" s="7">
        <v>70821.405799999993</v>
      </c>
      <c r="L171" s="7">
        <v>15496.5942</v>
      </c>
      <c r="M171" s="8">
        <v>0.17949999999999999</v>
      </c>
      <c r="N171" s="5">
        <v>70</v>
      </c>
      <c r="O171" s="5">
        <v>29</v>
      </c>
    </row>
    <row r="172" spans="2:15" s="1" customFormat="1" ht="13.5">
      <c r="B172" s="4" t="s">
        <v>124</v>
      </c>
      <c r="C172" s="4" t="s">
        <v>125</v>
      </c>
      <c r="D172" s="4" t="s">
        <v>319</v>
      </c>
      <c r="E172" s="4" t="s">
        <v>320</v>
      </c>
      <c r="F172" s="4" t="s">
        <v>126</v>
      </c>
      <c r="G172" s="4">
        <v>101010183</v>
      </c>
      <c r="H172" s="5">
        <v>4168</v>
      </c>
      <c r="I172" s="7">
        <v>19.77</v>
      </c>
      <c r="J172" s="7">
        <v>82410.399999999994</v>
      </c>
      <c r="K172" s="7">
        <v>54073.739500000003</v>
      </c>
      <c r="L172" s="7">
        <v>28336.660500000002</v>
      </c>
      <c r="M172" s="8">
        <v>0.34379999999999999</v>
      </c>
      <c r="N172" s="5">
        <v>3026</v>
      </c>
      <c r="O172" s="5">
        <v>124</v>
      </c>
    </row>
    <row r="173" spans="2:15" s="1" customFormat="1" ht="13.5">
      <c r="B173" s="4" t="s">
        <v>124</v>
      </c>
      <c r="C173" s="4" t="s">
        <v>147</v>
      </c>
      <c r="D173" s="4" t="s">
        <v>321</v>
      </c>
      <c r="E173" s="4" t="s">
        <v>31</v>
      </c>
      <c r="F173" s="4" t="s">
        <v>126</v>
      </c>
      <c r="G173" s="4">
        <v>101010607</v>
      </c>
      <c r="H173" s="5">
        <v>559</v>
      </c>
      <c r="I173" s="7">
        <v>144.46</v>
      </c>
      <c r="J173" s="7">
        <v>80752</v>
      </c>
      <c r="K173" s="7">
        <v>57077.063199999997</v>
      </c>
      <c r="L173" s="7">
        <v>23674.936799999999</v>
      </c>
      <c r="M173" s="8">
        <v>0.29310000000000003</v>
      </c>
      <c r="N173" s="5">
        <v>234</v>
      </c>
      <c r="O173" s="5">
        <v>60</v>
      </c>
    </row>
    <row r="174" spans="2:15" s="1" customFormat="1" ht="13.5">
      <c r="B174" s="4" t="s">
        <v>124</v>
      </c>
      <c r="C174" s="4" t="s">
        <v>125</v>
      </c>
      <c r="D174" s="4" t="s">
        <v>322</v>
      </c>
      <c r="E174" s="4" t="s">
        <v>323</v>
      </c>
      <c r="F174" s="4" t="s">
        <v>137</v>
      </c>
      <c r="G174" s="4">
        <v>101010527</v>
      </c>
      <c r="H174" s="5">
        <v>154</v>
      </c>
      <c r="I174" s="7">
        <v>510.86</v>
      </c>
      <c r="J174" s="7">
        <v>78672</v>
      </c>
      <c r="K174" s="7">
        <v>63362.5628</v>
      </c>
      <c r="L174" s="7">
        <v>15309.4372</v>
      </c>
      <c r="M174" s="8">
        <v>0.19450000000000001</v>
      </c>
      <c r="N174" s="5">
        <v>84</v>
      </c>
      <c r="O174" s="5">
        <v>44</v>
      </c>
    </row>
    <row r="175" spans="2:15" s="1" customFormat="1" ht="13.5">
      <c r="B175" s="4" t="s">
        <v>124</v>
      </c>
      <c r="C175" s="4" t="s">
        <v>127</v>
      </c>
      <c r="D175" s="4" t="s">
        <v>324</v>
      </c>
      <c r="E175" s="4" t="s">
        <v>31</v>
      </c>
      <c r="F175" s="4" t="s">
        <v>126</v>
      </c>
      <c r="G175" s="4">
        <v>101010584</v>
      </c>
      <c r="H175" s="5">
        <v>195</v>
      </c>
      <c r="I175" s="7">
        <v>400.57</v>
      </c>
      <c r="J175" s="7">
        <v>78111</v>
      </c>
      <c r="K175" s="7">
        <v>75660</v>
      </c>
      <c r="L175" s="7">
        <v>2451</v>
      </c>
      <c r="M175" s="8">
        <v>3.1300000000000001E-2</v>
      </c>
      <c r="N175" s="5">
        <v>9</v>
      </c>
      <c r="O175" s="5">
        <v>5</v>
      </c>
    </row>
    <row r="176" spans="2:15" s="1" customFormat="1" ht="13.5">
      <c r="B176" s="4" t="s">
        <v>124</v>
      </c>
      <c r="C176" s="4" t="s">
        <v>125</v>
      </c>
      <c r="D176" s="4" t="s">
        <v>325</v>
      </c>
      <c r="E176" s="4" t="s">
        <v>31</v>
      </c>
      <c r="F176" s="4" t="s">
        <v>126</v>
      </c>
      <c r="G176" s="4">
        <v>101010511</v>
      </c>
      <c r="H176" s="5">
        <v>251</v>
      </c>
      <c r="I176" s="7">
        <v>308.77</v>
      </c>
      <c r="J176" s="7">
        <v>77502</v>
      </c>
      <c r="K176" s="7">
        <v>42959.796600000001</v>
      </c>
      <c r="L176" s="7">
        <v>34542.203399999999</v>
      </c>
      <c r="M176" s="8">
        <v>0.4456</v>
      </c>
      <c r="N176" s="5">
        <v>95</v>
      </c>
      <c r="O176" s="5">
        <v>45</v>
      </c>
    </row>
    <row r="177" spans="2:15" s="1" customFormat="1" ht="13.5">
      <c r="B177" s="4" t="s">
        <v>124</v>
      </c>
      <c r="C177" s="4" t="s">
        <v>125</v>
      </c>
      <c r="D177" s="4" t="s">
        <v>54</v>
      </c>
      <c r="E177" s="4" t="s">
        <v>55</v>
      </c>
      <c r="F177" s="4" t="s">
        <v>126</v>
      </c>
      <c r="G177" s="4">
        <v>101010499</v>
      </c>
      <c r="H177" s="5">
        <v>6296</v>
      </c>
      <c r="I177" s="7">
        <v>11.89</v>
      </c>
      <c r="J177" s="7">
        <v>74872.5</v>
      </c>
      <c r="K177" s="7">
        <v>79020.866999999998</v>
      </c>
      <c r="L177" s="7">
        <v>-4148.3670000000002</v>
      </c>
      <c r="M177" s="8">
        <v>-5.5399999999999998E-2</v>
      </c>
      <c r="N177" s="5">
        <v>3934</v>
      </c>
      <c r="O177" s="5">
        <v>124</v>
      </c>
    </row>
    <row r="178" spans="2:15" s="1" customFormat="1" ht="13.5">
      <c r="B178" s="4" t="s">
        <v>124</v>
      </c>
      <c r="C178" s="4" t="s">
        <v>127</v>
      </c>
      <c r="D178" s="4" t="s">
        <v>326</v>
      </c>
      <c r="E178" s="4" t="s">
        <v>31</v>
      </c>
      <c r="F178" s="4" t="s">
        <v>126</v>
      </c>
      <c r="G178" s="4">
        <v>101010589</v>
      </c>
      <c r="H178" s="5">
        <v>200</v>
      </c>
      <c r="I178" s="7">
        <v>373.41</v>
      </c>
      <c r="J178" s="7">
        <v>74682</v>
      </c>
      <c r="K178" s="7">
        <v>43060</v>
      </c>
      <c r="L178" s="7">
        <v>31622</v>
      </c>
      <c r="M178" s="8">
        <v>0.4234</v>
      </c>
      <c r="N178" s="5">
        <v>54</v>
      </c>
      <c r="O178" s="5">
        <v>36</v>
      </c>
    </row>
    <row r="179" spans="2:15" s="1" customFormat="1" ht="13.5">
      <c r="B179" s="4" t="s">
        <v>124</v>
      </c>
      <c r="C179" s="4" t="s">
        <v>125</v>
      </c>
      <c r="D179" s="4" t="s">
        <v>327</v>
      </c>
      <c r="E179" s="4" t="s">
        <v>55</v>
      </c>
      <c r="F179" s="4" t="s">
        <v>126</v>
      </c>
      <c r="G179" s="4">
        <v>101010109</v>
      </c>
      <c r="H179" s="5">
        <v>5977</v>
      </c>
      <c r="I179" s="7">
        <v>11.98</v>
      </c>
      <c r="J179" s="7">
        <v>71596.100000000006</v>
      </c>
      <c r="K179" s="7">
        <v>52143.538</v>
      </c>
      <c r="L179" s="7">
        <v>19452.562000000002</v>
      </c>
      <c r="M179" s="8">
        <v>0.27160000000000001</v>
      </c>
      <c r="N179" s="5">
        <v>3213</v>
      </c>
      <c r="O179" s="5">
        <v>103</v>
      </c>
    </row>
    <row r="180" spans="2:15" s="1" customFormat="1" ht="24">
      <c r="B180" s="4" t="s">
        <v>124</v>
      </c>
      <c r="C180" s="4" t="s">
        <v>125</v>
      </c>
      <c r="D180" s="4" t="s">
        <v>328</v>
      </c>
      <c r="E180" s="4" t="s">
        <v>329</v>
      </c>
      <c r="F180" s="4" t="s">
        <v>126</v>
      </c>
      <c r="G180" s="4">
        <v>101010509</v>
      </c>
      <c r="H180" s="5">
        <v>194</v>
      </c>
      <c r="I180" s="7">
        <v>365.55</v>
      </c>
      <c r="J180" s="7">
        <v>70916</v>
      </c>
      <c r="K180" s="7">
        <v>36978.932399999998</v>
      </c>
      <c r="L180" s="7">
        <v>33937.067600000002</v>
      </c>
      <c r="M180" s="8">
        <v>0.47849999999999998</v>
      </c>
      <c r="N180" s="5">
        <v>104</v>
      </c>
      <c r="O180" s="5">
        <v>53</v>
      </c>
    </row>
    <row r="181" spans="2:15" s="1" customFormat="1" ht="13.5">
      <c r="B181" s="4" t="s">
        <v>124</v>
      </c>
      <c r="C181" s="4" t="s">
        <v>125</v>
      </c>
      <c r="D181" s="4" t="s">
        <v>330</v>
      </c>
      <c r="E181" s="4" t="s">
        <v>31</v>
      </c>
      <c r="F181" s="4" t="s">
        <v>126</v>
      </c>
      <c r="G181" s="4">
        <v>101010127</v>
      </c>
      <c r="H181" s="5">
        <v>837</v>
      </c>
      <c r="I181" s="7">
        <v>84.03</v>
      </c>
      <c r="J181" s="7">
        <v>70333</v>
      </c>
      <c r="K181" s="7">
        <v>58536.8295</v>
      </c>
      <c r="L181" s="7">
        <v>11796.1705</v>
      </c>
      <c r="M181" s="8">
        <v>0.16769999999999999</v>
      </c>
      <c r="N181" s="5">
        <v>313</v>
      </c>
      <c r="O181" s="5">
        <v>93</v>
      </c>
    </row>
    <row r="182" spans="2:15" s="1" customFormat="1" ht="13.5">
      <c r="B182" s="4" t="s">
        <v>124</v>
      </c>
      <c r="C182" s="4" t="s">
        <v>125</v>
      </c>
      <c r="D182" s="4" t="s">
        <v>331</v>
      </c>
      <c r="E182" s="4" t="s">
        <v>31</v>
      </c>
      <c r="F182" s="4" t="s">
        <v>126</v>
      </c>
      <c r="G182" s="4">
        <v>101010115</v>
      </c>
      <c r="H182" s="5">
        <v>839</v>
      </c>
      <c r="I182" s="7">
        <v>79.3</v>
      </c>
      <c r="J182" s="7">
        <v>66530</v>
      </c>
      <c r="K182" s="7">
        <v>47485.235000000001</v>
      </c>
      <c r="L182" s="7">
        <v>19044.764999999999</v>
      </c>
      <c r="M182" s="8">
        <v>0.28620000000000001</v>
      </c>
      <c r="N182" s="5">
        <v>419</v>
      </c>
      <c r="O182" s="5">
        <v>97</v>
      </c>
    </row>
    <row r="183" spans="2:15" s="1" customFormat="1" ht="13.5">
      <c r="B183" s="4" t="s">
        <v>124</v>
      </c>
      <c r="C183" s="4" t="s">
        <v>125</v>
      </c>
      <c r="D183" s="4" t="s">
        <v>332</v>
      </c>
      <c r="E183" s="4" t="s">
        <v>333</v>
      </c>
      <c r="F183" s="4" t="s">
        <v>126</v>
      </c>
      <c r="G183" s="4">
        <v>101010522</v>
      </c>
      <c r="H183" s="5">
        <v>2447</v>
      </c>
      <c r="I183" s="7">
        <v>24.9</v>
      </c>
      <c r="J183" s="7">
        <v>60935.199999999997</v>
      </c>
      <c r="K183" s="7">
        <v>37407</v>
      </c>
      <c r="L183" s="7">
        <v>23528.2</v>
      </c>
      <c r="M183" s="8">
        <v>0.3861</v>
      </c>
      <c r="N183" s="5">
        <v>592</v>
      </c>
      <c r="O183" s="5">
        <v>71</v>
      </c>
    </row>
    <row r="184" spans="2:15" s="1" customFormat="1" ht="13.5">
      <c r="B184" s="4" t="s">
        <v>124</v>
      </c>
      <c r="C184" s="4" t="s">
        <v>125</v>
      </c>
      <c r="D184" s="4" t="s">
        <v>334</v>
      </c>
      <c r="E184" s="4" t="s">
        <v>335</v>
      </c>
      <c r="F184" s="4" t="s">
        <v>126</v>
      </c>
      <c r="G184" s="4">
        <v>101010184</v>
      </c>
      <c r="H184" s="5">
        <v>9883</v>
      </c>
      <c r="I184" s="7">
        <v>6.02</v>
      </c>
      <c r="J184" s="7">
        <v>59503</v>
      </c>
      <c r="K184" s="7">
        <v>43984.5144</v>
      </c>
      <c r="L184" s="7">
        <v>15518.4856</v>
      </c>
      <c r="M184" s="8">
        <v>0.26079999999999998</v>
      </c>
      <c r="N184" s="5">
        <v>3037</v>
      </c>
      <c r="O184" s="5">
        <v>125</v>
      </c>
    </row>
    <row r="185" spans="2:15" s="1" customFormat="1" ht="13.5">
      <c r="B185" s="4" t="s">
        <v>124</v>
      </c>
      <c r="C185" s="4" t="s">
        <v>130</v>
      </c>
      <c r="D185" s="4" t="s">
        <v>336</v>
      </c>
      <c r="E185" s="4" t="s">
        <v>249</v>
      </c>
      <c r="F185" s="4" t="s">
        <v>126</v>
      </c>
      <c r="G185" s="4">
        <v>101010190</v>
      </c>
      <c r="H185" s="5">
        <v>1138</v>
      </c>
      <c r="I185" s="7">
        <v>51.33</v>
      </c>
      <c r="J185" s="7">
        <v>58409</v>
      </c>
      <c r="K185" s="7">
        <v>48314.220699999998</v>
      </c>
      <c r="L185" s="7">
        <v>10094.7793</v>
      </c>
      <c r="M185" s="8">
        <v>0.17280000000000001</v>
      </c>
      <c r="N185" s="5">
        <v>611</v>
      </c>
      <c r="O185" s="5">
        <v>9</v>
      </c>
    </row>
    <row r="186" spans="2:15" s="1" customFormat="1" ht="13.5">
      <c r="B186" s="4" t="s">
        <v>124</v>
      </c>
      <c r="C186" s="4" t="s">
        <v>130</v>
      </c>
      <c r="D186" s="4" t="s">
        <v>337</v>
      </c>
      <c r="E186" s="4" t="s">
        <v>246</v>
      </c>
      <c r="F186" s="4" t="s">
        <v>126</v>
      </c>
      <c r="G186" s="4">
        <v>101010191</v>
      </c>
      <c r="H186" s="5">
        <v>557</v>
      </c>
      <c r="I186" s="7">
        <v>99.78</v>
      </c>
      <c r="J186" s="7">
        <v>55579</v>
      </c>
      <c r="K186" s="7">
        <v>47086.073499999999</v>
      </c>
      <c r="L186" s="7">
        <v>8492.9264999999996</v>
      </c>
      <c r="M186" s="8">
        <v>0.15279999999999999</v>
      </c>
      <c r="N186" s="5">
        <v>229</v>
      </c>
      <c r="O186" s="5">
        <v>8</v>
      </c>
    </row>
    <row r="187" spans="2:15" s="1" customFormat="1" ht="13.5">
      <c r="B187" s="4" t="s">
        <v>124</v>
      </c>
      <c r="C187" s="4" t="s">
        <v>125</v>
      </c>
      <c r="D187" s="4" t="s">
        <v>338</v>
      </c>
      <c r="E187" s="4" t="s">
        <v>31</v>
      </c>
      <c r="F187" s="4" t="s">
        <v>126</v>
      </c>
      <c r="G187" s="4">
        <v>101010496</v>
      </c>
      <c r="H187" s="5">
        <v>94</v>
      </c>
      <c r="I187" s="7">
        <v>562.85</v>
      </c>
      <c r="J187" s="7">
        <v>52908</v>
      </c>
      <c r="K187" s="7">
        <v>36665.4</v>
      </c>
      <c r="L187" s="7">
        <v>16242.6</v>
      </c>
      <c r="M187" s="8">
        <v>0.30690000000000001</v>
      </c>
      <c r="N187" s="5">
        <v>20</v>
      </c>
      <c r="O187" s="5">
        <v>9</v>
      </c>
    </row>
    <row r="188" spans="2:15" s="1" customFormat="1" ht="13.5">
      <c r="B188" s="4" t="s">
        <v>124</v>
      </c>
      <c r="C188" s="4" t="s">
        <v>147</v>
      </c>
      <c r="D188" s="4" t="s">
        <v>339</v>
      </c>
      <c r="E188" s="4" t="s">
        <v>31</v>
      </c>
      <c r="F188" s="4" t="s">
        <v>126</v>
      </c>
      <c r="G188" s="4">
        <v>101010598</v>
      </c>
      <c r="H188" s="5">
        <v>339</v>
      </c>
      <c r="I188" s="7">
        <v>154.69999999999999</v>
      </c>
      <c r="J188" s="7">
        <v>52444</v>
      </c>
      <c r="K188" s="7">
        <v>27044.1021</v>
      </c>
      <c r="L188" s="7">
        <v>25399.8979</v>
      </c>
      <c r="M188" s="8">
        <v>0.48430000000000001</v>
      </c>
      <c r="N188" s="5">
        <v>185</v>
      </c>
      <c r="O188" s="5">
        <v>61</v>
      </c>
    </row>
    <row r="189" spans="2:15" s="1" customFormat="1" ht="13.5">
      <c r="B189" s="4" t="s">
        <v>124</v>
      </c>
      <c r="C189" s="4" t="s">
        <v>147</v>
      </c>
      <c r="D189" s="4" t="s">
        <v>340</v>
      </c>
      <c r="E189" s="4" t="s">
        <v>157</v>
      </c>
      <c r="F189" s="4" t="s">
        <v>126</v>
      </c>
      <c r="G189" s="4">
        <v>101010611</v>
      </c>
      <c r="H189" s="5">
        <v>131</v>
      </c>
      <c r="I189" s="7">
        <v>390.15</v>
      </c>
      <c r="J189" s="7">
        <v>51109</v>
      </c>
      <c r="K189" s="7">
        <v>15938</v>
      </c>
      <c r="L189" s="7">
        <v>35171</v>
      </c>
      <c r="M189" s="8">
        <v>0.68810000000000004</v>
      </c>
      <c r="N189" s="5">
        <v>34</v>
      </c>
      <c r="O189" s="5">
        <v>25</v>
      </c>
    </row>
    <row r="190" spans="2:15" s="1" customFormat="1" ht="13.5">
      <c r="B190" s="4" t="s">
        <v>124</v>
      </c>
      <c r="C190" s="4" t="s">
        <v>127</v>
      </c>
      <c r="D190" s="4" t="s">
        <v>341</v>
      </c>
      <c r="E190" s="4" t="s">
        <v>31</v>
      </c>
      <c r="F190" s="4" t="s">
        <v>126</v>
      </c>
      <c r="G190" s="4">
        <v>101010539</v>
      </c>
      <c r="H190" s="5">
        <v>197</v>
      </c>
      <c r="I190" s="7">
        <v>257.43</v>
      </c>
      <c r="J190" s="7">
        <v>50714</v>
      </c>
      <c r="K190" s="7">
        <v>29280.420300000002</v>
      </c>
      <c r="L190" s="7">
        <v>21433.579699999998</v>
      </c>
      <c r="M190" s="8">
        <v>0.42259999999999998</v>
      </c>
      <c r="N190" s="5">
        <v>63</v>
      </c>
      <c r="O190" s="5">
        <v>31</v>
      </c>
    </row>
    <row r="191" spans="2:15" s="1" customFormat="1" ht="13.5">
      <c r="B191" s="4" t="s">
        <v>124</v>
      </c>
      <c r="C191" s="4" t="s">
        <v>125</v>
      </c>
      <c r="D191" s="4" t="s">
        <v>342</v>
      </c>
      <c r="E191" s="4" t="s">
        <v>343</v>
      </c>
      <c r="F191" s="4" t="s">
        <v>137</v>
      </c>
      <c r="G191" s="4">
        <v>101010182</v>
      </c>
      <c r="H191" s="5">
        <v>128</v>
      </c>
      <c r="I191" s="7">
        <v>388</v>
      </c>
      <c r="J191" s="7">
        <v>49664</v>
      </c>
      <c r="K191" s="7">
        <v>42227.763299999999</v>
      </c>
      <c r="L191" s="7">
        <v>7436.2367000000004</v>
      </c>
      <c r="M191" s="8">
        <v>0.1497</v>
      </c>
      <c r="N191" s="5">
        <v>87</v>
      </c>
      <c r="O191" s="5">
        <v>8</v>
      </c>
    </row>
    <row r="192" spans="2:15" s="1" customFormat="1" ht="13.5">
      <c r="B192" s="4" t="s">
        <v>124</v>
      </c>
      <c r="C192" s="4" t="s">
        <v>125</v>
      </c>
      <c r="D192" s="4" t="s">
        <v>344</v>
      </c>
      <c r="E192" s="4" t="s">
        <v>123</v>
      </c>
      <c r="F192" s="4" t="s">
        <v>126</v>
      </c>
      <c r="G192" s="4">
        <v>101010507</v>
      </c>
      <c r="H192" s="5">
        <v>130</v>
      </c>
      <c r="I192" s="7">
        <v>364.23</v>
      </c>
      <c r="J192" s="7">
        <v>47350</v>
      </c>
      <c r="K192" s="7">
        <v>84276.001000000004</v>
      </c>
      <c r="L192" s="7">
        <v>-36926.000999999997</v>
      </c>
      <c r="M192" s="8">
        <v>-0.77980000000000005</v>
      </c>
      <c r="N192" s="5">
        <v>105</v>
      </c>
      <c r="O192" s="5">
        <v>53</v>
      </c>
    </row>
    <row r="193" spans="2:15" s="1" customFormat="1" ht="13.5">
      <c r="B193" s="4" t="s">
        <v>124</v>
      </c>
      <c r="C193" s="4" t="s">
        <v>127</v>
      </c>
      <c r="D193" s="4" t="s">
        <v>345</v>
      </c>
      <c r="E193" s="4" t="s">
        <v>202</v>
      </c>
      <c r="F193" s="4" t="s">
        <v>126</v>
      </c>
      <c r="G193" s="4">
        <v>101010587</v>
      </c>
      <c r="H193" s="5">
        <v>31</v>
      </c>
      <c r="I193" s="7">
        <v>1524.26</v>
      </c>
      <c r="J193" s="7">
        <v>47252</v>
      </c>
      <c r="K193" s="7">
        <v>33172</v>
      </c>
      <c r="L193" s="7">
        <v>14080</v>
      </c>
      <c r="M193" s="8">
        <v>0.2979</v>
      </c>
      <c r="N193" s="5">
        <v>19</v>
      </c>
      <c r="O193" s="5">
        <v>14</v>
      </c>
    </row>
    <row r="194" spans="2:15" s="1" customFormat="1" ht="13.5">
      <c r="B194" s="4" t="s">
        <v>124</v>
      </c>
      <c r="C194" s="4" t="s">
        <v>125</v>
      </c>
      <c r="D194" s="4" t="s">
        <v>346</v>
      </c>
      <c r="E194" s="4" t="s">
        <v>31</v>
      </c>
      <c r="F194" s="4" t="s">
        <v>126</v>
      </c>
      <c r="G194" s="4">
        <v>101010497</v>
      </c>
      <c r="H194" s="5">
        <v>841</v>
      </c>
      <c r="I194" s="7">
        <v>55.75</v>
      </c>
      <c r="J194" s="7">
        <v>46886</v>
      </c>
      <c r="K194" s="7">
        <v>38152.860999999997</v>
      </c>
      <c r="L194" s="7">
        <v>8733.1389999999992</v>
      </c>
      <c r="M194" s="8">
        <v>0.1862</v>
      </c>
      <c r="N194" s="5">
        <v>325</v>
      </c>
      <c r="O194" s="5">
        <v>11</v>
      </c>
    </row>
    <row r="195" spans="2:15" s="1" customFormat="1" ht="13.5">
      <c r="B195" s="4" t="s">
        <v>124</v>
      </c>
      <c r="C195" s="4" t="s">
        <v>125</v>
      </c>
      <c r="D195" s="4" t="s">
        <v>347</v>
      </c>
      <c r="E195" s="4" t="s">
        <v>31</v>
      </c>
      <c r="F195" s="4" t="s">
        <v>126</v>
      </c>
      <c r="G195" s="4">
        <v>101010532</v>
      </c>
      <c r="H195" s="5">
        <v>760</v>
      </c>
      <c r="I195" s="7">
        <v>61.06</v>
      </c>
      <c r="J195" s="7">
        <v>46405</v>
      </c>
      <c r="K195" s="7">
        <v>26389.531900000002</v>
      </c>
      <c r="L195" s="7">
        <v>20015.468099999998</v>
      </c>
      <c r="M195" s="8">
        <v>0.43130000000000002</v>
      </c>
      <c r="N195" s="5">
        <v>356</v>
      </c>
      <c r="O195" s="5">
        <v>103</v>
      </c>
    </row>
    <row r="196" spans="2:15" s="1" customFormat="1" ht="13.5">
      <c r="B196" s="4" t="s">
        <v>124</v>
      </c>
      <c r="C196" s="4" t="s">
        <v>125</v>
      </c>
      <c r="D196" s="4" t="s">
        <v>59</v>
      </c>
      <c r="E196" s="4" t="s">
        <v>60</v>
      </c>
      <c r="F196" s="4" t="s">
        <v>126</v>
      </c>
      <c r="G196" s="4">
        <v>101010515</v>
      </c>
      <c r="H196" s="5">
        <v>112</v>
      </c>
      <c r="I196" s="7">
        <v>408.05</v>
      </c>
      <c r="J196" s="7">
        <v>45702</v>
      </c>
      <c r="K196" s="7">
        <v>52767.5556</v>
      </c>
      <c r="L196" s="7">
        <v>-7065.5555999999997</v>
      </c>
      <c r="M196" s="8">
        <v>-0.15459999999999999</v>
      </c>
      <c r="N196" s="5">
        <v>54</v>
      </c>
      <c r="O196" s="5">
        <v>34</v>
      </c>
    </row>
    <row r="197" spans="2:15" s="1" customFormat="1" ht="13.5">
      <c r="B197" s="4" t="s">
        <v>124</v>
      </c>
      <c r="C197" s="4" t="s">
        <v>125</v>
      </c>
      <c r="D197" s="4" t="s">
        <v>348</v>
      </c>
      <c r="E197" s="4" t="s">
        <v>31</v>
      </c>
      <c r="F197" s="4" t="s">
        <v>126</v>
      </c>
      <c r="G197" s="4">
        <v>101010498</v>
      </c>
      <c r="H197" s="5">
        <v>568</v>
      </c>
      <c r="I197" s="7">
        <v>78.569999999999993</v>
      </c>
      <c r="J197" s="7">
        <v>44626</v>
      </c>
      <c r="K197" s="7">
        <v>35348.7477</v>
      </c>
      <c r="L197" s="7">
        <v>9277.2523000000001</v>
      </c>
      <c r="M197" s="8">
        <v>0.20780000000000001</v>
      </c>
      <c r="N197" s="5">
        <v>200</v>
      </c>
      <c r="O197" s="5">
        <v>12</v>
      </c>
    </row>
    <row r="198" spans="2:15" s="1" customFormat="1" ht="13.5">
      <c r="B198" s="4" t="s">
        <v>124</v>
      </c>
      <c r="C198" s="4" t="s">
        <v>125</v>
      </c>
      <c r="D198" s="4" t="s">
        <v>349</v>
      </c>
      <c r="E198" s="4" t="s">
        <v>86</v>
      </c>
      <c r="F198" s="4" t="s">
        <v>126</v>
      </c>
      <c r="G198" s="4">
        <v>101010504</v>
      </c>
      <c r="H198" s="5">
        <v>246</v>
      </c>
      <c r="I198" s="7">
        <v>180.39</v>
      </c>
      <c r="J198" s="7">
        <v>44376</v>
      </c>
      <c r="K198" s="7">
        <v>33096.922899999998</v>
      </c>
      <c r="L198" s="7">
        <v>11279.0771</v>
      </c>
      <c r="M198" s="8">
        <v>0.25409999999999999</v>
      </c>
      <c r="N198" s="5">
        <v>76</v>
      </c>
      <c r="O198" s="5">
        <v>7</v>
      </c>
    </row>
    <row r="199" spans="2:15" s="1" customFormat="1" ht="13.5">
      <c r="B199" s="4" t="s">
        <v>124</v>
      </c>
      <c r="C199" s="4" t="s">
        <v>130</v>
      </c>
      <c r="D199" s="4" t="s">
        <v>350</v>
      </c>
      <c r="E199" s="4" t="s">
        <v>55</v>
      </c>
      <c r="F199" s="4" t="s">
        <v>126</v>
      </c>
      <c r="G199" s="4">
        <v>101010630</v>
      </c>
      <c r="H199" s="5">
        <v>2476</v>
      </c>
      <c r="I199" s="7">
        <v>16.98</v>
      </c>
      <c r="J199" s="7">
        <v>42045</v>
      </c>
      <c r="K199" s="7">
        <v>23424.581399999999</v>
      </c>
      <c r="L199" s="7">
        <v>18620.418600000001</v>
      </c>
      <c r="M199" s="8">
        <v>0.44280000000000003</v>
      </c>
      <c r="N199" s="5">
        <v>1425</v>
      </c>
      <c r="O199" s="5">
        <v>113</v>
      </c>
    </row>
    <row r="200" spans="2:15" s="1" customFormat="1" ht="13.5">
      <c r="B200" s="4" t="s">
        <v>124</v>
      </c>
      <c r="C200" s="4" t="s">
        <v>125</v>
      </c>
      <c r="D200" s="4" t="s">
        <v>351</v>
      </c>
      <c r="E200" s="4" t="s">
        <v>176</v>
      </c>
      <c r="F200" s="4" t="s">
        <v>126</v>
      </c>
      <c r="G200" s="4">
        <v>101010187</v>
      </c>
      <c r="H200" s="5">
        <v>2656</v>
      </c>
      <c r="I200" s="7">
        <v>15.73</v>
      </c>
      <c r="J200" s="7">
        <v>41771.4</v>
      </c>
      <c r="K200" s="7">
        <v>29132.114699999998</v>
      </c>
      <c r="L200" s="7">
        <v>12639.2853</v>
      </c>
      <c r="M200" s="8">
        <v>0.30249999999999999</v>
      </c>
      <c r="N200" s="5">
        <v>1107</v>
      </c>
      <c r="O200" s="5">
        <v>114</v>
      </c>
    </row>
    <row r="201" spans="2:15" s="1" customFormat="1" ht="13.5">
      <c r="B201" s="4" t="s">
        <v>124</v>
      </c>
      <c r="C201" s="4" t="s">
        <v>130</v>
      </c>
      <c r="D201" s="4" t="s">
        <v>352</v>
      </c>
      <c r="E201" s="4" t="s">
        <v>246</v>
      </c>
      <c r="F201" s="4" t="s">
        <v>126</v>
      </c>
      <c r="G201" s="4">
        <v>101010192</v>
      </c>
      <c r="H201" s="5">
        <v>294</v>
      </c>
      <c r="I201" s="7">
        <v>138.72999999999999</v>
      </c>
      <c r="J201" s="7">
        <v>40788</v>
      </c>
      <c r="K201" s="7">
        <v>33508.534200000002</v>
      </c>
      <c r="L201" s="7">
        <v>7279.4657999999999</v>
      </c>
      <c r="M201" s="8">
        <v>0.1784</v>
      </c>
      <c r="N201" s="5">
        <v>104</v>
      </c>
      <c r="O201" s="5">
        <v>8</v>
      </c>
    </row>
    <row r="202" spans="2:15" s="1" customFormat="1" ht="13.5">
      <c r="B202" s="4" t="s">
        <v>124</v>
      </c>
      <c r="C202" s="4" t="s">
        <v>124</v>
      </c>
      <c r="D202" s="4" t="s">
        <v>353</v>
      </c>
      <c r="E202" s="4" t="s">
        <v>123</v>
      </c>
      <c r="F202" s="4" t="s">
        <v>126</v>
      </c>
      <c r="G202" s="4">
        <v>101010566</v>
      </c>
      <c r="H202" s="5">
        <v>598</v>
      </c>
      <c r="I202" s="7">
        <v>67.63</v>
      </c>
      <c r="J202" s="7">
        <v>40440</v>
      </c>
      <c r="K202" s="7">
        <v>21954.206999999999</v>
      </c>
      <c r="L202" s="7">
        <v>18485.793000000001</v>
      </c>
      <c r="M202" s="8">
        <v>0.45710000000000001</v>
      </c>
      <c r="N202" s="5">
        <v>344</v>
      </c>
      <c r="O202" s="5">
        <v>89</v>
      </c>
    </row>
    <row r="203" spans="2:15" s="1" customFormat="1" ht="13.5">
      <c r="B203" s="4" t="s">
        <v>124</v>
      </c>
      <c r="C203" s="4" t="s">
        <v>127</v>
      </c>
      <c r="D203" s="4" t="s">
        <v>354</v>
      </c>
      <c r="E203" s="4" t="s">
        <v>31</v>
      </c>
      <c r="F203" s="4" t="s">
        <v>126</v>
      </c>
      <c r="G203" s="4">
        <v>101010541</v>
      </c>
      <c r="H203" s="5">
        <v>410</v>
      </c>
      <c r="I203" s="7">
        <v>94.55</v>
      </c>
      <c r="J203" s="7">
        <v>38767</v>
      </c>
      <c r="K203" s="7">
        <v>26543.175800000001</v>
      </c>
      <c r="L203" s="7">
        <v>12223.824199999999</v>
      </c>
      <c r="M203" s="8">
        <v>0.31530000000000002</v>
      </c>
      <c r="N203" s="5">
        <v>69</v>
      </c>
      <c r="O203" s="5">
        <v>48</v>
      </c>
    </row>
    <row r="204" spans="2:15" s="1" customFormat="1" ht="13.5">
      <c r="B204" s="4" t="s">
        <v>124</v>
      </c>
      <c r="C204" s="4" t="s">
        <v>125</v>
      </c>
      <c r="D204" s="4" t="s">
        <v>355</v>
      </c>
      <c r="E204" s="4" t="s">
        <v>31</v>
      </c>
      <c r="F204" s="4" t="s">
        <v>126</v>
      </c>
      <c r="G204" s="4">
        <v>101010502</v>
      </c>
      <c r="H204" s="5">
        <v>1887</v>
      </c>
      <c r="I204" s="7">
        <v>20.2</v>
      </c>
      <c r="J204" s="7">
        <v>38111</v>
      </c>
      <c r="K204" s="7">
        <v>24013.1888</v>
      </c>
      <c r="L204" s="7">
        <v>14097.8112</v>
      </c>
      <c r="M204" s="8">
        <v>0.36990000000000001</v>
      </c>
      <c r="N204" s="5">
        <v>1015</v>
      </c>
      <c r="O204" s="5">
        <v>110</v>
      </c>
    </row>
    <row r="205" spans="2:15" s="1" customFormat="1" ht="13.5">
      <c r="B205" s="4" t="s">
        <v>124</v>
      </c>
      <c r="C205" s="4" t="s">
        <v>124</v>
      </c>
      <c r="D205" s="4" t="s">
        <v>356</v>
      </c>
      <c r="E205" s="4" t="s">
        <v>123</v>
      </c>
      <c r="F205" s="4" t="s">
        <v>126</v>
      </c>
      <c r="G205" s="4">
        <v>101010565</v>
      </c>
      <c r="H205" s="5">
        <v>386</v>
      </c>
      <c r="I205" s="7">
        <v>97.67</v>
      </c>
      <c r="J205" s="7">
        <v>37702</v>
      </c>
      <c r="K205" s="7">
        <v>22148.921399999999</v>
      </c>
      <c r="L205" s="7">
        <v>15553.078600000001</v>
      </c>
      <c r="M205" s="8">
        <v>0.41249999999999998</v>
      </c>
      <c r="N205" s="5">
        <v>203</v>
      </c>
      <c r="O205" s="5">
        <v>73</v>
      </c>
    </row>
    <row r="206" spans="2:15" s="1" customFormat="1" ht="13.5">
      <c r="B206" s="4" t="s">
        <v>124</v>
      </c>
      <c r="C206" s="4" t="s">
        <v>125</v>
      </c>
      <c r="D206" s="4" t="s">
        <v>102</v>
      </c>
      <c r="E206" s="4" t="s">
        <v>86</v>
      </c>
      <c r="F206" s="4" t="s">
        <v>126</v>
      </c>
      <c r="G206" s="4">
        <v>101010003</v>
      </c>
      <c r="H206" s="5">
        <v>272</v>
      </c>
      <c r="I206" s="7">
        <v>134.66</v>
      </c>
      <c r="J206" s="7">
        <v>36628</v>
      </c>
      <c r="K206" s="7">
        <v>30960.1165</v>
      </c>
      <c r="L206" s="7">
        <v>5667.8834999999999</v>
      </c>
      <c r="M206" s="8">
        <v>0.1547</v>
      </c>
      <c r="N206" s="5">
        <v>116</v>
      </c>
      <c r="O206" s="5">
        <v>11</v>
      </c>
    </row>
    <row r="207" spans="2:15" s="1" customFormat="1" ht="13.5">
      <c r="B207" s="4" t="s">
        <v>124</v>
      </c>
      <c r="C207" s="4" t="s">
        <v>125</v>
      </c>
      <c r="D207" s="4" t="s">
        <v>357</v>
      </c>
      <c r="E207" s="4" t="s">
        <v>123</v>
      </c>
      <c r="F207" s="4" t="s">
        <v>126</v>
      </c>
      <c r="G207" s="4">
        <v>101010503</v>
      </c>
      <c r="H207" s="5">
        <v>2</v>
      </c>
      <c r="I207" s="7">
        <v>18000</v>
      </c>
      <c r="J207" s="7">
        <v>36000</v>
      </c>
      <c r="K207" s="7">
        <v>31000</v>
      </c>
      <c r="L207" s="7">
        <v>5000</v>
      </c>
      <c r="M207" s="8">
        <v>0.13880000000000001</v>
      </c>
      <c r="N207" s="5">
        <v>1</v>
      </c>
      <c r="O207" s="5">
        <v>1</v>
      </c>
    </row>
    <row r="208" spans="2:15" s="1" customFormat="1" ht="13.5">
      <c r="B208" s="4" t="s">
        <v>124</v>
      </c>
      <c r="C208" s="4" t="s">
        <v>127</v>
      </c>
      <c r="D208" s="4" t="s">
        <v>358</v>
      </c>
      <c r="E208" s="4" t="s">
        <v>359</v>
      </c>
      <c r="F208" s="4" t="s">
        <v>137</v>
      </c>
      <c r="G208" s="4">
        <v>101010591</v>
      </c>
      <c r="H208" s="5">
        <v>1</v>
      </c>
      <c r="I208" s="7">
        <v>36000</v>
      </c>
      <c r="J208" s="7">
        <v>36000</v>
      </c>
      <c r="K208" s="7">
        <v>33500</v>
      </c>
      <c r="L208" s="7">
        <v>2500</v>
      </c>
      <c r="M208" s="8">
        <v>6.9400000000000003E-2</v>
      </c>
      <c r="N208" s="5">
        <v>1</v>
      </c>
      <c r="O208" s="5">
        <v>1</v>
      </c>
    </row>
    <row r="209" spans="2:15" s="1" customFormat="1" ht="13.5">
      <c r="B209" s="4" t="s">
        <v>124</v>
      </c>
      <c r="C209" s="4" t="s">
        <v>127</v>
      </c>
      <c r="D209" s="4" t="s">
        <v>360</v>
      </c>
      <c r="E209" s="4" t="s">
        <v>359</v>
      </c>
      <c r="F209" s="4" t="s">
        <v>137</v>
      </c>
      <c r="G209" s="4">
        <v>101010592</v>
      </c>
      <c r="H209" s="5">
        <v>1</v>
      </c>
      <c r="I209" s="7">
        <v>36000</v>
      </c>
      <c r="J209" s="7">
        <v>36000</v>
      </c>
      <c r="K209" s="7">
        <v>33500</v>
      </c>
      <c r="L209" s="7">
        <v>2500</v>
      </c>
      <c r="M209" s="8">
        <v>6.9400000000000003E-2</v>
      </c>
      <c r="N209" s="5">
        <v>1</v>
      </c>
      <c r="O209" s="5">
        <v>1</v>
      </c>
    </row>
    <row r="210" spans="2:15" s="1" customFormat="1" ht="13.5">
      <c r="B210" s="4" t="s">
        <v>124</v>
      </c>
      <c r="C210" s="4" t="s">
        <v>125</v>
      </c>
      <c r="D210" s="4" t="s">
        <v>361</v>
      </c>
      <c r="E210" s="4" t="s">
        <v>31</v>
      </c>
      <c r="F210" s="4" t="s">
        <v>126</v>
      </c>
      <c r="G210" s="4">
        <v>101010165</v>
      </c>
      <c r="H210" s="5">
        <v>408</v>
      </c>
      <c r="I210" s="7">
        <v>86.29</v>
      </c>
      <c r="J210" s="7">
        <v>35207</v>
      </c>
      <c r="K210" s="7">
        <v>28214.935799999999</v>
      </c>
      <c r="L210" s="7">
        <v>6992.0641999999998</v>
      </c>
      <c r="M210" s="8">
        <v>0.19850000000000001</v>
      </c>
      <c r="N210" s="5">
        <v>241</v>
      </c>
      <c r="O210" s="5">
        <v>88</v>
      </c>
    </row>
    <row r="211" spans="2:15" s="1" customFormat="1" ht="13.5">
      <c r="B211" s="4" t="s">
        <v>124</v>
      </c>
      <c r="C211" s="4" t="s">
        <v>147</v>
      </c>
      <c r="D211" s="4" t="s">
        <v>362</v>
      </c>
      <c r="E211" s="4" t="s">
        <v>363</v>
      </c>
      <c r="F211" s="4" t="s">
        <v>126</v>
      </c>
      <c r="G211" s="4">
        <v>101010599</v>
      </c>
      <c r="H211" s="5">
        <v>202</v>
      </c>
      <c r="I211" s="7">
        <v>171.21</v>
      </c>
      <c r="J211" s="7">
        <v>34584</v>
      </c>
      <c r="K211" s="7">
        <v>23806.8207</v>
      </c>
      <c r="L211" s="7">
        <v>10777.1793</v>
      </c>
      <c r="M211" s="8">
        <v>0.31159999999999999</v>
      </c>
      <c r="N211" s="5">
        <v>66</v>
      </c>
      <c r="O211" s="5">
        <v>38</v>
      </c>
    </row>
    <row r="212" spans="2:15" s="1" customFormat="1" ht="13.5">
      <c r="B212" s="4" t="s">
        <v>124</v>
      </c>
      <c r="C212" s="4" t="s">
        <v>125</v>
      </c>
      <c r="D212" s="4" t="s">
        <v>364</v>
      </c>
      <c r="E212" s="4" t="s">
        <v>31</v>
      </c>
      <c r="F212" s="4" t="s">
        <v>126</v>
      </c>
      <c r="G212" s="4">
        <v>101010178</v>
      </c>
      <c r="H212" s="5">
        <v>407</v>
      </c>
      <c r="I212" s="7">
        <v>83.97</v>
      </c>
      <c r="J212" s="7">
        <v>34175</v>
      </c>
      <c r="K212" s="7">
        <v>20869.499800000001</v>
      </c>
      <c r="L212" s="7">
        <v>13305.5002</v>
      </c>
      <c r="M212" s="8">
        <v>0.38929999999999998</v>
      </c>
      <c r="N212" s="5">
        <v>191</v>
      </c>
      <c r="O212" s="5">
        <v>77</v>
      </c>
    </row>
    <row r="213" spans="2:15" s="1" customFormat="1" ht="13.5">
      <c r="B213" s="4" t="s">
        <v>124</v>
      </c>
      <c r="C213" s="4" t="s">
        <v>147</v>
      </c>
      <c r="D213" s="4" t="s">
        <v>365</v>
      </c>
      <c r="E213" s="4" t="s">
        <v>366</v>
      </c>
      <c r="F213" s="4" t="s">
        <v>137</v>
      </c>
      <c r="G213" s="4">
        <v>101010604</v>
      </c>
      <c r="H213" s="5">
        <v>52</v>
      </c>
      <c r="I213" s="7">
        <v>657.15</v>
      </c>
      <c r="J213" s="7">
        <v>34172</v>
      </c>
      <c r="K213" s="7">
        <v>18642.581200000001</v>
      </c>
      <c r="L213" s="7">
        <v>15529.418799999999</v>
      </c>
      <c r="M213" s="8">
        <v>0.45440000000000003</v>
      </c>
      <c r="N213" s="5">
        <v>22</v>
      </c>
      <c r="O213" s="5">
        <v>13</v>
      </c>
    </row>
    <row r="214" spans="2:15" s="1" customFormat="1" ht="13.5">
      <c r="B214" s="4" t="s">
        <v>124</v>
      </c>
      <c r="C214" s="4" t="s">
        <v>127</v>
      </c>
      <c r="D214" s="4" t="s">
        <v>367</v>
      </c>
      <c r="E214" s="4" t="s">
        <v>31</v>
      </c>
      <c r="F214" s="4" t="s">
        <v>126</v>
      </c>
      <c r="G214" s="4">
        <v>101010581</v>
      </c>
      <c r="H214" s="5">
        <v>68</v>
      </c>
      <c r="I214" s="7">
        <v>500.88</v>
      </c>
      <c r="J214" s="7">
        <v>34060</v>
      </c>
      <c r="K214" s="7">
        <v>12052</v>
      </c>
      <c r="L214" s="7">
        <v>22008</v>
      </c>
      <c r="M214" s="8">
        <v>0.64610000000000001</v>
      </c>
      <c r="N214" s="5">
        <v>17</v>
      </c>
      <c r="O214" s="5">
        <v>15</v>
      </c>
    </row>
    <row r="215" spans="2:15" s="1" customFormat="1" ht="13.5">
      <c r="B215" s="4" t="s">
        <v>124</v>
      </c>
      <c r="C215" s="4" t="s">
        <v>130</v>
      </c>
      <c r="D215" s="4" t="s">
        <v>368</v>
      </c>
      <c r="E215" s="4" t="s">
        <v>369</v>
      </c>
      <c r="F215" s="4" t="s">
        <v>126</v>
      </c>
      <c r="G215" s="4">
        <v>101010621</v>
      </c>
      <c r="H215" s="5">
        <v>100</v>
      </c>
      <c r="I215" s="7">
        <v>338</v>
      </c>
      <c r="J215" s="7">
        <v>33800</v>
      </c>
      <c r="K215" s="7">
        <v>19383.4614</v>
      </c>
      <c r="L215" s="7">
        <v>14416.5386</v>
      </c>
      <c r="M215" s="8">
        <v>0.42649999999999999</v>
      </c>
      <c r="N215" s="5">
        <v>93</v>
      </c>
      <c r="O215" s="5">
        <v>56</v>
      </c>
    </row>
    <row r="216" spans="2:15" s="1" customFormat="1" ht="13.5">
      <c r="B216" s="4" t="s">
        <v>124</v>
      </c>
      <c r="C216" s="4" t="s">
        <v>147</v>
      </c>
      <c r="D216" s="4" t="s">
        <v>370</v>
      </c>
      <c r="E216" s="4" t="s">
        <v>371</v>
      </c>
      <c r="F216" s="4" t="s">
        <v>126</v>
      </c>
      <c r="G216" s="4">
        <v>101010609</v>
      </c>
      <c r="H216" s="5">
        <v>2056</v>
      </c>
      <c r="I216" s="7">
        <v>15</v>
      </c>
      <c r="J216" s="7">
        <v>30843</v>
      </c>
      <c r="K216" s="7">
        <v>19161.060300000001</v>
      </c>
      <c r="L216" s="7">
        <v>11681.939700000001</v>
      </c>
      <c r="M216" s="8">
        <v>0.37869999999999998</v>
      </c>
      <c r="N216" s="5">
        <v>1250</v>
      </c>
      <c r="O216" s="5">
        <v>117</v>
      </c>
    </row>
    <row r="217" spans="2:15" s="1" customFormat="1" ht="13.5">
      <c r="B217" s="4" t="s">
        <v>124</v>
      </c>
      <c r="C217" s="4" t="s">
        <v>125</v>
      </c>
      <c r="D217" s="4" t="s">
        <v>372</v>
      </c>
      <c r="E217" s="4" t="s">
        <v>31</v>
      </c>
      <c r="F217" s="4" t="s">
        <v>126</v>
      </c>
      <c r="G217" s="4">
        <v>101010125</v>
      </c>
      <c r="H217" s="5">
        <v>36</v>
      </c>
      <c r="I217" s="7">
        <v>840</v>
      </c>
      <c r="J217" s="7">
        <v>30240</v>
      </c>
      <c r="K217" s="7">
        <v>22320</v>
      </c>
      <c r="L217" s="7">
        <v>7920</v>
      </c>
      <c r="M217" s="8">
        <v>0.26190000000000002</v>
      </c>
      <c r="N217" s="5">
        <v>2</v>
      </c>
      <c r="O217" s="5">
        <v>1</v>
      </c>
    </row>
    <row r="218" spans="2:15" s="1" customFormat="1" ht="13.5">
      <c r="B218" s="4" t="s">
        <v>124</v>
      </c>
      <c r="C218" s="4" t="s">
        <v>127</v>
      </c>
      <c r="D218" s="4" t="s">
        <v>373</v>
      </c>
      <c r="E218" s="4" t="s">
        <v>359</v>
      </c>
      <c r="F218" s="4" t="s">
        <v>126</v>
      </c>
      <c r="G218" s="4">
        <v>101010585</v>
      </c>
      <c r="H218" s="5">
        <v>3</v>
      </c>
      <c r="I218" s="7">
        <v>9998</v>
      </c>
      <c r="J218" s="7">
        <v>29994</v>
      </c>
      <c r="K218" s="7">
        <v>15564</v>
      </c>
      <c r="L218" s="7">
        <v>14430</v>
      </c>
      <c r="M218" s="8">
        <v>0.48099999999999998</v>
      </c>
      <c r="N218" s="5">
        <v>3</v>
      </c>
      <c r="O218" s="5">
        <v>3</v>
      </c>
    </row>
    <row r="219" spans="2:15" s="1" customFormat="1" ht="13.5">
      <c r="B219" s="4" t="s">
        <v>124</v>
      </c>
      <c r="C219" s="4" t="s">
        <v>125</v>
      </c>
      <c r="D219" s="4" t="s">
        <v>374</v>
      </c>
      <c r="E219" s="4" t="s">
        <v>246</v>
      </c>
      <c r="F219" s="4" t="s">
        <v>126</v>
      </c>
      <c r="G219" s="4">
        <v>101010563</v>
      </c>
      <c r="H219" s="5">
        <v>360</v>
      </c>
      <c r="I219" s="7">
        <v>82.69</v>
      </c>
      <c r="J219" s="7">
        <v>29768</v>
      </c>
      <c r="K219" s="7">
        <v>19625.4388</v>
      </c>
      <c r="L219" s="7">
        <v>10142.5612</v>
      </c>
      <c r="M219" s="8">
        <v>0.3407</v>
      </c>
      <c r="N219" s="5">
        <v>233</v>
      </c>
      <c r="O219" s="5">
        <v>92</v>
      </c>
    </row>
    <row r="220" spans="2:15" s="1" customFormat="1" ht="13.5">
      <c r="B220" s="4" t="s">
        <v>124</v>
      </c>
      <c r="C220" s="4" t="s">
        <v>130</v>
      </c>
      <c r="D220" s="4" t="s">
        <v>375</v>
      </c>
      <c r="E220" s="4" t="s">
        <v>123</v>
      </c>
      <c r="F220" s="4" t="s">
        <v>126</v>
      </c>
      <c r="G220" s="4">
        <v>101010167</v>
      </c>
      <c r="H220" s="5">
        <v>18</v>
      </c>
      <c r="I220" s="7">
        <v>1621.22</v>
      </c>
      <c r="J220" s="7">
        <v>29182</v>
      </c>
      <c r="K220" s="7">
        <v>25240.242300000002</v>
      </c>
      <c r="L220" s="7">
        <v>3941.7577000000001</v>
      </c>
      <c r="M220" s="8">
        <v>0.13500000000000001</v>
      </c>
      <c r="N220" s="5">
        <v>9</v>
      </c>
      <c r="O220" s="5">
        <v>9</v>
      </c>
    </row>
    <row r="221" spans="2:15" s="1" customFormat="1" ht="13.5">
      <c r="B221" s="4" t="s">
        <v>124</v>
      </c>
      <c r="C221" s="4" t="s">
        <v>127</v>
      </c>
      <c r="D221" s="4" t="s">
        <v>376</v>
      </c>
      <c r="E221" s="4" t="s">
        <v>31</v>
      </c>
      <c r="F221" s="4" t="s">
        <v>126</v>
      </c>
      <c r="G221" s="4">
        <v>101010549</v>
      </c>
      <c r="H221" s="5">
        <v>6</v>
      </c>
      <c r="I221" s="7">
        <v>4813.33</v>
      </c>
      <c r="J221" s="7">
        <v>28880</v>
      </c>
      <c r="K221" s="7">
        <v>23228.307499999999</v>
      </c>
      <c r="L221" s="7">
        <v>5651.6925000000001</v>
      </c>
      <c r="M221" s="8">
        <v>0.1956</v>
      </c>
      <c r="N221" s="5">
        <v>5</v>
      </c>
      <c r="O221" s="5">
        <v>4</v>
      </c>
    </row>
    <row r="222" spans="2:15" s="1" customFormat="1" ht="13.5">
      <c r="B222" s="4" t="s">
        <v>124</v>
      </c>
      <c r="C222" s="4" t="s">
        <v>127</v>
      </c>
      <c r="D222" s="4" t="s">
        <v>377</v>
      </c>
      <c r="E222" s="4" t="s">
        <v>31</v>
      </c>
      <c r="F222" s="4" t="s">
        <v>126</v>
      </c>
      <c r="G222" s="4">
        <v>101010574</v>
      </c>
      <c r="H222" s="5">
        <v>110</v>
      </c>
      <c r="I222" s="7">
        <v>248.8</v>
      </c>
      <c r="J222" s="7">
        <v>27368</v>
      </c>
      <c r="K222" s="7">
        <v>11093.715700000001</v>
      </c>
      <c r="L222" s="7">
        <v>16274.284299999999</v>
      </c>
      <c r="M222" s="8">
        <v>0.59460000000000002</v>
      </c>
      <c r="N222" s="5">
        <v>38</v>
      </c>
      <c r="O222" s="5">
        <v>22</v>
      </c>
    </row>
    <row r="223" spans="2:15" s="1" customFormat="1" ht="13.5">
      <c r="B223" s="4" t="s">
        <v>124</v>
      </c>
      <c r="C223" s="4" t="s">
        <v>127</v>
      </c>
      <c r="D223" s="4" t="s">
        <v>378</v>
      </c>
      <c r="E223" s="4" t="s">
        <v>31</v>
      </c>
      <c r="F223" s="4" t="s">
        <v>126</v>
      </c>
      <c r="G223" s="4">
        <v>101010586</v>
      </c>
      <c r="H223" s="5">
        <v>43</v>
      </c>
      <c r="I223" s="7">
        <v>598</v>
      </c>
      <c r="J223" s="7">
        <v>25714</v>
      </c>
      <c r="K223" s="7">
        <v>11094</v>
      </c>
      <c r="L223" s="7">
        <v>14620</v>
      </c>
      <c r="M223" s="8">
        <v>0.56850000000000001</v>
      </c>
      <c r="N223" s="5">
        <v>8</v>
      </c>
      <c r="O223" s="5">
        <v>6</v>
      </c>
    </row>
    <row r="224" spans="2:15" s="1" customFormat="1" ht="13.5">
      <c r="B224" s="4" t="s">
        <v>124</v>
      </c>
      <c r="C224" s="4" t="s">
        <v>127</v>
      </c>
      <c r="D224" s="4" t="s">
        <v>379</v>
      </c>
      <c r="E224" s="4" t="s">
        <v>31</v>
      </c>
      <c r="F224" s="4" t="s">
        <v>126</v>
      </c>
      <c r="G224" s="4">
        <v>101010579</v>
      </c>
      <c r="H224" s="5">
        <v>94</v>
      </c>
      <c r="I224" s="7">
        <v>267.83</v>
      </c>
      <c r="J224" s="7">
        <v>25176</v>
      </c>
      <c r="K224" s="7">
        <v>9940</v>
      </c>
      <c r="L224" s="7">
        <v>15236</v>
      </c>
      <c r="M224" s="8">
        <v>0.60509999999999997</v>
      </c>
      <c r="N224" s="5">
        <v>37</v>
      </c>
      <c r="O224" s="5">
        <v>27</v>
      </c>
    </row>
    <row r="225" spans="2:15" s="1" customFormat="1" ht="13.5">
      <c r="B225" s="4" t="s">
        <v>124</v>
      </c>
      <c r="C225" s="4" t="s">
        <v>127</v>
      </c>
      <c r="D225" s="4" t="s">
        <v>380</v>
      </c>
      <c r="E225" s="4" t="s">
        <v>31</v>
      </c>
      <c r="F225" s="4" t="s">
        <v>126</v>
      </c>
      <c r="G225" s="4">
        <v>101010542</v>
      </c>
      <c r="H225" s="5">
        <v>362</v>
      </c>
      <c r="I225" s="7">
        <v>65.98</v>
      </c>
      <c r="J225" s="7">
        <v>23883.5</v>
      </c>
      <c r="K225" s="7">
        <v>14778.275299999999</v>
      </c>
      <c r="L225" s="7">
        <v>9105.2247000000007</v>
      </c>
      <c r="M225" s="8">
        <v>0.38119999999999998</v>
      </c>
      <c r="N225" s="5">
        <v>97</v>
      </c>
      <c r="O225" s="5">
        <v>53</v>
      </c>
    </row>
    <row r="226" spans="2:15" s="1" customFormat="1" ht="13.5">
      <c r="B226" s="4" t="s">
        <v>124</v>
      </c>
      <c r="C226" s="4" t="s">
        <v>147</v>
      </c>
      <c r="D226" s="4" t="s">
        <v>381</v>
      </c>
      <c r="E226" s="4" t="s">
        <v>176</v>
      </c>
      <c r="F226" s="4" t="s">
        <v>126</v>
      </c>
      <c r="G226" s="4">
        <v>101010119</v>
      </c>
      <c r="H226" s="5">
        <v>1617</v>
      </c>
      <c r="I226" s="7">
        <v>13.94</v>
      </c>
      <c r="J226" s="7">
        <v>22545.3</v>
      </c>
      <c r="K226" s="7">
        <v>18564.743600000002</v>
      </c>
      <c r="L226" s="7">
        <v>3980.5563999999999</v>
      </c>
      <c r="M226" s="8">
        <v>0.17649999999999999</v>
      </c>
      <c r="N226" s="5">
        <v>776</v>
      </c>
      <c r="O226" s="5">
        <v>105</v>
      </c>
    </row>
    <row r="227" spans="2:15" s="1" customFormat="1" ht="13.5">
      <c r="B227" s="4" t="s">
        <v>124</v>
      </c>
      <c r="C227" s="4" t="s">
        <v>127</v>
      </c>
      <c r="D227" s="4" t="s">
        <v>382</v>
      </c>
      <c r="E227" s="4" t="s">
        <v>31</v>
      </c>
      <c r="F227" s="4" t="s">
        <v>126</v>
      </c>
      <c r="G227" s="4">
        <v>101010173</v>
      </c>
      <c r="H227" s="5">
        <v>14</v>
      </c>
      <c r="I227" s="7">
        <v>1580</v>
      </c>
      <c r="J227" s="7">
        <v>22120</v>
      </c>
      <c r="K227" s="7">
        <v>15012.6975</v>
      </c>
      <c r="L227" s="7">
        <v>7107.3024999999998</v>
      </c>
      <c r="M227" s="8">
        <v>0.32129999999999997</v>
      </c>
      <c r="N227" s="5">
        <v>1</v>
      </c>
      <c r="O227" s="5">
        <v>1</v>
      </c>
    </row>
    <row r="228" spans="2:15" s="1" customFormat="1" ht="13.5">
      <c r="B228" s="4" t="s">
        <v>124</v>
      </c>
      <c r="C228" s="4" t="s">
        <v>125</v>
      </c>
      <c r="D228" s="4" t="s">
        <v>383</v>
      </c>
      <c r="E228" s="4" t="s">
        <v>31</v>
      </c>
      <c r="F228" s="4" t="s">
        <v>126</v>
      </c>
      <c r="G228" s="4">
        <v>101010510</v>
      </c>
      <c r="H228" s="5">
        <v>39</v>
      </c>
      <c r="I228" s="7">
        <v>558</v>
      </c>
      <c r="J228" s="7">
        <v>21762</v>
      </c>
      <c r="K228" s="7">
        <v>10741.3333</v>
      </c>
      <c r="L228" s="7">
        <v>11020.6667</v>
      </c>
      <c r="M228" s="8">
        <v>0.50639999999999996</v>
      </c>
      <c r="N228" s="5">
        <v>17</v>
      </c>
      <c r="O228" s="5">
        <v>11</v>
      </c>
    </row>
    <row r="229" spans="2:15" s="1" customFormat="1" ht="13.5">
      <c r="B229" s="4" t="s">
        <v>124</v>
      </c>
      <c r="C229" s="4" t="s">
        <v>125</v>
      </c>
      <c r="D229" s="4" t="s">
        <v>64</v>
      </c>
      <c r="E229" s="4" t="s">
        <v>65</v>
      </c>
      <c r="F229" s="4" t="s">
        <v>126</v>
      </c>
      <c r="G229" s="4">
        <v>101010554</v>
      </c>
      <c r="H229" s="5">
        <v>245</v>
      </c>
      <c r="I229" s="7">
        <v>86.92</v>
      </c>
      <c r="J229" s="7">
        <v>21296</v>
      </c>
      <c r="K229" s="7">
        <v>66061.196500000005</v>
      </c>
      <c r="L229" s="7">
        <v>-44765.196499999998</v>
      </c>
      <c r="M229" s="8">
        <v>-2.1019999999999999</v>
      </c>
      <c r="N229" s="5">
        <v>201</v>
      </c>
      <c r="O229" s="5">
        <v>87</v>
      </c>
    </row>
    <row r="230" spans="2:15" s="1" customFormat="1" ht="13.5">
      <c r="B230" s="4" t="s">
        <v>124</v>
      </c>
      <c r="C230" s="4" t="s">
        <v>125</v>
      </c>
      <c r="D230" s="4" t="s">
        <v>384</v>
      </c>
      <c r="E230" s="4" t="s">
        <v>31</v>
      </c>
      <c r="F230" s="4" t="s">
        <v>126</v>
      </c>
      <c r="G230" s="4">
        <v>101010506</v>
      </c>
      <c r="H230" s="5">
        <v>230</v>
      </c>
      <c r="I230" s="7">
        <v>88.04</v>
      </c>
      <c r="J230" s="7">
        <v>20250</v>
      </c>
      <c r="K230" s="7">
        <v>15125.282300000001</v>
      </c>
      <c r="L230" s="7">
        <v>5124.7177000000001</v>
      </c>
      <c r="M230" s="8">
        <v>0.253</v>
      </c>
      <c r="N230" s="5">
        <v>90</v>
      </c>
      <c r="O230" s="5">
        <v>7</v>
      </c>
    </row>
    <row r="231" spans="2:15" s="1" customFormat="1" ht="13.5">
      <c r="B231" s="4" t="s">
        <v>124</v>
      </c>
      <c r="C231" s="4" t="s">
        <v>127</v>
      </c>
      <c r="D231" s="4" t="s">
        <v>385</v>
      </c>
      <c r="E231" s="4" t="s">
        <v>31</v>
      </c>
      <c r="F231" s="4" t="s">
        <v>126</v>
      </c>
      <c r="G231" s="4">
        <v>101010572</v>
      </c>
      <c r="H231" s="5">
        <v>163</v>
      </c>
      <c r="I231" s="7">
        <v>118.32</v>
      </c>
      <c r="J231" s="7">
        <v>19286</v>
      </c>
      <c r="K231" s="7">
        <v>8941.0959000000003</v>
      </c>
      <c r="L231" s="7">
        <v>10344.9041</v>
      </c>
      <c r="M231" s="8">
        <v>0.5363</v>
      </c>
      <c r="N231" s="5">
        <v>92</v>
      </c>
      <c r="O231" s="5">
        <v>36</v>
      </c>
    </row>
    <row r="232" spans="2:15" s="1" customFormat="1" ht="13.5">
      <c r="B232" s="4" t="s">
        <v>124</v>
      </c>
      <c r="C232" s="4" t="s">
        <v>130</v>
      </c>
      <c r="D232" s="4" t="s">
        <v>386</v>
      </c>
      <c r="E232" s="4" t="s">
        <v>31</v>
      </c>
      <c r="F232" s="4" t="s">
        <v>126</v>
      </c>
      <c r="G232" s="4">
        <v>101010615</v>
      </c>
      <c r="H232" s="5">
        <v>181</v>
      </c>
      <c r="I232" s="7">
        <v>105</v>
      </c>
      <c r="J232" s="7">
        <v>19005</v>
      </c>
      <c r="K232" s="7">
        <v>13565.8968</v>
      </c>
      <c r="L232" s="7">
        <v>5439.1031999999996</v>
      </c>
      <c r="M232" s="8">
        <v>0.28610000000000002</v>
      </c>
      <c r="N232" s="5">
        <v>67</v>
      </c>
      <c r="O232" s="5">
        <v>36</v>
      </c>
    </row>
    <row r="233" spans="2:15" s="1" customFormat="1" ht="13.5">
      <c r="B233" s="4" t="s">
        <v>124</v>
      </c>
      <c r="C233" s="4" t="s">
        <v>125</v>
      </c>
      <c r="D233" s="4" t="s">
        <v>387</v>
      </c>
      <c r="E233" s="4" t="s">
        <v>31</v>
      </c>
      <c r="F233" s="4" t="s">
        <v>126</v>
      </c>
      <c r="G233" s="4">
        <v>101010164</v>
      </c>
      <c r="H233" s="5">
        <v>300</v>
      </c>
      <c r="I233" s="7">
        <v>62.9</v>
      </c>
      <c r="J233" s="7">
        <v>18870</v>
      </c>
      <c r="K233" s="7">
        <v>40008.061600000001</v>
      </c>
      <c r="L233" s="7">
        <v>-21138.061600000001</v>
      </c>
      <c r="M233" s="8">
        <v>-1.1201000000000001</v>
      </c>
      <c r="N233" s="5">
        <v>88</v>
      </c>
      <c r="O233" s="5">
        <v>57</v>
      </c>
    </row>
    <row r="234" spans="2:15" s="1" customFormat="1" ht="13.5">
      <c r="B234" s="4" t="s">
        <v>124</v>
      </c>
      <c r="C234" s="4" t="s">
        <v>125</v>
      </c>
      <c r="D234" s="4" t="s">
        <v>388</v>
      </c>
      <c r="E234" s="4" t="s">
        <v>31</v>
      </c>
      <c r="F234" s="4" t="s">
        <v>126</v>
      </c>
      <c r="G234" s="4">
        <v>101010152</v>
      </c>
      <c r="H234" s="5">
        <v>314</v>
      </c>
      <c r="I234" s="7">
        <v>60.03</v>
      </c>
      <c r="J234" s="7">
        <v>18848</v>
      </c>
      <c r="K234" s="7">
        <v>15899.7744</v>
      </c>
      <c r="L234" s="7">
        <v>2948.2256000000002</v>
      </c>
      <c r="M234" s="8">
        <v>0.15640000000000001</v>
      </c>
      <c r="N234" s="5">
        <v>55</v>
      </c>
      <c r="O234" s="5">
        <v>29</v>
      </c>
    </row>
    <row r="235" spans="2:15" s="1" customFormat="1" ht="13.5">
      <c r="B235" s="4" t="s">
        <v>124</v>
      </c>
      <c r="C235" s="4" t="s">
        <v>125</v>
      </c>
      <c r="D235" s="4" t="s">
        <v>389</v>
      </c>
      <c r="E235" s="4" t="s">
        <v>246</v>
      </c>
      <c r="F235" s="4" t="s">
        <v>126</v>
      </c>
      <c r="G235" s="4">
        <v>101010564</v>
      </c>
      <c r="H235" s="5">
        <v>321</v>
      </c>
      <c r="I235" s="7">
        <v>56.99</v>
      </c>
      <c r="J235" s="7">
        <v>18295</v>
      </c>
      <c r="K235" s="7">
        <v>11306.649299999999</v>
      </c>
      <c r="L235" s="7">
        <v>6988.3507</v>
      </c>
      <c r="M235" s="8">
        <v>0.38190000000000002</v>
      </c>
      <c r="N235" s="5">
        <v>192</v>
      </c>
      <c r="O235" s="5">
        <v>70</v>
      </c>
    </row>
    <row r="236" spans="2:15" s="1" customFormat="1" ht="13.5">
      <c r="B236" s="4" t="s">
        <v>124</v>
      </c>
      <c r="C236" s="4" t="s">
        <v>125</v>
      </c>
      <c r="D236" s="4" t="s">
        <v>390</v>
      </c>
      <c r="E236" s="4" t="s">
        <v>391</v>
      </c>
      <c r="F236" s="4" t="s">
        <v>126</v>
      </c>
      <c r="G236" s="4">
        <v>101010505</v>
      </c>
      <c r="H236" s="5">
        <v>186</v>
      </c>
      <c r="I236" s="7">
        <v>89.46</v>
      </c>
      <c r="J236" s="7">
        <v>16640</v>
      </c>
      <c r="K236" s="7">
        <v>11706.8814</v>
      </c>
      <c r="L236" s="7">
        <v>4933.1185999999998</v>
      </c>
      <c r="M236" s="8">
        <v>0.2964</v>
      </c>
      <c r="N236" s="5">
        <v>124</v>
      </c>
      <c r="O236" s="5">
        <v>7</v>
      </c>
    </row>
    <row r="237" spans="2:15" s="1" customFormat="1" ht="13.5">
      <c r="B237" s="4" t="s">
        <v>124</v>
      </c>
      <c r="C237" s="4" t="s">
        <v>127</v>
      </c>
      <c r="D237" s="4" t="s">
        <v>392</v>
      </c>
      <c r="E237" s="4" t="s">
        <v>123</v>
      </c>
      <c r="F237" s="4" t="s">
        <v>126</v>
      </c>
      <c r="G237" s="4">
        <v>101010569</v>
      </c>
      <c r="H237" s="5">
        <v>1</v>
      </c>
      <c r="I237" s="7">
        <v>16000</v>
      </c>
      <c r="J237" s="7">
        <v>16000</v>
      </c>
      <c r="K237" s="7">
        <v>15000</v>
      </c>
      <c r="L237" s="7">
        <v>1000</v>
      </c>
      <c r="M237" s="8">
        <v>6.25E-2</v>
      </c>
      <c r="N237" s="5">
        <v>1</v>
      </c>
      <c r="O237" s="5">
        <v>1</v>
      </c>
    </row>
    <row r="238" spans="2:15" s="1" customFormat="1" ht="13.5">
      <c r="B238" s="4" t="s">
        <v>124</v>
      </c>
      <c r="C238" s="4" t="s">
        <v>127</v>
      </c>
      <c r="D238" s="4" t="s">
        <v>393</v>
      </c>
      <c r="E238" s="4" t="s">
        <v>123</v>
      </c>
      <c r="F238" s="4" t="s">
        <v>126</v>
      </c>
      <c r="G238" s="4">
        <v>101010570</v>
      </c>
      <c r="H238" s="5">
        <v>1</v>
      </c>
      <c r="I238" s="7">
        <v>16000</v>
      </c>
      <c r="J238" s="7">
        <v>16000</v>
      </c>
      <c r="K238" s="7">
        <v>15000</v>
      </c>
      <c r="L238" s="7">
        <v>1000</v>
      </c>
      <c r="M238" s="8">
        <v>6.25E-2</v>
      </c>
      <c r="N238" s="5">
        <v>1</v>
      </c>
      <c r="O238" s="5">
        <v>1</v>
      </c>
    </row>
    <row r="239" spans="2:15" s="1" customFormat="1" ht="13.5">
      <c r="B239" s="4" t="s">
        <v>124</v>
      </c>
      <c r="C239" s="4" t="s">
        <v>125</v>
      </c>
      <c r="D239" s="4" t="s">
        <v>394</v>
      </c>
      <c r="E239" s="4" t="s">
        <v>86</v>
      </c>
      <c r="F239" s="4" t="s">
        <v>126</v>
      </c>
      <c r="G239" s="4">
        <v>101010199</v>
      </c>
      <c r="H239" s="5">
        <v>50</v>
      </c>
      <c r="I239" s="7">
        <v>315.27999999999997</v>
      </c>
      <c r="J239" s="7">
        <v>15764</v>
      </c>
      <c r="K239" s="7">
        <v>13766.741099999999</v>
      </c>
      <c r="L239" s="7">
        <v>1997.2589</v>
      </c>
      <c r="M239" s="8">
        <v>0.12659999999999999</v>
      </c>
      <c r="N239" s="5">
        <v>21</v>
      </c>
      <c r="O239" s="5">
        <v>6</v>
      </c>
    </row>
    <row r="240" spans="2:15" s="1" customFormat="1" ht="13.5">
      <c r="B240" s="4" t="s">
        <v>124</v>
      </c>
      <c r="C240" s="4" t="s">
        <v>125</v>
      </c>
      <c r="D240" s="4" t="s">
        <v>395</v>
      </c>
      <c r="E240" s="4" t="s">
        <v>396</v>
      </c>
      <c r="F240" s="4" t="s">
        <v>126</v>
      </c>
      <c r="G240" s="4">
        <v>101010202</v>
      </c>
      <c r="H240" s="5">
        <v>92</v>
      </c>
      <c r="I240" s="7">
        <v>153.52000000000001</v>
      </c>
      <c r="J240" s="7">
        <v>14124</v>
      </c>
      <c r="K240" s="7">
        <v>9441.6669999999995</v>
      </c>
      <c r="L240" s="7">
        <v>4682.3329999999996</v>
      </c>
      <c r="M240" s="8">
        <v>0.33150000000000002</v>
      </c>
      <c r="N240" s="5">
        <v>48</v>
      </c>
      <c r="O240" s="5">
        <v>6</v>
      </c>
    </row>
    <row r="241" spans="2:15" s="1" customFormat="1" ht="13.5">
      <c r="B241" s="4" t="s">
        <v>124</v>
      </c>
      <c r="C241" s="4" t="s">
        <v>125</v>
      </c>
      <c r="D241" s="4" t="s">
        <v>397</v>
      </c>
      <c r="E241" s="4" t="s">
        <v>31</v>
      </c>
      <c r="F241" s="4" t="s">
        <v>126</v>
      </c>
      <c r="G241" s="4">
        <v>101010487</v>
      </c>
      <c r="H241" s="5">
        <v>12</v>
      </c>
      <c r="I241" s="7">
        <v>1025</v>
      </c>
      <c r="J241" s="7">
        <v>12300</v>
      </c>
      <c r="K241" s="7">
        <v>10156.4077</v>
      </c>
      <c r="L241" s="7">
        <v>2143.5922999999998</v>
      </c>
      <c r="M241" s="8">
        <v>0.17419999999999999</v>
      </c>
      <c r="N241" s="5">
        <v>2</v>
      </c>
      <c r="O241" s="5">
        <v>1</v>
      </c>
    </row>
    <row r="242" spans="2:15" s="1" customFormat="1" ht="13.5">
      <c r="B242" s="4" t="s">
        <v>124</v>
      </c>
      <c r="C242" s="4" t="s">
        <v>125</v>
      </c>
      <c r="D242" s="4" t="s">
        <v>398</v>
      </c>
      <c r="E242" s="4" t="s">
        <v>399</v>
      </c>
      <c r="F242" s="4" t="s">
        <v>126</v>
      </c>
      <c r="G242" s="4">
        <v>101010168</v>
      </c>
      <c r="H242" s="5">
        <v>4</v>
      </c>
      <c r="I242" s="7">
        <v>2900</v>
      </c>
      <c r="J242" s="7">
        <v>11600</v>
      </c>
      <c r="K242" s="7">
        <v>7200</v>
      </c>
      <c r="L242" s="7">
        <v>4400</v>
      </c>
      <c r="M242" s="8">
        <v>0.37930000000000003</v>
      </c>
      <c r="N242" s="5">
        <v>4</v>
      </c>
      <c r="O242" s="5">
        <v>2</v>
      </c>
    </row>
    <row r="243" spans="2:15" s="1" customFormat="1" ht="13.5">
      <c r="B243" s="4" t="s">
        <v>124</v>
      </c>
      <c r="C243" s="4" t="s">
        <v>127</v>
      </c>
      <c r="D243" s="4" t="s">
        <v>400</v>
      </c>
      <c r="E243" s="4" t="s">
        <v>401</v>
      </c>
      <c r="F243" s="4" t="s">
        <v>126</v>
      </c>
      <c r="G243" s="4">
        <v>101010582</v>
      </c>
      <c r="H243" s="5">
        <v>15</v>
      </c>
      <c r="I243" s="7">
        <v>719.07</v>
      </c>
      <c r="J243" s="7">
        <v>10786</v>
      </c>
      <c r="K243" s="7">
        <v>6004.9998999999998</v>
      </c>
      <c r="L243" s="7">
        <v>4781.0001000000002</v>
      </c>
      <c r="M243" s="8">
        <v>0.44319999999999998</v>
      </c>
      <c r="N243" s="5">
        <v>7</v>
      </c>
      <c r="O243" s="5">
        <v>7</v>
      </c>
    </row>
    <row r="244" spans="2:15" s="1" customFormat="1" ht="13.5">
      <c r="B244" s="4" t="s">
        <v>124</v>
      </c>
      <c r="C244" s="4" t="s">
        <v>125</v>
      </c>
      <c r="D244" s="4" t="s">
        <v>402</v>
      </c>
      <c r="E244" s="4" t="s">
        <v>176</v>
      </c>
      <c r="F244" s="4" t="s">
        <v>126</v>
      </c>
      <c r="G244" s="4">
        <v>101010185</v>
      </c>
      <c r="H244" s="5">
        <v>771</v>
      </c>
      <c r="I244" s="7">
        <v>13.99</v>
      </c>
      <c r="J244" s="7">
        <v>10785</v>
      </c>
      <c r="K244" s="7">
        <v>6477.5559999999996</v>
      </c>
      <c r="L244" s="7">
        <v>4307.4440000000004</v>
      </c>
      <c r="M244" s="8">
        <v>0.39929999999999999</v>
      </c>
      <c r="N244" s="5">
        <v>250</v>
      </c>
      <c r="O244" s="5">
        <v>66</v>
      </c>
    </row>
    <row r="245" spans="2:15" s="1" customFormat="1" ht="13.5">
      <c r="B245" s="4" t="s">
        <v>124</v>
      </c>
      <c r="C245" s="4" t="s">
        <v>147</v>
      </c>
      <c r="D245" s="4" t="s">
        <v>403</v>
      </c>
      <c r="E245" s="4" t="s">
        <v>404</v>
      </c>
      <c r="F245" s="4" t="s">
        <v>126</v>
      </c>
      <c r="G245" s="4">
        <v>101010608</v>
      </c>
      <c r="H245" s="5">
        <v>1030</v>
      </c>
      <c r="I245" s="7">
        <v>10.01</v>
      </c>
      <c r="J245" s="7">
        <v>10312</v>
      </c>
      <c r="K245" s="7">
        <v>4861.9467999999997</v>
      </c>
      <c r="L245" s="7">
        <v>5450.0532000000003</v>
      </c>
      <c r="M245" s="8">
        <v>0.52849999999999997</v>
      </c>
      <c r="N245" s="5">
        <v>831</v>
      </c>
      <c r="O245" s="5">
        <v>100</v>
      </c>
    </row>
    <row r="246" spans="2:15" s="1" customFormat="1" ht="13.5">
      <c r="B246" s="4" t="s">
        <v>124</v>
      </c>
      <c r="C246" s="4" t="s">
        <v>127</v>
      </c>
      <c r="D246" s="4" t="s">
        <v>405</v>
      </c>
      <c r="E246" s="4" t="s">
        <v>31</v>
      </c>
      <c r="F246" s="4" t="s">
        <v>126</v>
      </c>
      <c r="G246" s="4">
        <v>101010580</v>
      </c>
      <c r="H246" s="5">
        <v>29</v>
      </c>
      <c r="I246" s="7">
        <v>354.52</v>
      </c>
      <c r="J246" s="7">
        <v>10281</v>
      </c>
      <c r="K246" s="7">
        <v>4059</v>
      </c>
      <c r="L246" s="7">
        <v>6222</v>
      </c>
      <c r="M246" s="8">
        <v>0.60509999999999997</v>
      </c>
      <c r="N246" s="5">
        <v>12</v>
      </c>
      <c r="O246" s="5">
        <v>11</v>
      </c>
    </row>
    <row r="247" spans="2:15" s="1" customFormat="1" ht="13.5">
      <c r="B247" s="4" t="s">
        <v>124</v>
      </c>
      <c r="C247" s="4" t="s">
        <v>125</v>
      </c>
      <c r="D247" s="4" t="s">
        <v>406</v>
      </c>
      <c r="E247" s="4" t="s">
        <v>31</v>
      </c>
      <c r="F247" s="4" t="s">
        <v>137</v>
      </c>
      <c r="G247" s="4">
        <v>101010526</v>
      </c>
      <c r="H247" s="5">
        <v>3</v>
      </c>
      <c r="I247" s="7">
        <v>3299</v>
      </c>
      <c r="J247" s="7">
        <v>9897</v>
      </c>
      <c r="K247" s="7">
        <v>6201.6144000000004</v>
      </c>
      <c r="L247" s="7">
        <v>3695.3856000000001</v>
      </c>
      <c r="M247" s="8">
        <v>0.37330000000000002</v>
      </c>
      <c r="N247" s="5">
        <v>2</v>
      </c>
      <c r="O247" s="5">
        <v>2</v>
      </c>
    </row>
    <row r="248" spans="2:15" s="1" customFormat="1" ht="13.5">
      <c r="B248" s="4" t="s">
        <v>124</v>
      </c>
      <c r="C248" s="4" t="s">
        <v>125</v>
      </c>
      <c r="D248" s="4" t="s">
        <v>407</v>
      </c>
      <c r="E248" s="4" t="s">
        <v>31</v>
      </c>
      <c r="F248" s="4" t="s">
        <v>137</v>
      </c>
      <c r="G248" s="4">
        <v>101010140</v>
      </c>
      <c r="H248" s="5">
        <v>274</v>
      </c>
      <c r="I248" s="7">
        <v>35.770000000000003</v>
      </c>
      <c r="J248" s="7">
        <v>9800</v>
      </c>
      <c r="K248" s="7">
        <v>7147.4650000000001</v>
      </c>
      <c r="L248" s="7">
        <v>2652.5349999999999</v>
      </c>
      <c r="M248" s="8">
        <v>0.27060000000000001</v>
      </c>
      <c r="N248" s="5">
        <v>122</v>
      </c>
      <c r="O248" s="5">
        <v>52</v>
      </c>
    </row>
    <row r="249" spans="2:15" s="1" customFormat="1" ht="13.5">
      <c r="B249" s="4" t="s">
        <v>124</v>
      </c>
      <c r="C249" s="4" t="s">
        <v>125</v>
      </c>
      <c r="D249" s="4" t="s">
        <v>408</v>
      </c>
      <c r="E249" s="4" t="s">
        <v>409</v>
      </c>
      <c r="F249" s="4" t="s">
        <v>137</v>
      </c>
      <c r="G249" s="4">
        <v>101010524</v>
      </c>
      <c r="H249" s="5">
        <v>20</v>
      </c>
      <c r="I249" s="7">
        <v>460</v>
      </c>
      <c r="J249" s="7">
        <v>9200</v>
      </c>
      <c r="K249" s="7">
        <v>7160</v>
      </c>
      <c r="L249" s="7">
        <v>2040</v>
      </c>
      <c r="M249" s="8">
        <v>0.22170000000000001</v>
      </c>
      <c r="N249" s="5">
        <v>1</v>
      </c>
      <c r="O249" s="5">
        <v>1</v>
      </c>
    </row>
    <row r="250" spans="2:15" s="1" customFormat="1" ht="13.5">
      <c r="B250" s="4" t="s">
        <v>124</v>
      </c>
      <c r="C250" s="4" t="s">
        <v>130</v>
      </c>
      <c r="D250" s="4" t="s">
        <v>410</v>
      </c>
      <c r="E250" s="4" t="s">
        <v>31</v>
      </c>
      <c r="F250" s="4" t="s">
        <v>126</v>
      </c>
      <c r="G250" s="4">
        <v>101010616</v>
      </c>
      <c r="H250" s="5">
        <v>53</v>
      </c>
      <c r="I250" s="7">
        <v>165</v>
      </c>
      <c r="J250" s="7">
        <v>8745</v>
      </c>
      <c r="K250" s="7">
        <v>5826.7413999999999</v>
      </c>
      <c r="L250" s="7">
        <v>2918.2586000000001</v>
      </c>
      <c r="M250" s="8">
        <v>0.3337</v>
      </c>
      <c r="N250" s="5">
        <v>28</v>
      </c>
      <c r="O250" s="5">
        <v>23</v>
      </c>
    </row>
    <row r="251" spans="2:15" s="1" customFormat="1" ht="13.5">
      <c r="B251" s="4" t="s">
        <v>124</v>
      </c>
      <c r="C251" s="4" t="s">
        <v>125</v>
      </c>
      <c r="D251" s="4" t="s">
        <v>411</v>
      </c>
      <c r="E251" s="4" t="s">
        <v>31</v>
      </c>
      <c r="F251" s="4" t="s">
        <v>126</v>
      </c>
      <c r="G251" s="4">
        <v>101010488</v>
      </c>
      <c r="H251" s="5">
        <v>74</v>
      </c>
      <c r="I251" s="7">
        <v>108</v>
      </c>
      <c r="J251" s="7">
        <v>7992</v>
      </c>
      <c r="K251" s="7">
        <v>7377.7791999999999</v>
      </c>
      <c r="L251" s="7">
        <v>614.22080000000005</v>
      </c>
      <c r="M251" s="8">
        <v>7.6799999999999993E-2</v>
      </c>
      <c r="N251" s="5">
        <v>44</v>
      </c>
      <c r="O251" s="5">
        <v>5</v>
      </c>
    </row>
    <row r="252" spans="2:15" s="1" customFormat="1" ht="13.5">
      <c r="B252" s="4" t="s">
        <v>124</v>
      </c>
      <c r="C252" s="4" t="s">
        <v>130</v>
      </c>
      <c r="D252" s="4" t="s">
        <v>412</v>
      </c>
      <c r="E252" s="4" t="s">
        <v>31</v>
      </c>
      <c r="F252" s="4" t="s">
        <v>126</v>
      </c>
      <c r="G252" s="4">
        <v>101010617</v>
      </c>
      <c r="H252" s="5">
        <v>35</v>
      </c>
      <c r="I252" s="7">
        <v>225</v>
      </c>
      <c r="J252" s="7">
        <v>7875</v>
      </c>
      <c r="K252" s="7">
        <v>5061.8795</v>
      </c>
      <c r="L252" s="7">
        <v>2813.1205</v>
      </c>
      <c r="M252" s="8">
        <v>0.35720000000000002</v>
      </c>
      <c r="N252" s="5">
        <v>17</v>
      </c>
      <c r="O252" s="5">
        <v>15</v>
      </c>
    </row>
    <row r="253" spans="2:15" s="1" customFormat="1" ht="13.5">
      <c r="B253" s="4" t="s">
        <v>124</v>
      </c>
      <c r="C253" s="4" t="s">
        <v>125</v>
      </c>
      <c r="D253" s="4" t="s">
        <v>413</v>
      </c>
      <c r="E253" s="4" t="s">
        <v>31</v>
      </c>
      <c r="F253" s="4" t="s">
        <v>126</v>
      </c>
      <c r="G253" s="4">
        <v>101010201</v>
      </c>
      <c r="H253" s="5">
        <v>69</v>
      </c>
      <c r="I253" s="7">
        <v>108.26</v>
      </c>
      <c r="J253" s="7">
        <v>7470</v>
      </c>
      <c r="K253" s="7">
        <v>4755.1013000000003</v>
      </c>
      <c r="L253" s="7">
        <v>2714.8987000000002</v>
      </c>
      <c r="M253" s="8">
        <v>0.3634</v>
      </c>
      <c r="N253" s="5">
        <v>21</v>
      </c>
      <c r="O253" s="5">
        <v>8</v>
      </c>
    </row>
    <row r="254" spans="2:15" s="1" customFormat="1" ht="13.5">
      <c r="B254" s="4" t="s">
        <v>124</v>
      </c>
      <c r="C254" s="4" t="s">
        <v>125</v>
      </c>
      <c r="D254" s="4" t="s">
        <v>414</v>
      </c>
      <c r="E254" s="4" t="s">
        <v>284</v>
      </c>
      <c r="F254" s="4" t="s">
        <v>137</v>
      </c>
      <c r="G254" s="4">
        <v>101010186</v>
      </c>
      <c r="H254" s="5">
        <v>106</v>
      </c>
      <c r="I254" s="7">
        <v>67.13</v>
      </c>
      <c r="J254" s="7">
        <v>7116</v>
      </c>
      <c r="K254" s="7">
        <v>4652.2415000000001</v>
      </c>
      <c r="L254" s="7">
        <v>2463.7584999999999</v>
      </c>
      <c r="M254" s="8">
        <v>0.34620000000000001</v>
      </c>
      <c r="N254" s="5">
        <v>61</v>
      </c>
      <c r="O254" s="5">
        <v>36</v>
      </c>
    </row>
    <row r="255" spans="2:15" s="1" customFormat="1" ht="13.5">
      <c r="B255" s="4" t="s">
        <v>124</v>
      </c>
      <c r="C255" s="4" t="s">
        <v>147</v>
      </c>
      <c r="D255" s="4" t="s">
        <v>415</v>
      </c>
      <c r="E255" s="4" t="s">
        <v>31</v>
      </c>
      <c r="F255" s="4" t="s">
        <v>126</v>
      </c>
      <c r="G255" s="4">
        <v>101010594</v>
      </c>
      <c r="H255" s="5">
        <v>32</v>
      </c>
      <c r="I255" s="7">
        <v>195.13</v>
      </c>
      <c r="J255" s="7">
        <v>6244</v>
      </c>
      <c r="K255" s="7">
        <v>4000.0275999999999</v>
      </c>
      <c r="L255" s="7">
        <v>2243.9724000000001</v>
      </c>
      <c r="M255" s="8">
        <v>0.35930000000000001</v>
      </c>
      <c r="N255" s="5">
        <v>18</v>
      </c>
      <c r="O255" s="5">
        <v>15</v>
      </c>
    </row>
    <row r="256" spans="2:15" s="1" customFormat="1" ht="13.5">
      <c r="B256" s="4" t="s">
        <v>124</v>
      </c>
      <c r="C256" s="4" t="s">
        <v>125</v>
      </c>
      <c r="D256" s="4" t="s">
        <v>416</v>
      </c>
      <c r="E256" s="4" t="s">
        <v>251</v>
      </c>
      <c r="F256" s="4" t="s">
        <v>126</v>
      </c>
      <c r="G256" s="4">
        <v>101010521</v>
      </c>
      <c r="H256" s="5">
        <v>12</v>
      </c>
      <c r="I256" s="7">
        <v>519</v>
      </c>
      <c r="J256" s="7">
        <v>6228</v>
      </c>
      <c r="K256" s="7">
        <v>5760</v>
      </c>
      <c r="L256" s="7">
        <v>468</v>
      </c>
      <c r="M256" s="8">
        <v>7.51E-2</v>
      </c>
      <c r="N256" s="5">
        <v>1</v>
      </c>
      <c r="O256" s="5">
        <v>1</v>
      </c>
    </row>
    <row r="257" spans="2:15" s="1" customFormat="1" ht="13.5">
      <c r="B257" s="4" t="s">
        <v>124</v>
      </c>
      <c r="C257" s="4" t="s">
        <v>147</v>
      </c>
      <c r="D257" s="4" t="s">
        <v>417</v>
      </c>
      <c r="E257" s="4" t="s">
        <v>31</v>
      </c>
      <c r="F257" s="4" t="s">
        <v>126</v>
      </c>
      <c r="G257" s="4">
        <v>101010593</v>
      </c>
      <c r="H257" s="5">
        <v>46</v>
      </c>
      <c r="I257" s="7">
        <v>123.91</v>
      </c>
      <c r="J257" s="7">
        <v>5700</v>
      </c>
      <c r="K257" s="7">
        <v>1955.0062</v>
      </c>
      <c r="L257" s="7">
        <v>3744.9938000000002</v>
      </c>
      <c r="M257" s="8">
        <v>0.65700000000000003</v>
      </c>
      <c r="N257" s="5">
        <v>25</v>
      </c>
      <c r="O257" s="5">
        <v>18</v>
      </c>
    </row>
    <row r="258" spans="2:15" s="1" customFormat="1" ht="13.5">
      <c r="B258" s="4" t="s">
        <v>124</v>
      </c>
      <c r="C258" s="4" t="s">
        <v>418</v>
      </c>
      <c r="D258" s="4" t="s">
        <v>419</v>
      </c>
      <c r="E258" s="4" t="s">
        <v>284</v>
      </c>
      <c r="F258" s="4" t="s">
        <v>126</v>
      </c>
      <c r="G258" s="4">
        <v>101010146</v>
      </c>
      <c r="H258" s="5">
        <v>170</v>
      </c>
      <c r="I258" s="7">
        <v>32.47</v>
      </c>
      <c r="J258" s="7">
        <v>5520</v>
      </c>
      <c r="K258" s="7">
        <v>6594.2257</v>
      </c>
      <c r="L258" s="7">
        <v>-1074.2257</v>
      </c>
      <c r="M258" s="8">
        <v>-0.1946</v>
      </c>
      <c r="N258" s="5">
        <v>72</v>
      </c>
      <c r="O258" s="5">
        <v>35</v>
      </c>
    </row>
    <row r="259" spans="2:15" s="1" customFormat="1" ht="13.5">
      <c r="B259" s="4" t="s">
        <v>124</v>
      </c>
      <c r="C259" s="4" t="s">
        <v>125</v>
      </c>
      <c r="D259" s="4" t="s">
        <v>420</v>
      </c>
      <c r="E259" s="4" t="s">
        <v>31</v>
      </c>
      <c r="F259" s="4" t="s">
        <v>126</v>
      </c>
      <c r="G259" s="4">
        <v>101010203</v>
      </c>
      <c r="H259" s="5">
        <v>31</v>
      </c>
      <c r="I259" s="7">
        <v>172.58</v>
      </c>
      <c r="J259" s="7">
        <v>5350</v>
      </c>
      <c r="K259" s="7">
        <v>3545.3424</v>
      </c>
      <c r="L259" s="7">
        <v>1804.6576</v>
      </c>
      <c r="M259" s="8">
        <v>0.33729999999999999</v>
      </c>
      <c r="N259" s="5">
        <v>12</v>
      </c>
      <c r="O259" s="5">
        <v>6</v>
      </c>
    </row>
    <row r="260" spans="2:15" s="1" customFormat="1" ht="13.5">
      <c r="B260" s="4" t="s">
        <v>124</v>
      </c>
      <c r="C260" s="4" t="s">
        <v>130</v>
      </c>
      <c r="D260" s="4" t="s">
        <v>421</v>
      </c>
      <c r="E260" s="4" t="s">
        <v>422</v>
      </c>
      <c r="F260" s="4" t="s">
        <v>126</v>
      </c>
      <c r="G260" s="4">
        <v>101010624</v>
      </c>
      <c r="H260" s="5">
        <v>10</v>
      </c>
      <c r="I260" s="7">
        <v>472.2</v>
      </c>
      <c r="J260" s="7">
        <v>4722</v>
      </c>
      <c r="K260" s="7">
        <v>2772.8717000000001</v>
      </c>
      <c r="L260" s="7">
        <v>1949.1283000000001</v>
      </c>
      <c r="M260" s="8">
        <v>0.41270000000000001</v>
      </c>
      <c r="N260" s="5">
        <v>7</v>
      </c>
      <c r="O260" s="5">
        <v>7</v>
      </c>
    </row>
    <row r="261" spans="2:15" s="1" customFormat="1" ht="13.5">
      <c r="B261" s="4" t="s">
        <v>124</v>
      </c>
      <c r="C261" s="4" t="s">
        <v>130</v>
      </c>
      <c r="D261" s="4" t="s">
        <v>423</v>
      </c>
      <c r="E261" s="4" t="s">
        <v>232</v>
      </c>
      <c r="F261" s="4" t="s">
        <v>126</v>
      </c>
      <c r="G261" s="4">
        <v>101010625</v>
      </c>
      <c r="H261" s="5">
        <v>12</v>
      </c>
      <c r="I261" s="7">
        <v>392</v>
      </c>
      <c r="J261" s="7">
        <v>4704</v>
      </c>
      <c r="K261" s="7">
        <v>3270.3589999999999</v>
      </c>
      <c r="L261" s="7">
        <v>1433.6410000000001</v>
      </c>
      <c r="M261" s="8">
        <v>0.30470000000000003</v>
      </c>
      <c r="N261" s="5">
        <v>11</v>
      </c>
      <c r="O261" s="5">
        <v>10</v>
      </c>
    </row>
    <row r="262" spans="2:15" s="1" customFormat="1" ht="13.5">
      <c r="B262" s="4" t="s">
        <v>124</v>
      </c>
      <c r="C262" s="4" t="s">
        <v>147</v>
      </c>
      <c r="D262" s="4" t="s">
        <v>424</v>
      </c>
      <c r="E262" s="4" t="s">
        <v>31</v>
      </c>
      <c r="F262" s="4" t="s">
        <v>126</v>
      </c>
      <c r="G262" s="4">
        <v>101010595</v>
      </c>
      <c r="H262" s="5">
        <v>14</v>
      </c>
      <c r="I262" s="7">
        <v>328</v>
      </c>
      <c r="J262" s="7">
        <v>4592</v>
      </c>
      <c r="K262" s="7">
        <v>3292.1637999999998</v>
      </c>
      <c r="L262" s="7">
        <v>1299.8362</v>
      </c>
      <c r="M262" s="8">
        <v>0.28299999999999997</v>
      </c>
      <c r="N262" s="5">
        <v>6</v>
      </c>
      <c r="O262" s="5">
        <v>5</v>
      </c>
    </row>
    <row r="263" spans="2:15" s="1" customFormat="1" ht="13.5">
      <c r="B263" s="4" t="s">
        <v>124</v>
      </c>
      <c r="C263" s="4" t="s">
        <v>130</v>
      </c>
      <c r="D263" s="4" t="s">
        <v>425</v>
      </c>
      <c r="E263" s="4" t="s">
        <v>426</v>
      </c>
      <c r="F263" s="4" t="s">
        <v>137</v>
      </c>
      <c r="G263" s="4">
        <v>101010626</v>
      </c>
      <c r="H263" s="5">
        <v>5</v>
      </c>
      <c r="I263" s="7">
        <v>888</v>
      </c>
      <c r="J263" s="7">
        <v>4440</v>
      </c>
      <c r="K263" s="7">
        <v>2481.4872</v>
      </c>
      <c r="L263" s="7">
        <v>1958.5128</v>
      </c>
      <c r="M263" s="8">
        <v>0.44109999999999999</v>
      </c>
      <c r="N263" s="5">
        <v>5</v>
      </c>
      <c r="O263" s="5">
        <v>5</v>
      </c>
    </row>
    <row r="264" spans="2:15" s="1" customFormat="1" ht="13.5">
      <c r="B264" s="4" t="s">
        <v>124</v>
      </c>
      <c r="C264" s="4" t="s">
        <v>127</v>
      </c>
      <c r="D264" s="4" t="s">
        <v>427</v>
      </c>
      <c r="E264" s="4" t="s">
        <v>31</v>
      </c>
      <c r="F264" s="4" t="s">
        <v>126</v>
      </c>
      <c r="G264" s="4">
        <v>101010583</v>
      </c>
      <c r="H264" s="5">
        <v>22</v>
      </c>
      <c r="I264" s="7">
        <v>198</v>
      </c>
      <c r="J264" s="7">
        <v>4356</v>
      </c>
      <c r="K264" s="7">
        <v>2452</v>
      </c>
      <c r="L264" s="7">
        <v>1904</v>
      </c>
      <c r="M264" s="8">
        <v>0.437</v>
      </c>
      <c r="N264" s="5">
        <v>14</v>
      </c>
      <c r="O264" s="5">
        <v>11</v>
      </c>
    </row>
    <row r="265" spans="2:15" s="1" customFormat="1" ht="13.5">
      <c r="B265" s="4" t="s">
        <v>124</v>
      </c>
      <c r="C265" s="4" t="s">
        <v>125</v>
      </c>
      <c r="D265" s="4" t="s">
        <v>428</v>
      </c>
      <c r="E265" s="4" t="s">
        <v>371</v>
      </c>
      <c r="F265" s="4" t="s">
        <v>126</v>
      </c>
      <c r="G265" s="4">
        <v>101010520</v>
      </c>
      <c r="H265" s="5">
        <v>117</v>
      </c>
      <c r="I265" s="7">
        <v>29</v>
      </c>
      <c r="J265" s="7">
        <v>3393</v>
      </c>
      <c r="K265" s="7">
        <v>2457</v>
      </c>
      <c r="L265" s="7">
        <v>936</v>
      </c>
      <c r="M265" s="8">
        <v>0.27579999999999999</v>
      </c>
      <c r="N265" s="5">
        <v>93</v>
      </c>
      <c r="O265" s="5">
        <v>8</v>
      </c>
    </row>
    <row r="266" spans="2:15" s="1" customFormat="1" ht="13.5">
      <c r="B266" s="4" t="s">
        <v>124</v>
      </c>
      <c r="C266" s="4" t="s">
        <v>125</v>
      </c>
      <c r="D266" s="4" t="s">
        <v>429</v>
      </c>
      <c r="E266" s="4" t="s">
        <v>31</v>
      </c>
      <c r="F266" s="4" t="s">
        <v>126</v>
      </c>
      <c r="G266" s="4">
        <v>101010195</v>
      </c>
      <c r="H266" s="5">
        <v>40</v>
      </c>
      <c r="I266" s="7">
        <v>79</v>
      </c>
      <c r="J266" s="7">
        <v>3160</v>
      </c>
      <c r="K266" s="7">
        <v>1910.9770000000001</v>
      </c>
      <c r="L266" s="7">
        <v>1249.0229999999999</v>
      </c>
      <c r="M266" s="8">
        <v>0.3952</v>
      </c>
      <c r="N266" s="5">
        <v>15</v>
      </c>
      <c r="O266" s="5">
        <v>5</v>
      </c>
    </row>
    <row r="267" spans="2:15" s="1" customFormat="1" ht="13.5">
      <c r="B267" s="4" t="s">
        <v>124</v>
      </c>
      <c r="C267" s="4" t="s">
        <v>125</v>
      </c>
      <c r="D267" s="4" t="s">
        <v>430</v>
      </c>
      <c r="E267" s="4" t="s">
        <v>31</v>
      </c>
      <c r="F267" s="4" t="s">
        <v>126</v>
      </c>
      <c r="G267" s="4">
        <v>101010200</v>
      </c>
      <c r="H267" s="5">
        <v>37</v>
      </c>
      <c r="I267" s="7">
        <v>80</v>
      </c>
      <c r="J267" s="7">
        <v>2960</v>
      </c>
      <c r="K267" s="7">
        <v>1918.6668</v>
      </c>
      <c r="L267" s="7">
        <v>1041.3332</v>
      </c>
      <c r="M267" s="8">
        <v>0.3518</v>
      </c>
      <c r="N267" s="5">
        <v>17</v>
      </c>
      <c r="O267" s="5">
        <v>7</v>
      </c>
    </row>
    <row r="268" spans="2:15" s="1" customFormat="1" ht="13.5">
      <c r="B268" s="4" t="s">
        <v>124</v>
      </c>
      <c r="C268" s="4" t="s">
        <v>220</v>
      </c>
      <c r="D268" s="4" t="s">
        <v>431</v>
      </c>
      <c r="E268" s="4" t="s">
        <v>31</v>
      </c>
      <c r="F268" s="4" t="s">
        <v>126</v>
      </c>
      <c r="G268" s="4">
        <v>101010123</v>
      </c>
      <c r="H268" s="5">
        <v>212</v>
      </c>
      <c r="I268" s="7">
        <v>12.95</v>
      </c>
      <c r="J268" s="7">
        <v>2745</v>
      </c>
      <c r="K268" s="7">
        <v>0</v>
      </c>
      <c r="L268" s="7">
        <v>2745</v>
      </c>
      <c r="M268" s="8">
        <v>1</v>
      </c>
      <c r="N268" s="5">
        <v>152</v>
      </c>
      <c r="O268" s="5">
        <v>52</v>
      </c>
    </row>
    <row r="269" spans="2:15" s="1" customFormat="1" ht="13.5">
      <c r="B269" s="4" t="s">
        <v>124</v>
      </c>
      <c r="C269" s="4" t="s">
        <v>125</v>
      </c>
      <c r="D269" s="4" t="s">
        <v>432</v>
      </c>
      <c r="E269" s="4" t="s">
        <v>31</v>
      </c>
      <c r="F269" s="4" t="s">
        <v>126</v>
      </c>
      <c r="G269" s="4">
        <v>101010143</v>
      </c>
      <c r="H269" s="5">
        <v>52</v>
      </c>
      <c r="I269" s="7">
        <v>48.62</v>
      </c>
      <c r="J269" s="7">
        <v>2528</v>
      </c>
      <c r="K269" s="7">
        <v>2412.0828000000001</v>
      </c>
      <c r="L269" s="7">
        <v>115.91719999999999</v>
      </c>
      <c r="M269" s="8">
        <v>4.58E-2</v>
      </c>
      <c r="N269" s="5">
        <v>22</v>
      </c>
      <c r="O269" s="5">
        <v>13</v>
      </c>
    </row>
    <row r="270" spans="2:15" s="1" customFormat="1" ht="13.5">
      <c r="B270" s="4" t="s">
        <v>124</v>
      </c>
      <c r="C270" s="4" t="s">
        <v>127</v>
      </c>
      <c r="D270" s="4" t="s">
        <v>433</v>
      </c>
      <c r="E270" s="4" t="s">
        <v>164</v>
      </c>
      <c r="F270" s="4" t="s">
        <v>126</v>
      </c>
      <c r="G270" s="4">
        <v>101010537</v>
      </c>
      <c r="H270" s="5">
        <v>4</v>
      </c>
      <c r="I270" s="7">
        <v>599</v>
      </c>
      <c r="J270" s="7">
        <v>2396</v>
      </c>
      <c r="K270" s="7">
        <v>1891.1358</v>
      </c>
      <c r="L270" s="7">
        <v>504.86419999999998</v>
      </c>
      <c r="M270" s="8">
        <v>0.2107</v>
      </c>
      <c r="N270" s="5">
        <v>2</v>
      </c>
      <c r="O270" s="5">
        <v>2</v>
      </c>
    </row>
    <row r="271" spans="2:15" s="1" customFormat="1" ht="13.5">
      <c r="B271" s="4" t="s">
        <v>124</v>
      </c>
      <c r="C271" s="4" t="s">
        <v>125</v>
      </c>
      <c r="D271" s="4" t="s">
        <v>434</v>
      </c>
      <c r="E271" s="4" t="s">
        <v>31</v>
      </c>
      <c r="F271" s="4" t="s">
        <v>126</v>
      </c>
      <c r="G271" s="4">
        <v>101010171</v>
      </c>
      <c r="H271" s="5">
        <v>91</v>
      </c>
      <c r="I271" s="7">
        <v>18.07</v>
      </c>
      <c r="J271" s="7">
        <v>1644</v>
      </c>
      <c r="K271" s="7">
        <v>1589.4485</v>
      </c>
      <c r="L271" s="7">
        <v>54.551499999999997</v>
      </c>
      <c r="M271" s="8">
        <v>3.3099999999999997E-2</v>
      </c>
      <c r="N271" s="5">
        <v>27</v>
      </c>
      <c r="O271" s="5">
        <v>11</v>
      </c>
    </row>
    <row r="272" spans="2:15" s="1" customFormat="1" ht="13.5">
      <c r="B272" s="4" t="s">
        <v>124</v>
      </c>
      <c r="C272" s="4" t="s">
        <v>125</v>
      </c>
      <c r="D272" s="4" t="s">
        <v>435</v>
      </c>
      <c r="E272" s="4" t="s">
        <v>215</v>
      </c>
      <c r="F272" s="4" t="s">
        <v>126</v>
      </c>
      <c r="G272" s="4">
        <v>101010523</v>
      </c>
      <c r="H272" s="5">
        <v>413</v>
      </c>
      <c r="I272" s="7">
        <v>3.97</v>
      </c>
      <c r="J272" s="7">
        <v>1641.5</v>
      </c>
      <c r="K272" s="7">
        <v>0</v>
      </c>
      <c r="L272" s="7">
        <v>1641.5</v>
      </c>
      <c r="M272" s="8">
        <v>1</v>
      </c>
      <c r="N272" s="5">
        <v>242</v>
      </c>
      <c r="O272" s="5">
        <v>59</v>
      </c>
    </row>
    <row r="273" spans="2:15" s="1" customFormat="1" ht="13.5">
      <c r="B273" s="4" t="s">
        <v>124</v>
      </c>
      <c r="C273" s="4" t="s">
        <v>125</v>
      </c>
      <c r="D273" s="4" t="s">
        <v>436</v>
      </c>
      <c r="E273" s="4" t="s">
        <v>31</v>
      </c>
      <c r="F273" s="4" t="s">
        <v>126</v>
      </c>
      <c r="G273" s="4">
        <v>101010535</v>
      </c>
      <c r="H273" s="5">
        <v>21</v>
      </c>
      <c r="I273" s="7">
        <v>76.709999999999994</v>
      </c>
      <c r="J273" s="7">
        <v>1611</v>
      </c>
      <c r="K273" s="7">
        <v>1982.5936999999999</v>
      </c>
      <c r="L273" s="7">
        <v>-371.59370000000001</v>
      </c>
      <c r="M273" s="8">
        <v>-0.2306</v>
      </c>
      <c r="N273" s="5">
        <v>9</v>
      </c>
      <c r="O273" s="5">
        <v>5</v>
      </c>
    </row>
    <row r="274" spans="2:15" s="1" customFormat="1" ht="13.5">
      <c r="B274" s="4" t="s">
        <v>124</v>
      </c>
      <c r="C274" s="4" t="s">
        <v>125</v>
      </c>
      <c r="D274" s="4" t="s">
        <v>437</v>
      </c>
      <c r="E274" s="4" t="s">
        <v>31</v>
      </c>
      <c r="F274" s="4" t="s">
        <v>126</v>
      </c>
      <c r="G274" s="4">
        <v>101010194</v>
      </c>
      <c r="H274" s="5">
        <v>14</v>
      </c>
      <c r="I274" s="7">
        <v>99</v>
      </c>
      <c r="J274" s="7">
        <v>1386</v>
      </c>
      <c r="K274" s="7">
        <v>488.20639999999997</v>
      </c>
      <c r="L274" s="7">
        <v>897.79359999999997</v>
      </c>
      <c r="M274" s="8">
        <v>0.64770000000000005</v>
      </c>
      <c r="N274" s="5">
        <v>9</v>
      </c>
      <c r="O274" s="5">
        <v>5</v>
      </c>
    </row>
    <row r="275" spans="2:15" s="1" customFormat="1" ht="13.5">
      <c r="B275" s="4" t="s">
        <v>124</v>
      </c>
      <c r="C275" s="4" t="s">
        <v>125</v>
      </c>
      <c r="D275" s="4" t="s">
        <v>438</v>
      </c>
      <c r="E275" s="4" t="s">
        <v>31</v>
      </c>
      <c r="F275" s="4" t="s">
        <v>126</v>
      </c>
      <c r="G275" s="4">
        <v>101010151</v>
      </c>
      <c r="H275" s="5">
        <v>22</v>
      </c>
      <c r="I275" s="7">
        <v>52.27</v>
      </c>
      <c r="J275" s="7">
        <v>1150</v>
      </c>
      <c r="K275" s="7">
        <v>1114.6255000000001</v>
      </c>
      <c r="L275" s="7">
        <v>35.374499999999998</v>
      </c>
      <c r="M275" s="8">
        <v>3.0700000000000002E-2</v>
      </c>
      <c r="N275" s="5">
        <v>7</v>
      </c>
      <c r="O275" s="5">
        <v>5</v>
      </c>
    </row>
    <row r="276" spans="2:15" s="1" customFormat="1" ht="13.5">
      <c r="B276" s="4" t="s">
        <v>124</v>
      </c>
      <c r="C276" s="4" t="s">
        <v>125</v>
      </c>
      <c r="D276" s="4" t="s">
        <v>439</v>
      </c>
      <c r="E276" s="4" t="s">
        <v>31</v>
      </c>
      <c r="F276" s="4" t="s">
        <v>126</v>
      </c>
      <c r="G276" s="4">
        <v>101010525</v>
      </c>
      <c r="H276" s="5">
        <v>19</v>
      </c>
      <c r="I276" s="7">
        <v>50</v>
      </c>
      <c r="J276" s="7">
        <v>950</v>
      </c>
      <c r="K276" s="7">
        <v>0</v>
      </c>
      <c r="L276" s="7">
        <v>950</v>
      </c>
      <c r="M276" s="8">
        <v>1</v>
      </c>
      <c r="N276" s="5">
        <v>9</v>
      </c>
      <c r="O276" s="5">
        <v>6</v>
      </c>
    </row>
    <row r="277" spans="2:15" s="1" customFormat="1" ht="13.5">
      <c r="B277" s="4" t="s">
        <v>124</v>
      </c>
      <c r="C277" s="4" t="s">
        <v>125</v>
      </c>
      <c r="D277" s="4" t="s">
        <v>440</v>
      </c>
      <c r="E277" s="4" t="s">
        <v>31</v>
      </c>
      <c r="F277" s="4" t="s">
        <v>126</v>
      </c>
      <c r="G277" s="4">
        <v>101010196</v>
      </c>
      <c r="H277" s="5">
        <v>4</v>
      </c>
      <c r="I277" s="7">
        <v>229</v>
      </c>
      <c r="J277" s="7">
        <v>916</v>
      </c>
      <c r="K277" s="7">
        <v>326.00009999999997</v>
      </c>
      <c r="L277" s="7">
        <v>589.99990000000003</v>
      </c>
      <c r="M277" s="8">
        <v>0.64410000000000001</v>
      </c>
      <c r="N277" s="5">
        <v>3</v>
      </c>
      <c r="O277" s="5">
        <v>3</v>
      </c>
    </row>
    <row r="278" spans="2:15" s="1" customFormat="1" ht="13.5">
      <c r="B278" s="4" t="s">
        <v>124</v>
      </c>
      <c r="C278" s="4" t="s">
        <v>125</v>
      </c>
      <c r="D278" s="4" t="s">
        <v>441</v>
      </c>
      <c r="E278" s="4" t="s">
        <v>442</v>
      </c>
      <c r="F278" s="4" t="s">
        <v>126</v>
      </c>
      <c r="G278" s="4">
        <v>101010175</v>
      </c>
      <c r="H278" s="5">
        <v>6</v>
      </c>
      <c r="I278" s="7">
        <v>129.16999999999999</v>
      </c>
      <c r="J278" s="7">
        <v>775</v>
      </c>
      <c r="K278" s="7">
        <v>358.97320000000002</v>
      </c>
      <c r="L278" s="7">
        <v>416.02679999999998</v>
      </c>
      <c r="M278" s="8">
        <v>0.53680000000000005</v>
      </c>
      <c r="N278" s="5">
        <v>6</v>
      </c>
      <c r="O278" s="5">
        <v>5</v>
      </c>
    </row>
    <row r="279" spans="2:15" s="1" customFormat="1" ht="13.5">
      <c r="B279" s="4" t="s">
        <v>124</v>
      </c>
      <c r="C279" s="4" t="s">
        <v>125</v>
      </c>
      <c r="D279" s="4" t="s">
        <v>443</v>
      </c>
      <c r="E279" s="4" t="s">
        <v>31</v>
      </c>
      <c r="F279" s="4" t="s">
        <v>126</v>
      </c>
      <c r="G279" s="4">
        <v>101010176</v>
      </c>
      <c r="H279" s="5">
        <v>12</v>
      </c>
      <c r="I279" s="7">
        <v>45</v>
      </c>
      <c r="J279" s="7">
        <v>540</v>
      </c>
      <c r="K279" s="7">
        <v>310.66669999999999</v>
      </c>
      <c r="L279" s="7">
        <v>229.33330000000001</v>
      </c>
      <c r="M279" s="8">
        <v>0.42459999999999998</v>
      </c>
      <c r="N279" s="5">
        <v>2</v>
      </c>
      <c r="O279" s="5">
        <v>1</v>
      </c>
    </row>
    <row r="280" spans="2:15" s="1" customFormat="1" ht="13.5">
      <c r="B280" s="4" t="s">
        <v>124</v>
      </c>
      <c r="C280" s="4" t="s">
        <v>125</v>
      </c>
      <c r="D280" s="4" t="s">
        <v>444</v>
      </c>
      <c r="E280" s="4" t="s">
        <v>445</v>
      </c>
      <c r="F280" s="4" t="s">
        <v>126</v>
      </c>
      <c r="G280" s="4">
        <v>101010135</v>
      </c>
      <c r="H280" s="5">
        <v>2</v>
      </c>
      <c r="I280" s="7">
        <v>238</v>
      </c>
      <c r="J280" s="7">
        <v>476</v>
      </c>
      <c r="K280" s="7">
        <v>457.30630000000002</v>
      </c>
      <c r="L280" s="7">
        <v>18.6937</v>
      </c>
      <c r="M280" s="8">
        <v>3.9199999999999999E-2</v>
      </c>
      <c r="N280" s="5">
        <v>1</v>
      </c>
      <c r="O280" s="5">
        <v>1</v>
      </c>
    </row>
    <row r="281" spans="2:15" s="1" customFormat="1" ht="13.5">
      <c r="B281" s="4" t="s">
        <v>124</v>
      </c>
      <c r="C281" s="4" t="s">
        <v>125</v>
      </c>
      <c r="D281" s="4" t="s">
        <v>446</v>
      </c>
      <c r="E281" s="4" t="s">
        <v>176</v>
      </c>
      <c r="F281" s="4" t="s">
        <v>126</v>
      </c>
      <c r="G281" s="4">
        <v>101010172</v>
      </c>
      <c r="H281" s="5">
        <v>6</v>
      </c>
      <c r="I281" s="7">
        <v>45</v>
      </c>
      <c r="J281" s="7">
        <v>270</v>
      </c>
      <c r="K281" s="7">
        <v>156</v>
      </c>
      <c r="L281" s="7">
        <v>114</v>
      </c>
      <c r="M281" s="8">
        <v>0.42220000000000002</v>
      </c>
      <c r="N281" s="5">
        <v>4</v>
      </c>
      <c r="O281" s="5">
        <v>2</v>
      </c>
    </row>
    <row r="282" spans="2:15" s="1" customFormat="1" ht="13.5">
      <c r="B282" s="4" t="s">
        <v>124</v>
      </c>
      <c r="C282" s="4" t="s">
        <v>125</v>
      </c>
      <c r="D282" s="4" t="s">
        <v>447</v>
      </c>
      <c r="E282" s="4" t="s">
        <v>31</v>
      </c>
      <c r="F282" s="4" t="s">
        <v>126</v>
      </c>
      <c r="G282" s="4">
        <v>101010150</v>
      </c>
      <c r="H282" s="5">
        <v>6</v>
      </c>
      <c r="I282" s="7">
        <v>34.17</v>
      </c>
      <c r="J282" s="7">
        <v>205</v>
      </c>
      <c r="K282" s="7">
        <v>169.8</v>
      </c>
      <c r="L282" s="7">
        <v>35.200000000000003</v>
      </c>
      <c r="M282" s="8">
        <v>0.17169999999999999</v>
      </c>
      <c r="N282" s="5">
        <v>2</v>
      </c>
      <c r="O282" s="5">
        <v>1</v>
      </c>
    </row>
    <row r="283" spans="2:15" s="1" customFormat="1" ht="13.5">
      <c r="B283" s="4" t="s">
        <v>124</v>
      </c>
      <c r="C283" s="4" t="s">
        <v>125</v>
      </c>
      <c r="D283" s="4" t="s">
        <v>448</v>
      </c>
      <c r="E283" s="4" t="s">
        <v>449</v>
      </c>
      <c r="F283" s="4" t="s">
        <v>126</v>
      </c>
      <c r="G283" s="4">
        <v>101010149</v>
      </c>
      <c r="H283" s="5">
        <v>4</v>
      </c>
      <c r="I283" s="7">
        <v>35</v>
      </c>
      <c r="J283" s="7">
        <v>140</v>
      </c>
      <c r="K283" s="7">
        <v>100</v>
      </c>
      <c r="L283" s="7">
        <v>40</v>
      </c>
      <c r="M283" s="8">
        <v>0.28570000000000001</v>
      </c>
      <c r="N283" s="5">
        <v>1</v>
      </c>
      <c r="O283" s="5">
        <v>1</v>
      </c>
    </row>
    <row r="284" spans="2:15" s="1" customFormat="1" ht="13.5">
      <c r="B284" s="4" t="s">
        <v>124</v>
      </c>
      <c r="C284" s="4" t="s">
        <v>125</v>
      </c>
      <c r="D284" s="4" t="s">
        <v>450</v>
      </c>
      <c r="E284" s="4" t="s">
        <v>31</v>
      </c>
      <c r="F284" s="4" t="s">
        <v>126</v>
      </c>
      <c r="G284" s="4">
        <v>101010174</v>
      </c>
      <c r="H284" s="5">
        <v>0</v>
      </c>
      <c r="I284" s="7">
        <v>0</v>
      </c>
      <c r="J284" s="7">
        <v>0</v>
      </c>
      <c r="K284" s="7">
        <v>0</v>
      </c>
      <c r="L284" s="7">
        <v>0</v>
      </c>
      <c r="M284" s="8">
        <v>0</v>
      </c>
      <c r="N284" s="5">
        <v>1</v>
      </c>
      <c r="O284" s="5">
        <v>1</v>
      </c>
    </row>
    <row r="285" spans="2:15" s="1" customFormat="1" ht="409.6" hidden="1" customHeight="1"/>
    <row r="286" spans="2:15" s="1" customFormat="1" ht="5.0999999999999996" customHeight="1"/>
  </sheetData>
  <autoFilter ref="B2:O284" xr:uid="{00000000-0009-0000-0000-000001000000}">
    <sortState ref="B3:O284">
      <sortCondition descending="1" ref="J2"/>
    </sortState>
  </autoFilter>
  <phoneticPr fontId="35" type="noConversion"/>
  <pageMargins left="0.75" right="0.75" top="1" bottom="1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31"/>
  <sheetViews>
    <sheetView topLeftCell="A2" zoomScaleSheetLayoutView="100" workbookViewId="0">
      <selection activeCell="H3" sqref="H3"/>
    </sheetView>
  </sheetViews>
  <sheetFormatPr defaultRowHeight="13.5"/>
  <cols>
    <col min="1" max="1" width="0.125" style="1" customWidth="1"/>
    <col min="2" max="2" width="14.375" style="1" customWidth="1"/>
    <col min="3" max="3" width="22.5" style="1" customWidth="1"/>
    <col min="4" max="4" width="42.375" style="1" customWidth="1"/>
    <col min="5" max="5" width="13.5" style="1" customWidth="1"/>
    <col min="6" max="6" width="10.25" style="1" customWidth="1"/>
    <col min="7" max="9" width="13.5" style="1" customWidth="1"/>
    <col min="10" max="10" width="22" style="1" customWidth="1"/>
    <col min="11" max="13" width="13.5" style="1" customWidth="1"/>
    <col min="14" max="14" width="15.625" style="1" customWidth="1"/>
    <col min="15" max="15" width="15.5" style="1" customWidth="1"/>
    <col min="16" max="16384" width="9" style="1"/>
  </cols>
  <sheetData>
    <row r="1" spans="2:15" ht="0.4" customHeight="1"/>
    <row r="2" spans="2:15" ht="16.5">
      <c r="B2" s="2" t="s">
        <v>112</v>
      </c>
      <c r="C2" s="2" t="s">
        <v>113</v>
      </c>
      <c r="D2" s="2" t="s">
        <v>5</v>
      </c>
      <c r="E2" s="2" t="s">
        <v>6</v>
      </c>
      <c r="F2" s="2" t="s">
        <v>114</v>
      </c>
      <c r="G2" s="2" t="s">
        <v>4</v>
      </c>
      <c r="H2" s="2" t="s">
        <v>115</v>
      </c>
      <c r="I2" s="2" t="s">
        <v>116</v>
      </c>
      <c r="J2" s="2" t="s">
        <v>117</v>
      </c>
      <c r="K2" s="2" t="s">
        <v>118</v>
      </c>
      <c r="L2" s="2" t="s">
        <v>119</v>
      </c>
      <c r="M2" s="2" t="s">
        <v>120</v>
      </c>
      <c r="N2" s="2" t="s">
        <v>121</v>
      </c>
      <c r="O2" s="2" t="s">
        <v>122</v>
      </c>
    </row>
    <row r="3" spans="2:15">
      <c r="B3" s="3" t="s">
        <v>123</v>
      </c>
      <c r="C3" s="3" t="s">
        <v>123</v>
      </c>
      <c r="D3" s="3" t="s">
        <v>123</v>
      </c>
      <c r="E3" s="3" t="s">
        <v>123</v>
      </c>
      <c r="F3" s="3" t="s">
        <v>123</v>
      </c>
      <c r="G3" s="3" t="s">
        <v>123</v>
      </c>
      <c r="H3" s="3">
        <v>507761</v>
      </c>
      <c r="I3" s="6">
        <v>222.73173355137001</v>
      </c>
      <c r="J3" s="6">
        <v>113094487.76000001</v>
      </c>
      <c r="K3" s="6">
        <v>95648859.595599994</v>
      </c>
      <c r="L3" s="6">
        <v>17445628.1644</v>
      </c>
      <c r="M3" s="3" t="s">
        <v>123</v>
      </c>
      <c r="N3" s="3" t="s">
        <v>123</v>
      </c>
      <c r="O3" s="3">
        <v>11114</v>
      </c>
    </row>
    <row r="4" spans="2:15">
      <c r="B4" s="4" t="s">
        <v>124</v>
      </c>
      <c r="C4" s="4" t="s">
        <v>127</v>
      </c>
      <c r="D4" s="4" t="s">
        <v>128</v>
      </c>
      <c r="E4" s="4" t="s">
        <v>31</v>
      </c>
      <c r="F4" s="4" t="s">
        <v>126</v>
      </c>
      <c r="G4" s="4">
        <v>101010185</v>
      </c>
      <c r="H4" s="5">
        <v>17566</v>
      </c>
      <c r="I4" s="7">
        <v>1487.71</v>
      </c>
      <c r="J4" s="7">
        <v>26133088</v>
      </c>
      <c r="K4" s="7">
        <v>24438513.711100001</v>
      </c>
      <c r="L4" s="7">
        <v>1694574.2889</v>
      </c>
      <c r="M4" s="8">
        <v>6.4799999999999996E-2</v>
      </c>
      <c r="N4" s="5">
        <v>4039</v>
      </c>
      <c r="O4" s="5">
        <v>69</v>
      </c>
    </row>
    <row r="5" spans="2:15">
      <c r="B5" s="4" t="s">
        <v>124</v>
      </c>
      <c r="C5" s="4" t="s">
        <v>125</v>
      </c>
      <c r="D5" s="4" t="s">
        <v>84</v>
      </c>
      <c r="E5" s="4" t="s">
        <v>31</v>
      </c>
      <c r="F5" s="4" t="s">
        <v>126</v>
      </c>
      <c r="G5" s="4">
        <v>101010001</v>
      </c>
      <c r="H5" s="5">
        <v>10465</v>
      </c>
      <c r="I5" s="7">
        <v>920.84</v>
      </c>
      <c r="J5" s="7">
        <v>9636620</v>
      </c>
      <c r="K5" s="7">
        <v>8425480.9345999993</v>
      </c>
      <c r="L5" s="7">
        <v>1211139.0654</v>
      </c>
      <c r="M5" s="8">
        <v>0.12559999999999999</v>
      </c>
      <c r="N5" s="5">
        <v>3262</v>
      </c>
      <c r="O5" s="5">
        <v>81</v>
      </c>
    </row>
    <row r="6" spans="2:15">
      <c r="B6" s="4" t="s">
        <v>124</v>
      </c>
      <c r="C6" s="4" t="s">
        <v>125</v>
      </c>
      <c r="D6" s="4" t="s">
        <v>33</v>
      </c>
      <c r="E6" s="4" t="s">
        <v>31</v>
      </c>
      <c r="F6" s="4" t="s">
        <v>126</v>
      </c>
      <c r="G6" s="4">
        <v>101010099</v>
      </c>
      <c r="H6" s="5">
        <v>6344</v>
      </c>
      <c r="I6" s="7">
        <v>824.19</v>
      </c>
      <c r="J6" s="7">
        <v>5228661</v>
      </c>
      <c r="K6" s="7">
        <v>4639409.3117000004</v>
      </c>
      <c r="L6" s="7">
        <v>589251.68830000004</v>
      </c>
      <c r="M6" s="8">
        <v>0.11260000000000001</v>
      </c>
      <c r="N6" s="5">
        <v>1714</v>
      </c>
      <c r="O6" s="5">
        <v>79</v>
      </c>
    </row>
    <row r="7" spans="2:15">
      <c r="B7" s="4" t="s">
        <v>124</v>
      </c>
      <c r="C7" s="4" t="s">
        <v>125</v>
      </c>
      <c r="D7" s="4" t="s">
        <v>224</v>
      </c>
      <c r="E7" s="4" t="s">
        <v>225</v>
      </c>
      <c r="F7" s="4" t="s">
        <v>126</v>
      </c>
      <c r="G7" s="4">
        <v>101010282</v>
      </c>
      <c r="H7" s="5">
        <v>42416</v>
      </c>
      <c r="I7" s="7">
        <v>104.26</v>
      </c>
      <c r="J7" s="7">
        <v>4422122</v>
      </c>
      <c r="K7" s="7">
        <v>3807479.9435000001</v>
      </c>
      <c r="L7" s="7">
        <v>614642.05649999995</v>
      </c>
      <c r="M7" s="8">
        <v>0.1389</v>
      </c>
      <c r="N7" s="5">
        <v>14594</v>
      </c>
      <c r="O7" s="5">
        <v>84</v>
      </c>
    </row>
    <row r="8" spans="2:15">
      <c r="B8" s="4" t="s">
        <v>124</v>
      </c>
      <c r="C8" s="4" t="s">
        <v>125</v>
      </c>
      <c r="D8" s="4" t="s">
        <v>451</v>
      </c>
      <c r="E8" s="4" t="s">
        <v>225</v>
      </c>
      <c r="F8" s="4" t="s">
        <v>126</v>
      </c>
      <c r="G8" s="4">
        <v>101010277</v>
      </c>
      <c r="H8" s="5">
        <v>36043</v>
      </c>
      <c r="I8" s="7">
        <v>97.14</v>
      </c>
      <c r="J8" s="7">
        <v>3501051</v>
      </c>
      <c r="K8" s="7">
        <v>3125683.7324000001</v>
      </c>
      <c r="L8" s="7">
        <v>375367.26760000002</v>
      </c>
      <c r="M8" s="8">
        <v>0.1072</v>
      </c>
      <c r="N8" s="5">
        <v>12034</v>
      </c>
      <c r="O8" s="5">
        <v>84</v>
      </c>
    </row>
    <row r="9" spans="2:15">
      <c r="B9" s="4" t="s">
        <v>124</v>
      </c>
      <c r="C9" s="4" t="s">
        <v>125</v>
      </c>
      <c r="D9" s="4" t="s">
        <v>129</v>
      </c>
      <c r="E9" s="4" t="s">
        <v>31</v>
      </c>
      <c r="F9" s="4" t="s">
        <v>126</v>
      </c>
      <c r="G9" s="4">
        <v>101010139</v>
      </c>
      <c r="H9" s="5">
        <v>3675</v>
      </c>
      <c r="I9" s="7">
        <v>918.27</v>
      </c>
      <c r="J9" s="7">
        <v>3374659.02</v>
      </c>
      <c r="K9" s="7">
        <v>2917462.6775000002</v>
      </c>
      <c r="L9" s="7">
        <v>457196.34250000003</v>
      </c>
      <c r="M9" s="8">
        <v>0.13539999999999999</v>
      </c>
      <c r="N9" s="5">
        <v>1245</v>
      </c>
      <c r="O9" s="5">
        <v>78</v>
      </c>
    </row>
    <row r="10" spans="2:15">
      <c r="B10" s="4" t="s">
        <v>124</v>
      </c>
      <c r="C10" s="4" t="s">
        <v>125</v>
      </c>
      <c r="D10" s="4" t="s">
        <v>83</v>
      </c>
      <c r="E10" s="4" t="s">
        <v>31</v>
      </c>
      <c r="F10" s="4" t="s">
        <v>126</v>
      </c>
      <c r="G10" s="4">
        <v>101010002</v>
      </c>
      <c r="H10" s="5">
        <v>8040</v>
      </c>
      <c r="I10" s="7">
        <v>405.69</v>
      </c>
      <c r="J10" s="7">
        <v>3261717</v>
      </c>
      <c r="K10" s="7">
        <v>2752154.2988999998</v>
      </c>
      <c r="L10" s="7">
        <v>509562.70110000001</v>
      </c>
      <c r="M10" s="8">
        <v>0.15620000000000001</v>
      </c>
      <c r="N10" s="5">
        <v>3024</v>
      </c>
      <c r="O10" s="5">
        <v>81</v>
      </c>
    </row>
    <row r="11" spans="2:15">
      <c r="B11" s="4" t="s">
        <v>124</v>
      </c>
      <c r="C11" s="4" t="s">
        <v>147</v>
      </c>
      <c r="D11" s="4" t="s">
        <v>318</v>
      </c>
      <c r="E11" s="4" t="s">
        <v>31</v>
      </c>
      <c r="F11" s="4" t="s">
        <v>126</v>
      </c>
      <c r="G11" s="4">
        <v>101010281</v>
      </c>
      <c r="H11" s="5">
        <v>7499</v>
      </c>
      <c r="I11" s="7">
        <v>389.57</v>
      </c>
      <c r="J11" s="7">
        <v>2921388</v>
      </c>
      <c r="K11" s="7">
        <v>2362765.6663000002</v>
      </c>
      <c r="L11" s="7">
        <v>558622.33369999996</v>
      </c>
      <c r="M11" s="8">
        <v>0.19120000000000001</v>
      </c>
      <c r="N11" s="5">
        <v>2313</v>
      </c>
      <c r="O11" s="5">
        <v>78</v>
      </c>
    </row>
    <row r="12" spans="2:15">
      <c r="B12" s="4" t="s">
        <v>124</v>
      </c>
      <c r="C12" s="4" t="s">
        <v>147</v>
      </c>
      <c r="D12" s="4" t="s">
        <v>452</v>
      </c>
      <c r="E12" s="4" t="s">
        <v>31</v>
      </c>
      <c r="F12" s="4" t="s">
        <v>126</v>
      </c>
      <c r="G12" s="4">
        <v>101010278</v>
      </c>
      <c r="H12" s="5">
        <v>11702</v>
      </c>
      <c r="I12" s="7">
        <v>176.32</v>
      </c>
      <c r="J12" s="7">
        <v>2063246.8</v>
      </c>
      <c r="K12" s="7">
        <v>1847811.0284</v>
      </c>
      <c r="L12" s="7">
        <v>215435.77160000001</v>
      </c>
      <c r="M12" s="8">
        <v>0.10440000000000001</v>
      </c>
      <c r="N12" s="5">
        <v>4095</v>
      </c>
      <c r="O12" s="5">
        <v>79</v>
      </c>
    </row>
    <row r="13" spans="2:15">
      <c r="B13" s="4" t="s">
        <v>124</v>
      </c>
      <c r="C13" s="4" t="s">
        <v>147</v>
      </c>
      <c r="D13" s="4" t="s">
        <v>170</v>
      </c>
      <c r="E13" s="4" t="s">
        <v>31</v>
      </c>
      <c r="F13" s="4" t="s">
        <v>126</v>
      </c>
      <c r="G13" s="4">
        <v>101010192</v>
      </c>
      <c r="H13" s="5">
        <v>4773</v>
      </c>
      <c r="I13" s="7">
        <v>414.55</v>
      </c>
      <c r="J13" s="7">
        <v>1978671</v>
      </c>
      <c r="K13" s="7">
        <v>1656455.3629999999</v>
      </c>
      <c r="L13" s="7">
        <v>322215.63699999999</v>
      </c>
      <c r="M13" s="8">
        <v>0.1628</v>
      </c>
      <c r="N13" s="5">
        <v>1598</v>
      </c>
      <c r="O13" s="5">
        <v>80</v>
      </c>
    </row>
    <row r="14" spans="2:15">
      <c r="B14" s="4" t="s">
        <v>124</v>
      </c>
      <c r="C14" s="4" t="s">
        <v>127</v>
      </c>
      <c r="D14" s="4" t="s">
        <v>135</v>
      </c>
      <c r="E14" s="4" t="s">
        <v>31</v>
      </c>
      <c r="F14" s="4" t="s">
        <v>126</v>
      </c>
      <c r="G14" s="4">
        <v>101010290</v>
      </c>
      <c r="H14" s="5">
        <v>2021</v>
      </c>
      <c r="I14" s="7">
        <v>939.09</v>
      </c>
      <c r="J14" s="7">
        <v>1897902</v>
      </c>
      <c r="K14" s="7">
        <v>1368711.4077000001</v>
      </c>
      <c r="L14" s="7">
        <v>529190.59230000002</v>
      </c>
      <c r="M14" s="8">
        <v>0.27879999999999999</v>
      </c>
      <c r="N14" s="5">
        <v>896</v>
      </c>
      <c r="O14" s="5">
        <v>72</v>
      </c>
    </row>
    <row r="15" spans="2:15">
      <c r="B15" s="4" t="s">
        <v>124</v>
      </c>
      <c r="C15" s="4" t="s">
        <v>127</v>
      </c>
      <c r="D15" s="4" t="s">
        <v>453</v>
      </c>
      <c r="E15" s="4" t="s">
        <v>454</v>
      </c>
      <c r="F15" s="4" t="s">
        <v>126</v>
      </c>
      <c r="G15" s="4">
        <v>101020029</v>
      </c>
      <c r="H15" s="5">
        <v>480</v>
      </c>
      <c r="I15" s="7">
        <v>3950.84</v>
      </c>
      <c r="J15" s="7">
        <v>1896404</v>
      </c>
      <c r="K15" s="7">
        <v>1754282.3940999999</v>
      </c>
      <c r="L15" s="7">
        <v>142121.6059</v>
      </c>
      <c r="M15" s="8">
        <v>7.4899999999999994E-2</v>
      </c>
      <c r="N15" s="5">
        <v>292</v>
      </c>
      <c r="O15" s="5">
        <v>51</v>
      </c>
    </row>
    <row r="16" spans="2:15">
      <c r="B16" s="4" t="s">
        <v>124</v>
      </c>
      <c r="C16" s="4" t="s">
        <v>125</v>
      </c>
      <c r="D16" s="4" t="s">
        <v>140</v>
      </c>
      <c r="E16" s="4" t="s">
        <v>31</v>
      </c>
      <c r="F16" s="4" t="s">
        <v>126</v>
      </c>
      <c r="G16" s="4">
        <v>101010006</v>
      </c>
      <c r="H16" s="5">
        <v>3619</v>
      </c>
      <c r="I16" s="7">
        <v>486.66</v>
      </c>
      <c r="J16" s="7">
        <v>1761237</v>
      </c>
      <c r="K16" s="7">
        <v>1487434.4746000001</v>
      </c>
      <c r="L16" s="7">
        <v>273802.52539999998</v>
      </c>
      <c r="M16" s="8">
        <v>0.15540000000000001</v>
      </c>
      <c r="N16" s="5">
        <v>1536</v>
      </c>
      <c r="O16" s="5">
        <v>82</v>
      </c>
    </row>
    <row r="17" spans="2:15">
      <c r="B17" s="4" t="s">
        <v>124</v>
      </c>
      <c r="C17" s="4" t="s">
        <v>127</v>
      </c>
      <c r="D17" s="4" t="s">
        <v>168</v>
      </c>
      <c r="E17" s="4" t="s">
        <v>169</v>
      </c>
      <c r="F17" s="4" t="s">
        <v>126</v>
      </c>
      <c r="G17" s="4">
        <v>101020107</v>
      </c>
      <c r="H17" s="5">
        <v>1033</v>
      </c>
      <c r="I17" s="7">
        <v>1495.65</v>
      </c>
      <c r="J17" s="7">
        <v>1545002</v>
      </c>
      <c r="K17" s="7">
        <v>1446308.2257000001</v>
      </c>
      <c r="L17" s="7">
        <v>98693.774300000005</v>
      </c>
      <c r="M17" s="8">
        <v>6.3799999999999996E-2</v>
      </c>
      <c r="N17" s="5">
        <v>385</v>
      </c>
      <c r="O17" s="5">
        <v>61</v>
      </c>
    </row>
    <row r="18" spans="2:15">
      <c r="B18" s="4" t="s">
        <v>124</v>
      </c>
      <c r="C18" s="4" t="s">
        <v>125</v>
      </c>
      <c r="D18" s="4" t="s">
        <v>455</v>
      </c>
      <c r="E18" s="4" t="s">
        <v>86</v>
      </c>
      <c r="F18" s="4" t="s">
        <v>126</v>
      </c>
      <c r="G18" s="4">
        <v>101010256</v>
      </c>
      <c r="H18" s="5">
        <v>4812</v>
      </c>
      <c r="I18" s="7">
        <v>315.38</v>
      </c>
      <c r="J18" s="7">
        <v>1517617</v>
      </c>
      <c r="K18" s="7">
        <v>1308859.0856000001</v>
      </c>
      <c r="L18" s="7">
        <v>208757.91440000001</v>
      </c>
      <c r="M18" s="8">
        <v>0.13750000000000001</v>
      </c>
      <c r="N18" s="5">
        <v>2029</v>
      </c>
      <c r="O18" s="5">
        <v>79</v>
      </c>
    </row>
    <row r="19" spans="2:15">
      <c r="B19" s="4" t="s">
        <v>124</v>
      </c>
      <c r="C19" s="4" t="s">
        <v>127</v>
      </c>
      <c r="D19" s="4" t="s">
        <v>456</v>
      </c>
      <c r="E19" s="4" t="s">
        <v>31</v>
      </c>
      <c r="F19" s="4" t="s">
        <v>126</v>
      </c>
      <c r="G19" s="4">
        <v>101010288</v>
      </c>
      <c r="H19" s="5">
        <v>276</v>
      </c>
      <c r="I19" s="7">
        <v>5178.99</v>
      </c>
      <c r="J19" s="7">
        <v>1429402</v>
      </c>
      <c r="K19" s="7">
        <v>1238709.3914999999</v>
      </c>
      <c r="L19" s="7">
        <v>190692.6085</v>
      </c>
      <c r="M19" s="8">
        <v>0.13339999999999999</v>
      </c>
      <c r="N19" s="5">
        <v>90</v>
      </c>
      <c r="O19" s="5">
        <v>39</v>
      </c>
    </row>
    <row r="20" spans="2:15">
      <c r="B20" s="4" t="s">
        <v>124</v>
      </c>
      <c r="C20" s="4" t="s">
        <v>125</v>
      </c>
      <c r="D20" s="4" t="s">
        <v>108</v>
      </c>
      <c r="E20" s="4" t="s">
        <v>86</v>
      </c>
      <c r="F20" s="4" t="s">
        <v>126</v>
      </c>
      <c r="G20" s="4">
        <v>101010255</v>
      </c>
      <c r="H20" s="5">
        <v>10475</v>
      </c>
      <c r="I20" s="7">
        <v>135.93</v>
      </c>
      <c r="J20" s="7">
        <v>1423883</v>
      </c>
      <c r="K20" s="7">
        <v>1205120.0914</v>
      </c>
      <c r="L20" s="7">
        <v>218762.9086</v>
      </c>
      <c r="M20" s="8">
        <v>0.15359999999999999</v>
      </c>
      <c r="N20" s="5">
        <v>4440</v>
      </c>
      <c r="O20" s="5">
        <v>84</v>
      </c>
    </row>
    <row r="21" spans="2:15">
      <c r="B21" s="4" t="s">
        <v>124</v>
      </c>
      <c r="C21" s="4" t="s">
        <v>147</v>
      </c>
      <c r="D21" s="4" t="s">
        <v>150</v>
      </c>
      <c r="E21" s="4" t="s">
        <v>31</v>
      </c>
      <c r="F21" s="4" t="s">
        <v>126</v>
      </c>
      <c r="G21" s="4">
        <v>101010068</v>
      </c>
      <c r="H21" s="5">
        <v>1947</v>
      </c>
      <c r="I21" s="7">
        <v>626.88</v>
      </c>
      <c r="J21" s="7">
        <v>1220536</v>
      </c>
      <c r="K21" s="7">
        <v>974231.02839999995</v>
      </c>
      <c r="L21" s="7">
        <v>246304.97159999999</v>
      </c>
      <c r="M21" s="8">
        <v>0.20180000000000001</v>
      </c>
      <c r="N21" s="5">
        <v>725</v>
      </c>
      <c r="O21" s="5">
        <v>70</v>
      </c>
    </row>
    <row r="22" spans="2:15">
      <c r="B22" s="4" t="s">
        <v>124</v>
      </c>
      <c r="C22" s="4" t="s">
        <v>147</v>
      </c>
      <c r="D22" s="4" t="s">
        <v>457</v>
      </c>
      <c r="E22" s="4" t="s">
        <v>31</v>
      </c>
      <c r="F22" s="4" t="s">
        <v>126</v>
      </c>
      <c r="G22" s="4">
        <v>101010279</v>
      </c>
      <c r="H22" s="5">
        <v>6818</v>
      </c>
      <c r="I22" s="7">
        <v>175.11</v>
      </c>
      <c r="J22" s="7">
        <v>1193866</v>
      </c>
      <c r="K22" s="7">
        <v>988507.03269999998</v>
      </c>
      <c r="L22" s="7">
        <v>205358.96729999999</v>
      </c>
      <c r="M22" s="8">
        <v>0.17199999999999999</v>
      </c>
      <c r="N22" s="5">
        <v>2791</v>
      </c>
      <c r="O22" s="5">
        <v>82</v>
      </c>
    </row>
    <row r="23" spans="2:15">
      <c r="B23" s="4" t="s">
        <v>124</v>
      </c>
      <c r="C23" s="4" t="s">
        <v>130</v>
      </c>
      <c r="D23" s="4" t="s">
        <v>156</v>
      </c>
      <c r="E23" s="4" t="s">
        <v>157</v>
      </c>
      <c r="F23" s="4" t="s">
        <v>126</v>
      </c>
      <c r="G23" s="4">
        <v>101010119</v>
      </c>
      <c r="H23" s="5">
        <v>2345</v>
      </c>
      <c r="I23" s="7">
        <v>497.81</v>
      </c>
      <c r="J23" s="7">
        <v>1167365</v>
      </c>
      <c r="K23" s="7">
        <v>1021317.5307999999</v>
      </c>
      <c r="L23" s="7">
        <v>146047.46919999999</v>
      </c>
      <c r="M23" s="8">
        <v>0.12509999999999999</v>
      </c>
      <c r="N23" s="5">
        <v>1091</v>
      </c>
      <c r="O23" s="5">
        <v>72</v>
      </c>
    </row>
    <row r="24" spans="2:15">
      <c r="B24" s="4" t="s">
        <v>124</v>
      </c>
      <c r="C24" s="4" t="s">
        <v>127</v>
      </c>
      <c r="D24" s="4" t="s">
        <v>235</v>
      </c>
      <c r="E24" s="4" t="s">
        <v>31</v>
      </c>
      <c r="F24" s="4" t="s">
        <v>137</v>
      </c>
      <c r="G24" s="4">
        <v>101020032</v>
      </c>
      <c r="H24" s="5">
        <v>61</v>
      </c>
      <c r="I24" s="7">
        <v>18425.41</v>
      </c>
      <c r="J24" s="7">
        <v>1123950</v>
      </c>
      <c r="K24" s="7">
        <v>1043679.5168</v>
      </c>
      <c r="L24" s="7">
        <v>80270.483200000002</v>
      </c>
      <c r="M24" s="8">
        <v>7.1400000000000005E-2</v>
      </c>
      <c r="N24" s="5">
        <v>5</v>
      </c>
      <c r="O24" s="5">
        <v>3</v>
      </c>
    </row>
    <row r="25" spans="2:15">
      <c r="B25" s="4" t="s">
        <v>124</v>
      </c>
      <c r="C25" s="4" t="s">
        <v>147</v>
      </c>
      <c r="D25" s="4" t="s">
        <v>458</v>
      </c>
      <c r="E25" s="4" t="s">
        <v>31</v>
      </c>
      <c r="F25" s="4" t="s">
        <v>126</v>
      </c>
      <c r="G25" s="4">
        <v>101010334</v>
      </c>
      <c r="H25" s="5">
        <v>2833</v>
      </c>
      <c r="I25" s="7">
        <v>393.16</v>
      </c>
      <c r="J25" s="7">
        <v>1113826</v>
      </c>
      <c r="K25" s="7">
        <v>886840.48320000002</v>
      </c>
      <c r="L25" s="7">
        <v>226985.51680000001</v>
      </c>
      <c r="M25" s="8">
        <v>0.20369999999999999</v>
      </c>
      <c r="N25" s="5">
        <v>954</v>
      </c>
      <c r="O25" s="5">
        <v>75</v>
      </c>
    </row>
    <row r="26" spans="2:15">
      <c r="B26" s="4" t="s">
        <v>124</v>
      </c>
      <c r="C26" s="4" t="s">
        <v>125</v>
      </c>
      <c r="D26" s="4" t="s">
        <v>30</v>
      </c>
      <c r="E26" s="4" t="s">
        <v>31</v>
      </c>
      <c r="F26" s="4" t="s">
        <v>126</v>
      </c>
      <c r="G26" s="4">
        <v>101010397</v>
      </c>
      <c r="H26" s="5">
        <v>1594</v>
      </c>
      <c r="I26" s="7">
        <v>654.03</v>
      </c>
      <c r="J26" s="7">
        <v>1042526.2</v>
      </c>
      <c r="K26" s="7">
        <v>828698.28009999997</v>
      </c>
      <c r="L26" s="7">
        <v>213827.91990000001</v>
      </c>
      <c r="M26" s="8">
        <v>0.2051</v>
      </c>
      <c r="N26" s="5">
        <v>366</v>
      </c>
      <c r="O26" s="5">
        <v>64</v>
      </c>
    </row>
    <row r="27" spans="2:15">
      <c r="B27" s="4" t="s">
        <v>124</v>
      </c>
      <c r="C27" s="4" t="s">
        <v>127</v>
      </c>
      <c r="D27" s="4" t="s">
        <v>141</v>
      </c>
      <c r="E27" s="4" t="s">
        <v>31</v>
      </c>
      <c r="F27" s="4" t="s">
        <v>126</v>
      </c>
      <c r="G27" s="4">
        <v>101010053</v>
      </c>
      <c r="H27" s="5">
        <v>2714</v>
      </c>
      <c r="I27" s="7">
        <v>355.61</v>
      </c>
      <c r="J27" s="7">
        <v>965126</v>
      </c>
      <c r="K27" s="7">
        <v>704665.77370000002</v>
      </c>
      <c r="L27" s="7">
        <v>260460.22630000001</v>
      </c>
      <c r="M27" s="8">
        <v>0.26979999999999998</v>
      </c>
      <c r="N27" s="5">
        <v>1060</v>
      </c>
      <c r="O27" s="5">
        <v>79</v>
      </c>
    </row>
    <row r="28" spans="2:15">
      <c r="B28" s="4" t="s">
        <v>124</v>
      </c>
      <c r="C28" s="4" t="s">
        <v>127</v>
      </c>
      <c r="D28" s="4" t="s">
        <v>145</v>
      </c>
      <c r="E28" s="4" t="s">
        <v>31</v>
      </c>
      <c r="F28" s="4" t="s">
        <v>126</v>
      </c>
      <c r="G28" s="4">
        <v>101020008</v>
      </c>
      <c r="H28" s="5">
        <v>2644</v>
      </c>
      <c r="I28" s="7">
        <v>360.84</v>
      </c>
      <c r="J28" s="7">
        <v>954062</v>
      </c>
      <c r="K28" s="7">
        <v>730519.9497</v>
      </c>
      <c r="L28" s="7">
        <v>223542.0503</v>
      </c>
      <c r="M28" s="8">
        <v>0.23430000000000001</v>
      </c>
      <c r="N28" s="5">
        <v>1082</v>
      </c>
      <c r="O28" s="5">
        <v>80</v>
      </c>
    </row>
    <row r="29" spans="2:15">
      <c r="B29" s="4" t="s">
        <v>124</v>
      </c>
      <c r="C29" s="4" t="s">
        <v>147</v>
      </c>
      <c r="D29" s="4" t="s">
        <v>459</v>
      </c>
      <c r="E29" s="4" t="s">
        <v>167</v>
      </c>
      <c r="F29" s="4" t="s">
        <v>126</v>
      </c>
      <c r="G29" s="4">
        <v>101010329</v>
      </c>
      <c r="H29" s="5">
        <v>2863</v>
      </c>
      <c r="I29" s="7">
        <v>319.33</v>
      </c>
      <c r="J29" s="7">
        <v>914229</v>
      </c>
      <c r="K29" s="7">
        <v>698516.75760000001</v>
      </c>
      <c r="L29" s="7">
        <v>215712.24239999999</v>
      </c>
      <c r="M29" s="8">
        <v>0.2359</v>
      </c>
      <c r="N29" s="5">
        <v>1072</v>
      </c>
      <c r="O29" s="5">
        <v>72</v>
      </c>
    </row>
    <row r="30" spans="2:15">
      <c r="B30" s="4" t="s">
        <v>124</v>
      </c>
      <c r="C30" s="4" t="s">
        <v>127</v>
      </c>
      <c r="D30" s="4" t="s">
        <v>160</v>
      </c>
      <c r="E30" s="4" t="s">
        <v>31</v>
      </c>
      <c r="F30" s="4" t="s">
        <v>126</v>
      </c>
      <c r="G30" s="4">
        <v>101010140</v>
      </c>
      <c r="H30" s="5">
        <v>1607</v>
      </c>
      <c r="I30" s="7">
        <v>504.88</v>
      </c>
      <c r="J30" s="7">
        <v>811346.2</v>
      </c>
      <c r="K30" s="7">
        <v>607242.88809999998</v>
      </c>
      <c r="L30" s="7">
        <v>204103.3119</v>
      </c>
      <c r="M30" s="8">
        <v>0.2515</v>
      </c>
      <c r="N30" s="5">
        <v>576</v>
      </c>
      <c r="O30" s="5">
        <v>71</v>
      </c>
    </row>
    <row r="31" spans="2:15">
      <c r="B31" s="4" t="s">
        <v>124</v>
      </c>
      <c r="C31" s="4" t="s">
        <v>147</v>
      </c>
      <c r="D31" s="4" t="s">
        <v>460</v>
      </c>
      <c r="E31" s="4" t="s">
        <v>31</v>
      </c>
      <c r="F31" s="4" t="s">
        <v>126</v>
      </c>
      <c r="G31" s="4">
        <v>101010280</v>
      </c>
      <c r="H31" s="5">
        <v>2332</v>
      </c>
      <c r="I31" s="7">
        <v>346.27</v>
      </c>
      <c r="J31" s="7">
        <v>807508</v>
      </c>
      <c r="K31" s="7">
        <v>641258.26359999995</v>
      </c>
      <c r="L31" s="7">
        <v>166249.73639999999</v>
      </c>
      <c r="M31" s="8">
        <v>0.20580000000000001</v>
      </c>
      <c r="N31" s="5">
        <v>833</v>
      </c>
      <c r="O31" s="5">
        <v>72</v>
      </c>
    </row>
    <row r="32" spans="2:15">
      <c r="B32" s="4" t="s">
        <v>124</v>
      </c>
      <c r="C32" s="4" t="s">
        <v>147</v>
      </c>
      <c r="D32" s="4" t="s">
        <v>461</v>
      </c>
      <c r="E32" s="4" t="s">
        <v>167</v>
      </c>
      <c r="F32" s="4" t="s">
        <v>126</v>
      </c>
      <c r="G32" s="4">
        <v>101010333</v>
      </c>
      <c r="H32" s="5">
        <v>2283</v>
      </c>
      <c r="I32" s="7">
        <v>333.88</v>
      </c>
      <c r="J32" s="7">
        <v>762258</v>
      </c>
      <c r="K32" s="7">
        <v>674298.01359999995</v>
      </c>
      <c r="L32" s="7">
        <v>87959.986399999994</v>
      </c>
      <c r="M32" s="8">
        <v>0.1153</v>
      </c>
      <c r="N32" s="5">
        <v>777</v>
      </c>
      <c r="O32" s="5">
        <v>69</v>
      </c>
    </row>
    <row r="33" spans="2:15">
      <c r="B33" s="4" t="s">
        <v>124</v>
      </c>
      <c r="C33" s="4" t="s">
        <v>125</v>
      </c>
      <c r="D33" s="4" t="s">
        <v>37</v>
      </c>
      <c r="E33" s="4" t="s">
        <v>31</v>
      </c>
      <c r="F33" s="4" t="s">
        <v>126</v>
      </c>
      <c r="G33" s="4">
        <v>101010115</v>
      </c>
      <c r="H33" s="5">
        <v>2840</v>
      </c>
      <c r="I33" s="7">
        <v>260.79000000000002</v>
      </c>
      <c r="J33" s="7">
        <v>740654</v>
      </c>
      <c r="K33" s="7">
        <v>554622.31689999998</v>
      </c>
      <c r="L33" s="7">
        <v>186031.68309999999</v>
      </c>
      <c r="M33" s="8">
        <v>0.25109999999999999</v>
      </c>
      <c r="N33" s="5">
        <v>1112</v>
      </c>
      <c r="O33" s="5">
        <v>77</v>
      </c>
    </row>
    <row r="34" spans="2:15">
      <c r="B34" s="4" t="s">
        <v>124</v>
      </c>
      <c r="C34" s="4" t="s">
        <v>127</v>
      </c>
      <c r="D34" s="4" t="s">
        <v>382</v>
      </c>
      <c r="E34" s="4" t="s">
        <v>31</v>
      </c>
      <c r="F34" s="4" t="s">
        <v>126</v>
      </c>
      <c r="G34" s="4">
        <v>101010428</v>
      </c>
      <c r="H34" s="5">
        <v>220</v>
      </c>
      <c r="I34" s="7">
        <v>3348.17</v>
      </c>
      <c r="J34" s="7">
        <v>736598</v>
      </c>
      <c r="K34" s="7">
        <v>615282.05149999994</v>
      </c>
      <c r="L34" s="7">
        <v>121315.9485</v>
      </c>
      <c r="M34" s="8">
        <v>0.1646</v>
      </c>
      <c r="N34" s="5">
        <v>18</v>
      </c>
      <c r="O34" s="5">
        <v>13</v>
      </c>
    </row>
    <row r="35" spans="2:15">
      <c r="B35" s="4" t="s">
        <v>124</v>
      </c>
      <c r="C35" s="4" t="s">
        <v>125</v>
      </c>
      <c r="D35" s="4" t="s">
        <v>462</v>
      </c>
      <c r="E35" s="4" t="s">
        <v>31</v>
      </c>
      <c r="F35" s="4" t="s">
        <v>126</v>
      </c>
      <c r="G35" s="4">
        <v>101010406</v>
      </c>
      <c r="H35" s="5">
        <v>1090</v>
      </c>
      <c r="I35" s="7">
        <v>650.73</v>
      </c>
      <c r="J35" s="7">
        <v>709295</v>
      </c>
      <c r="K35" s="7">
        <v>600379.31319999998</v>
      </c>
      <c r="L35" s="7">
        <v>108915.6868</v>
      </c>
      <c r="M35" s="8">
        <v>0.1535</v>
      </c>
      <c r="N35" s="5">
        <v>454</v>
      </c>
      <c r="O35" s="5">
        <v>65</v>
      </c>
    </row>
    <row r="36" spans="2:15">
      <c r="B36" s="4" t="s">
        <v>124</v>
      </c>
      <c r="C36" s="4" t="s">
        <v>130</v>
      </c>
      <c r="D36" s="4" t="s">
        <v>158</v>
      </c>
      <c r="E36" s="4" t="s">
        <v>159</v>
      </c>
      <c r="F36" s="4" t="s">
        <v>126</v>
      </c>
      <c r="G36" s="4">
        <v>101990008</v>
      </c>
      <c r="H36" s="5">
        <v>2372</v>
      </c>
      <c r="I36" s="7">
        <v>288.69</v>
      </c>
      <c r="J36" s="7">
        <v>684779</v>
      </c>
      <c r="K36" s="7">
        <v>434364.70699999999</v>
      </c>
      <c r="L36" s="7">
        <v>250414.29300000001</v>
      </c>
      <c r="M36" s="8">
        <v>0.36559999999999998</v>
      </c>
      <c r="N36" s="5">
        <v>1340</v>
      </c>
      <c r="O36" s="5">
        <v>77</v>
      </c>
    </row>
    <row r="37" spans="2:15">
      <c r="B37" s="4" t="s">
        <v>124</v>
      </c>
      <c r="C37" s="4" t="s">
        <v>127</v>
      </c>
      <c r="D37" s="4" t="s">
        <v>222</v>
      </c>
      <c r="E37" s="4" t="s">
        <v>31</v>
      </c>
      <c r="F37" s="4" t="s">
        <v>126</v>
      </c>
      <c r="G37" s="4">
        <v>101020041</v>
      </c>
      <c r="H37" s="5">
        <v>222</v>
      </c>
      <c r="I37" s="7">
        <v>3034.2</v>
      </c>
      <c r="J37" s="7">
        <v>673593</v>
      </c>
      <c r="K37" s="7">
        <v>557608.52740000002</v>
      </c>
      <c r="L37" s="7">
        <v>115984.47259999999</v>
      </c>
      <c r="M37" s="8">
        <v>0.1721</v>
      </c>
      <c r="N37" s="5">
        <v>53</v>
      </c>
      <c r="O37" s="5">
        <v>28</v>
      </c>
    </row>
    <row r="38" spans="2:15">
      <c r="B38" s="4" t="s">
        <v>124</v>
      </c>
      <c r="C38" s="4" t="s">
        <v>127</v>
      </c>
      <c r="D38" s="4" t="s">
        <v>146</v>
      </c>
      <c r="E38" s="4" t="s">
        <v>31</v>
      </c>
      <c r="F38" s="4" t="s">
        <v>126</v>
      </c>
      <c r="G38" s="4">
        <v>101020007</v>
      </c>
      <c r="H38" s="5">
        <v>2449</v>
      </c>
      <c r="I38" s="7">
        <v>250</v>
      </c>
      <c r="J38" s="7">
        <v>612242</v>
      </c>
      <c r="K38" s="7">
        <v>442607.44770000002</v>
      </c>
      <c r="L38" s="7">
        <v>169634.55230000001</v>
      </c>
      <c r="M38" s="8">
        <v>0.27700000000000002</v>
      </c>
      <c r="N38" s="5">
        <v>1073</v>
      </c>
      <c r="O38" s="5">
        <v>80</v>
      </c>
    </row>
    <row r="39" spans="2:15">
      <c r="B39" s="4" t="s">
        <v>124</v>
      </c>
      <c r="C39" s="4" t="s">
        <v>147</v>
      </c>
      <c r="D39" s="4" t="s">
        <v>463</v>
      </c>
      <c r="E39" s="4" t="s">
        <v>176</v>
      </c>
      <c r="F39" s="4" t="s">
        <v>126</v>
      </c>
      <c r="G39" s="4">
        <v>101010264</v>
      </c>
      <c r="H39" s="5">
        <v>46085</v>
      </c>
      <c r="I39" s="7">
        <v>12.84</v>
      </c>
      <c r="J39" s="7">
        <v>591779.19999999995</v>
      </c>
      <c r="K39" s="7">
        <v>510233.95209999999</v>
      </c>
      <c r="L39" s="7">
        <v>81545.247900000002</v>
      </c>
      <c r="M39" s="8">
        <v>0.13769999999999999</v>
      </c>
      <c r="N39" s="5">
        <v>13140</v>
      </c>
      <c r="O39" s="5">
        <v>82</v>
      </c>
    </row>
    <row r="40" spans="2:15">
      <c r="B40" s="4" t="s">
        <v>124</v>
      </c>
      <c r="C40" s="4" t="s">
        <v>125</v>
      </c>
      <c r="D40" s="4" t="s">
        <v>144</v>
      </c>
      <c r="E40" s="4" t="s">
        <v>31</v>
      </c>
      <c r="F40" s="4" t="s">
        <v>126</v>
      </c>
      <c r="G40" s="4">
        <v>101010495</v>
      </c>
      <c r="H40" s="5">
        <v>1533</v>
      </c>
      <c r="I40" s="7">
        <v>385.26</v>
      </c>
      <c r="J40" s="7">
        <v>590605</v>
      </c>
      <c r="K40" s="7">
        <v>412960.87400000001</v>
      </c>
      <c r="L40" s="7">
        <v>177644.12599999999</v>
      </c>
      <c r="M40" s="8">
        <v>0.30070000000000002</v>
      </c>
      <c r="N40" s="5">
        <v>729</v>
      </c>
      <c r="O40" s="5">
        <v>68</v>
      </c>
    </row>
    <row r="41" spans="2:15">
      <c r="B41" s="4" t="s">
        <v>124</v>
      </c>
      <c r="C41" s="4" t="s">
        <v>127</v>
      </c>
      <c r="D41" s="4" t="s">
        <v>196</v>
      </c>
      <c r="E41" s="4" t="s">
        <v>31</v>
      </c>
      <c r="F41" s="4" t="s">
        <v>126</v>
      </c>
      <c r="G41" s="4">
        <v>101010474</v>
      </c>
      <c r="H41" s="5">
        <v>1676</v>
      </c>
      <c r="I41" s="7">
        <v>343.11</v>
      </c>
      <c r="J41" s="7">
        <v>575046</v>
      </c>
      <c r="K41" s="7">
        <v>335076.95679999999</v>
      </c>
      <c r="L41" s="7">
        <v>239969.04319999999</v>
      </c>
      <c r="M41" s="8">
        <v>0.4173</v>
      </c>
      <c r="N41" s="5">
        <v>168</v>
      </c>
      <c r="O41" s="5">
        <v>44</v>
      </c>
    </row>
    <row r="42" spans="2:15">
      <c r="B42" s="4" t="s">
        <v>124</v>
      </c>
      <c r="C42" s="4" t="s">
        <v>127</v>
      </c>
      <c r="D42" s="4" t="s">
        <v>189</v>
      </c>
      <c r="E42" s="4" t="s">
        <v>31</v>
      </c>
      <c r="F42" s="4" t="s">
        <v>126</v>
      </c>
      <c r="G42" s="4">
        <v>101010298</v>
      </c>
      <c r="H42" s="5">
        <v>604</v>
      </c>
      <c r="I42" s="7">
        <v>932.91</v>
      </c>
      <c r="J42" s="7">
        <v>563480</v>
      </c>
      <c r="K42" s="7">
        <v>435043.0576</v>
      </c>
      <c r="L42" s="7">
        <v>128436.9424</v>
      </c>
      <c r="M42" s="8">
        <v>0.22789999999999999</v>
      </c>
      <c r="N42" s="5">
        <v>267</v>
      </c>
      <c r="O42" s="5">
        <v>49</v>
      </c>
    </row>
    <row r="43" spans="2:15">
      <c r="B43" s="4" t="s">
        <v>124</v>
      </c>
      <c r="C43" s="4" t="s">
        <v>127</v>
      </c>
      <c r="D43" s="4" t="s">
        <v>464</v>
      </c>
      <c r="E43" s="4" t="s">
        <v>31</v>
      </c>
      <c r="F43" s="4" t="s">
        <v>126</v>
      </c>
      <c r="G43" s="4">
        <v>101020036</v>
      </c>
      <c r="H43" s="5">
        <v>171</v>
      </c>
      <c r="I43" s="7">
        <v>3251.8</v>
      </c>
      <c r="J43" s="7">
        <v>556057</v>
      </c>
      <c r="K43" s="7">
        <v>457835.3688</v>
      </c>
      <c r="L43" s="7">
        <v>98221.631200000003</v>
      </c>
      <c r="M43" s="8">
        <v>0.17660000000000001</v>
      </c>
      <c r="N43" s="5">
        <v>35</v>
      </c>
      <c r="O43" s="5">
        <v>17</v>
      </c>
    </row>
    <row r="44" spans="2:15">
      <c r="B44" s="4" t="s">
        <v>124</v>
      </c>
      <c r="C44" s="4" t="s">
        <v>127</v>
      </c>
      <c r="D44" s="4" t="s">
        <v>213</v>
      </c>
      <c r="E44" s="4" t="s">
        <v>31</v>
      </c>
      <c r="F44" s="4" t="s">
        <v>126</v>
      </c>
      <c r="G44" s="4">
        <v>101010289</v>
      </c>
      <c r="H44" s="5">
        <v>44</v>
      </c>
      <c r="I44" s="7">
        <v>12379.09</v>
      </c>
      <c r="J44" s="7">
        <v>544680</v>
      </c>
      <c r="K44" s="7">
        <v>445520.16639999999</v>
      </c>
      <c r="L44" s="7">
        <v>99159.833599999998</v>
      </c>
      <c r="M44" s="8">
        <v>0.182</v>
      </c>
      <c r="N44" s="5">
        <v>15</v>
      </c>
      <c r="O44" s="5">
        <v>13</v>
      </c>
    </row>
    <row r="45" spans="2:15">
      <c r="B45" s="4" t="s">
        <v>124</v>
      </c>
      <c r="C45" s="4" t="s">
        <v>125</v>
      </c>
      <c r="D45" s="4" t="s">
        <v>42</v>
      </c>
      <c r="E45" s="4" t="s">
        <v>31</v>
      </c>
      <c r="F45" s="4" t="s">
        <v>126</v>
      </c>
      <c r="G45" s="4">
        <v>101010036</v>
      </c>
      <c r="H45" s="5">
        <v>2387</v>
      </c>
      <c r="I45" s="7">
        <v>210.81</v>
      </c>
      <c r="J45" s="7">
        <v>503192</v>
      </c>
      <c r="K45" s="7">
        <v>367065.1483</v>
      </c>
      <c r="L45" s="7">
        <v>136126.8517</v>
      </c>
      <c r="M45" s="8">
        <v>0.27050000000000002</v>
      </c>
      <c r="N45" s="5">
        <v>986</v>
      </c>
      <c r="O45" s="5">
        <v>76</v>
      </c>
    </row>
    <row r="46" spans="2:15">
      <c r="B46" s="4" t="s">
        <v>124</v>
      </c>
      <c r="C46" s="4" t="s">
        <v>147</v>
      </c>
      <c r="D46" s="4" t="s">
        <v>465</v>
      </c>
      <c r="E46" s="4" t="s">
        <v>123</v>
      </c>
      <c r="F46" s="4" t="s">
        <v>126</v>
      </c>
      <c r="G46" s="4">
        <v>101030004</v>
      </c>
      <c r="H46" s="5">
        <v>13968</v>
      </c>
      <c r="I46" s="7">
        <v>35.42</v>
      </c>
      <c r="J46" s="7">
        <v>494797.5</v>
      </c>
      <c r="K46" s="7">
        <v>406611.45610000001</v>
      </c>
      <c r="L46" s="7">
        <v>88186.043900000004</v>
      </c>
      <c r="M46" s="8">
        <v>0.1782</v>
      </c>
      <c r="N46" s="5">
        <v>7839</v>
      </c>
      <c r="O46" s="5">
        <v>83</v>
      </c>
    </row>
    <row r="47" spans="2:15">
      <c r="B47" s="4" t="s">
        <v>124</v>
      </c>
      <c r="C47" s="4" t="s">
        <v>125</v>
      </c>
      <c r="D47" s="4" t="s">
        <v>175</v>
      </c>
      <c r="E47" s="4" t="s">
        <v>176</v>
      </c>
      <c r="F47" s="4" t="s">
        <v>126</v>
      </c>
      <c r="G47" s="4">
        <v>101010096</v>
      </c>
      <c r="H47" s="5">
        <v>2814</v>
      </c>
      <c r="I47" s="7">
        <v>165.53</v>
      </c>
      <c r="J47" s="7">
        <v>465808</v>
      </c>
      <c r="K47" s="7">
        <v>340599.48180000001</v>
      </c>
      <c r="L47" s="7">
        <v>125208.51820000001</v>
      </c>
      <c r="M47" s="8">
        <v>0.26869999999999999</v>
      </c>
      <c r="N47" s="5">
        <v>1502</v>
      </c>
      <c r="O47" s="5">
        <v>80</v>
      </c>
    </row>
    <row r="48" spans="2:15">
      <c r="B48" s="4" t="s">
        <v>124</v>
      </c>
      <c r="C48" s="4" t="s">
        <v>125</v>
      </c>
      <c r="D48" s="4" t="s">
        <v>466</v>
      </c>
      <c r="E48" s="4" t="s">
        <v>31</v>
      </c>
      <c r="F48" s="4" t="s">
        <v>126</v>
      </c>
      <c r="G48" s="4">
        <v>101010306</v>
      </c>
      <c r="H48" s="5">
        <v>1195</v>
      </c>
      <c r="I48" s="7">
        <v>386.31</v>
      </c>
      <c r="J48" s="7">
        <v>461646</v>
      </c>
      <c r="K48" s="7">
        <v>345982.9326</v>
      </c>
      <c r="L48" s="7">
        <v>115663.0674</v>
      </c>
      <c r="M48" s="8">
        <v>0.2505</v>
      </c>
      <c r="N48" s="5">
        <v>452</v>
      </c>
      <c r="O48" s="5">
        <v>64</v>
      </c>
    </row>
    <row r="49" spans="2:15">
      <c r="B49" s="4" t="s">
        <v>124</v>
      </c>
      <c r="C49" s="4" t="s">
        <v>125</v>
      </c>
      <c r="D49" s="4" t="s">
        <v>467</v>
      </c>
      <c r="E49" s="4" t="s">
        <v>31</v>
      </c>
      <c r="F49" s="4" t="s">
        <v>126</v>
      </c>
      <c r="G49" s="4">
        <v>101010260</v>
      </c>
      <c r="H49" s="5">
        <v>685</v>
      </c>
      <c r="I49" s="7">
        <v>670.24</v>
      </c>
      <c r="J49" s="7">
        <v>459112</v>
      </c>
      <c r="K49" s="7">
        <v>352967.30660000001</v>
      </c>
      <c r="L49" s="7">
        <v>106144.6934</v>
      </c>
      <c r="M49" s="8">
        <v>0.2311</v>
      </c>
      <c r="N49" s="5">
        <v>239</v>
      </c>
      <c r="O49" s="5">
        <v>61</v>
      </c>
    </row>
    <row r="50" spans="2:15">
      <c r="B50" s="4" t="s">
        <v>124</v>
      </c>
      <c r="C50" s="4" t="s">
        <v>147</v>
      </c>
      <c r="D50" s="4" t="s">
        <v>468</v>
      </c>
      <c r="E50" s="4" t="s">
        <v>176</v>
      </c>
      <c r="F50" s="4" t="s">
        <v>126</v>
      </c>
      <c r="G50" s="4">
        <v>101010309</v>
      </c>
      <c r="H50" s="5">
        <v>16756</v>
      </c>
      <c r="I50" s="7">
        <v>25.36</v>
      </c>
      <c r="J50" s="7">
        <v>424880.4</v>
      </c>
      <c r="K50" s="7">
        <v>352161.9583</v>
      </c>
      <c r="L50" s="7">
        <v>72718.441699999996</v>
      </c>
      <c r="M50" s="8">
        <v>0.1711</v>
      </c>
      <c r="N50" s="5">
        <v>8667</v>
      </c>
      <c r="O50" s="5">
        <v>83</v>
      </c>
    </row>
    <row r="51" spans="2:15">
      <c r="B51" s="4" t="s">
        <v>124</v>
      </c>
      <c r="C51" s="4" t="s">
        <v>127</v>
      </c>
      <c r="D51" s="4" t="s">
        <v>269</v>
      </c>
      <c r="E51" s="4" t="s">
        <v>31</v>
      </c>
      <c r="F51" s="4" t="s">
        <v>126</v>
      </c>
      <c r="G51" s="4">
        <v>101020053</v>
      </c>
      <c r="H51" s="5">
        <v>632</v>
      </c>
      <c r="I51" s="7">
        <v>639.17999999999995</v>
      </c>
      <c r="J51" s="7">
        <v>403964</v>
      </c>
      <c r="K51" s="7">
        <v>327866.02340000001</v>
      </c>
      <c r="L51" s="7">
        <v>76097.976599999995</v>
      </c>
      <c r="M51" s="8">
        <v>0.1883</v>
      </c>
      <c r="N51" s="5">
        <v>223</v>
      </c>
      <c r="O51" s="5">
        <v>60</v>
      </c>
    </row>
    <row r="52" spans="2:15">
      <c r="B52" s="4" t="s">
        <v>124</v>
      </c>
      <c r="C52" s="4" t="s">
        <v>147</v>
      </c>
      <c r="D52" s="4" t="s">
        <v>166</v>
      </c>
      <c r="E52" s="4" t="s">
        <v>167</v>
      </c>
      <c r="F52" s="4" t="s">
        <v>126</v>
      </c>
      <c r="G52" s="4">
        <v>101010113</v>
      </c>
      <c r="H52" s="5">
        <v>2093</v>
      </c>
      <c r="I52" s="7">
        <v>190.43</v>
      </c>
      <c r="J52" s="7">
        <v>398564</v>
      </c>
      <c r="K52" s="7">
        <v>277576.2843</v>
      </c>
      <c r="L52" s="7">
        <v>120987.7157</v>
      </c>
      <c r="M52" s="8">
        <v>0.30349999999999999</v>
      </c>
      <c r="N52" s="5">
        <v>967</v>
      </c>
      <c r="O52" s="5">
        <v>74</v>
      </c>
    </row>
    <row r="53" spans="2:15">
      <c r="B53" s="4" t="s">
        <v>124</v>
      </c>
      <c r="C53" s="4" t="s">
        <v>125</v>
      </c>
      <c r="D53" s="4" t="s">
        <v>469</v>
      </c>
      <c r="E53" s="4" t="s">
        <v>31</v>
      </c>
      <c r="F53" s="4" t="s">
        <v>126</v>
      </c>
      <c r="G53" s="4">
        <v>101010263</v>
      </c>
      <c r="H53" s="5">
        <v>906</v>
      </c>
      <c r="I53" s="7">
        <v>411.83</v>
      </c>
      <c r="J53" s="7">
        <v>373120</v>
      </c>
      <c r="K53" s="7">
        <v>311003.71139999997</v>
      </c>
      <c r="L53" s="7">
        <v>62116.2886</v>
      </c>
      <c r="M53" s="8">
        <v>0.16639999999999999</v>
      </c>
      <c r="N53" s="5">
        <v>357</v>
      </c>
      <c r="O53" s="5">
        <v>63</v>
      </c>
    </row>
    <row r="54" spans="2:15">
      <c r="B54" s="4" t="s">
        <v>124</v>
      </c>
      <c r="C54" s="4" t="s">
        <v>127</v>
      </c>
      <c r="D54" s="4" t="s">
        <v>162</v>
      </c>
      <c r="E54" s="4" t="s">
        <v>31</v>
      </c>
      <c r="F54" s="4" t="s">
        <v>126</v>
      </c>
      <c r="G54" s="4">
        <v>101020010</v>
      </c>
      <c r="H54" s="5">
        <v>2516</v>
      </c>
      <c r="I54" s="7">
        <v>144.41999999999999</v>
      </c>
      <c r="J54" s="7">
        <v>363351</v>
      </c>
      <c r="K54" s="7">
        <v>242153.50700000001</v>
      </c>
      <c r="L54" s="7">
        <v>121197.493</v>
      </c>
      <c r="M54" s="8">
        <v>0.33350000000000002</v>
      </c>
      <c r="N54" s="5">
        <v>1242</v>
      </c>
      <c r="O54" s="5">
        <v>78</v>
      </c>
    </row>
    <row r="55" spans="2:15">
      <c r="B55" s="4" t="s">
        <v>124</v>
      </c>
      <c r="C55" s="4" t="s">
        <v>130</v>
      </c>
      <c r="D55" s="4" t="s">
        <v>194</v>
      </c>
      <c r="E55" s="4" t="s">
        <v>195</v>
      </c>
      <c r="F55" s="4" t="s">
        <v>126</v>
      </c>
      <c r="G55" s="4">
        <v>101990010</v>
      </c>
      <c r="H55" s="5">
        <v>8427</v>
      </c>
      <c r="I55" s="7">
        <v>42.55</v>
      </c>
      <c r="J55" s="7">
        <v>358594.3</v>
      </c>
      <c r="K55" s="7">
        <v>270239.72080000001</v>
      </c>
      <c r="L55" s="7">
        <v>88354.579199999993</v>
      </c>
      <c r="M55" s="8">
        <v>0.24629999999999999</v>
      </c>
      <c r="N55" s="5">
        <v>4306</v>
      </c>
      <c r="O55" s="5">
        <v>81</v>
      </c>
    </row>
    <row r="56" spans="2:15">
      <c r="B56" s="4" t="s">
        <v>124</v>
      </c>
      <c r="C56" s="4" t="s">
        <v>147</v>
      </c>
      <c r="D56" s="4" t="s">
        <v>470</v>
      </c>
      <c r="E56" s="4" t="s">
        <v>471</v>
      </c>
      <c r="F56" s="4" t="s">
        <v>126</v>
      </c>
      <c r="G56" s="4">
        <v>101030026</v>
      </c>
      <c r="H56" s="5">
        <v>345</v>
      </c>
      <c r="I56" s="7">
        <v>1030.69</v>
      </c>
      <c r="J56" s="7">
        <v>355588</v>
      </c>
      <c r="K56" s="7">
        <v>326726.92229999998</v>
      </c>
      <c r="L56" s="7">
        <v>28861.077700000002</v>
      </c>
      <c r="M56" s="8">
        <v>8.1100000000000005E-2</v>
      </c>
      <c r="N56" s="5">
        <v>29</v>
      </c>
      <c r="O56" s="5">
        <v>12</v>
      </c>
    </row>
    <row r="57" spans="2:15">
      <c r="B57" s="4" t="s">
        <v>124</v>
      </c>
      <c r="C57" s="4" t="s">
        <v>127</v>
      </c>
      <c r="D57" s="4" t="s">
        <v>154</v>
      </c>
      <c r="E57" s="4" t="s">
        <v>31</v>
      </c>
      <c r="F57" s="4" t="s">
        <v>126</v>
      </c>
      <c r="G57" s="4">
        <v>101010107</v>
      </c>
      <c r="H57" s="5">
        <v>2428</v>
      </c>
      <c r="I57" s="7">
        <v>143.79</v>
      </c>
      <c r="J57" s="7">
        <v>349122</v>
      </c>
      <c r="K57" s="7">
        <v>247993.9688</v>
      </c>
      <c r="L57" s="7">
        <v>101128.0312</v>
      </c>
      <c r="M57" s="8">
        <v>0.28960000000000002</v>
      </c>
      <c r="N57" s="5">
        <v>1320</v>
      </c>
      <c r="O57" s="5">
        <v>80</v>
      </c>
    </row>
    <row r="58" spans="2:15">
      <c r="B58" s="4" t="s">
        <v>124</v>
      </c>
      <c r="C58" s="4" t="s">
        <v>125</v>
      </c>
      <c r="D58" s="4" t="s">
        <v>472</v>
      </c>
      <c r="E58" s="4" t="s">
        <v>31</v>
      </c>
      <c r="F58" s="4" t="s">
        <v>126</v>
      </c>
      <c r="G58" s="4">
        <v>101010272</v>
      </c>
      <c r="H58" s="5">
        <v>4710</v>
      </c>
      <c r="I58" s="7">
        <v>71.63</v>
      </c>
      <c r="J58" s="7">
        <v>337386</v>
      </c>
      <c r="K58" s="7">
        <v>310534.25679999997</v>
      </c>
      <c r="L58" s="7">
        <v>26851.743200000001</v>
      </c>
      <c r="M58" s="8">
        <v>7.9500000000000001E-2</v>
      </c>
      <c r="N58" s="5">
        <v>1627</v>
      </c>
      <c r="O58" s="5">
        <v>80</v>
      </c>
    </row>
    <row r="59" spans="2:15">
      <c r="B59" s="4" t="s">
        <v>124</v>
      </c>
      <c r="C59" s="4" t="s">
        <v>125</v>
      </c>
      <c r="D59" s="4" t="s">
        <v>227</v>
      </c>
      <c r="E59" s="4" t="s">
        <v>228</v>
      </c>
      <c r="F59" s="4" t="s">
        <v>137</v>
      </c>
      <c r="G59" s="4">
        <v>101010523</v>
      </c>
      <c r="H59" s="5">
        <v>248</v>
      </c>
      <c r="I59" s="7">
        <v>1350.77</v>
      </c>
      <c r="J59" s="7">
        <v>334990</v>
      </c>
      <c r="K59" s="7">
        <v>192933.64290000001</v>
      </c>
      <c r="L59" s="7">
        <v>142056.35709999999</v>
      </c>
      <c r="M59" s="8">
        <v>0.42399999999999999</v>
      </c>
      <c r="N59" s="5">
        <v>129</v>
      </c>
      <c r="O59" s="5">
        <v>49</v>
      </c>
    </row>
    <row r="60" spans="2:15">
      <c r="B60" s="4" t="s">
        <v>124</v>
      </c>
      <c r="C60" s="4" t="s">
        <v>125</v>
      </c>
      <c r="D60" s="4" t="s">
        <v>257</v>
      </c>
      <c r="E60" s="4" t="s">
        <v>31</v>
      </c>
      <c r="F60" s="4" t="s">
        <v>126</v>
      </c>
      <c r="G60" s="4">
        <v>101010530</v>
      </c>
      <c r="H60" s="5">
        <v>296</v>
      </c>
      <c r="I60" s="7">
        <v>1055.26</v>
      </c>
      <c r="J60" s="7">
        <v>312357</v>
      </c>
      <c r="K60" s="7">
        <v>261166.6697</v>
      </c>
      <c r="L60" s="7">
        <v>51190.330300000001</v>
      </c>
      <c r="M60" s="8">
        <v>0.1638</v>
      </c>
      <c r="N60" s="5">
        <v>90</v>
      </c>
      <c r="O60" s="5">
        <v>35</v>
      </c>
    </row>
    <row r="61" spans="2:15">
      <c r="B61" s="4" t="s">
        <v>124</v>
      </c>
      <c r="C61" s="4" t="s">
        <v>147</v>
      </c>
      <c r="D61" s="4" t="s">
        <v>473</v>
      </c>
      <c r="E61" s="4" t="s">
        <v>31</v>
      </c>
      <c r="F61" s="4" t="s">
        <v>126</v>
      </c>
      <c r="G61" s="4">
        <v>101010319</v>
      </c>
      <c r="H61" s="5">
        <v>1525</v>
      </c>
      <c r="I61" s="7">
        <v>204.79</v>
      </c>
      <c r="J61" s="7">
        <v>312305</v>
      </c>
      <c r="K61" s="7">
        <v>225709.27619999999</v>
      </c>
      <c r="L61" s="7">
        <v>86595.723800000007</v>
      </c>
      <c r="M61" s="8">
        <v>0.2772</v>
      </c>
      <c r="N61" s="5">
        <v>621</v>
      </c>
      <c r="O61" s="5">
        <v>73</v>
      </c>
    </row>
    <row r="62" spans="2:15">
      <c r="B62" s="4" t="s">
        <v>124</v>
      </c>
      <c r="C62" s="4" t="s">
        <v>147</v>
      </c>
      <c r="D62" s="4" t="s">
        <v>474</v>
      </c>
      <c r="E62" s="4" t="s">
        <v>89</v>
      </c>
      <c r="F62" s="4" t="s">
        <v>126</v>
      </c>
      <c r="G62" s="4">
        <v>101010321</v>
      </c>
      <c r="H62" s="5">
        <v>1070</v>
      </c>
      <c r="I62" s="7">
        <v>281.95999999999998</v>
      </c>
      <c r="J62" s="7">
        <v>301695</v>
      </c>
      <c r="K62" s="7">
        <v>206347.76569999999</v>
      </c>
      <c r="L62" s="7">
        <v>95347.234299999996</v>
      </c>
      <c r="M62" s="8">
        <v>0.316</v>
      </c>
      <c r="N62" s="5">
        <v>506</v>
      </c>
      <c r="O62" s="5">
        <v>70</v>
      </c>
    </row>
    <row r="63" spans="2:15">
      <c r="B63" s="4" t="s">
        <v>124</v>
      </c>
      <c r="C63" s="4" t="s">
        <v>127</v>
      </c>
      <c r="D63" s="4" t="s">
        <v>475</v>
      </c>
      <c r="E63" s="4" t="s">
        <v>123</v>
      </c>
      <c r="F63" s="4" t="s">
        <v>126</v>
      </c>
      <c r="G63" s="4">
        <v>101020101</v>
      </c>
      <c r="H63" s="5">
        <v>66</v>
      </c>
      <c r="I63" s="7">
        <v>4533.18</v>
      </c>
      <c r="J63" s="7">
        <v>299190</v>
      </c>
      <c r="K63" s="7">
        <v>266535.84039999999</v>
      </c>
      <c r="L63" s="7">
        <v>32654.159599999999</v>
      </c>
      <c r="M63" s="8">
        <v>0.1091</v>
      </c>
      <c r="N63" s="5">
        <v>29</v>
      </c>
      <c r="O63" s="5">
        <v>12</v>
      </c>
    </row>
    <row r="64" spans="2:15">
      <c r="B64" s="4" t="s">
        <v>124</v>
      </c>
      <c r="C64" s="4" t="s">
        <v>147</v>
      </c>
      <c r="D64" s="4" t="s">
        <v>190</v>
      </c>
      <c r="E64" s="4" t="s">
        <v>167</v>
      </c>
      <c r="F64" s="4" t="s">
        <v>126</v>
      </c>
      <c r="G64" s="4">
        <v>101010070</v>
      </c>
      <c r="H64" s="5">
        <v>2945</v>
      </c>
      <c r="I64" s="7">
        <v>98.27</v>
      </c>
      <c r="J64" s="7">
        <v>289394</v>
      </c>
      <c r="K64" s="7">
        <v>196298.74340000001</v>
      </c>
      <c r="L64" s="7">
        <v>93095.256599999993</v>
      </c>
      <c r="M64" s="8">
        <v>0.3216</v>
      </c>
      <c r="N64" s="5">
        <v>1452</v>
      </c>
      <c r="O64" s="5">
        <v>81</v>
      </c>
    </row>
    <row r="65" spans="2:15">
      <c r="B65" s="4" t="s">
        <v>124</v>
      </c>
      <c r="C65" s="4" t="s">
        <v>127</v>
      </c>
      <c r="D65" s="4" t="s">
        <v>212</v>
      </c>
      <c r="E65" s="4" t="s">
        <v>123</v>
      </c>
      <c r="F65" s="4" t="s">
        <v>126</v>
      </c>
      <c r="G65" s="4">
        <v>101020056</v>
      </c>
      <c r="H65" s="5">
        <v>1107</v>
      </c>
      <c r="I65" s="7">
        <v>255.41</v>
      </c>
      <c r="J65" s="7">
        <v>282740</v>
      </c>
      <c r="K65" s="7">
        <v>170772.90239999999</v>
      </c>
      <c r="L65" s="7">
        <v>111967.09759999999</v>
      </c>
      <c r="M65" s="8">
        <v>0.39600000000000002</v>
      </c>
      <c r="N65" s="5">
        <v>484</v>
      </c>
      <c r="O65" s="5">
        <v>68</v>
      </c>
    </row>
    <row r="66" spans="2:15">
      <c r="B66" s="4" t="s">
        <v>124</v>
      </c>
      <c r="C66" s="4" t="s">
        <v>147</v>
      </c>
      <c r="D66" s="4" t="s">
        <v>476</v>
      </c>
      <c r="E66" s="4" t="s">
        <v>225</v>
      </c>
      <c r="F66" s="4" t="s">
        <v>126</v>
      </c>
      <c r="G66" s="4">
        <v>101010270</v>
      </c>
      <c r="H66" s="5">
        <v>6086</v>
      </c>
      <c r="I66" s="7">
        <v>44.98</v>
      </c>
      <c r="J66" s="7">
        <v>273753.86</v>
      </c>
      <c r="K66" s="7">
        <v>221954.5497</v>
      </c>
      <c r="L66" s="7">
        <v>51799.310299999997</v>
      </c>
      <c r="M66" s="8">
        <v>0.18920000000000001</v>
      </c>
      <c r="N66" s="5">
        <v>2291</v>
      </c>
      <c r="O66" s="5">
        <v>82</v>
      </c>
    </row>
    <row r="67" spans="2:15">
      <c r="B67" s="4" t="s">
        <v>124</v>
      </c>
      <c r="C67" s="4" t="s">
        <v>125</v>
      </c>
      <c r="D67" s="4" t="s">
        <v>177</v>
      </c>
      <c r="E67" s="4" t="s">
        <v>31</v>
      </c>
      <c r="F67" s="4" t="s">
        <v>126</v>
      </c>
      <c r="G67" s="4">
        <v>101010421</v>
      </c>
      <c r="H67" s="5">
        <v>1579</v>
      </c>
      <c r="I67" s="7">
        <v>168</v>
      </c>
      <c r="J67" s="7">
        <v>265272</v>
      </c>
      <c r="K67" s="7">
        <v>141815.90429999999</v>
      </c>
      <c r="L67" s="7">
        <v>123456.09570000001</v>
      </c>
      <c r="M67" s="8">
        <v>0.46529999999999999</v>
      </c>
      <c r="N67" s="5">
        <v>994</v>
      </c>
      <c r="O67" s="5">
        <v>77</v>
      </c>
    </row>
    <row r="68" spans="2:15">
      <c r="B68" s="4" t="s">
        <v>124</v>
      </c>
      <c r="C68" s="4" t="s">
        <v>147</v>
      </c>
      <c r="D68" s="4" t="s">
        <v>477</v>
      </c>
      <c r="E68" s="4" t="s">
        <v>167</v>
      </c>
      <c r="F68" s="4" t="s">
        <v>126</v>
      </c>
      <c r="G68" s="4">
        <v>101010337</v>
      </c>
      <c r="H68" s="5">
        <v>2238</v>
      </c>
      <c r="I68" s="7">
        <v>118.02</v>
      </c>
      <c r="J68" s="7">
        <v>264124</v>
      </c>
      <c r="K68" s="7">
        <v>186458.82380000001</v>
      </c>
      <c r="L68" s="7">
        <v>77665.176200000002</v>
      </c>
      <c r="M68" s="8">
        <v>0.29399999999999998</v>
      </c>
      <c r="N68" s="5">
        <v>983</v>
      </c>
      <c r="O68" s="5">
        <v>73</v>
      </c>
    </row>
    <row r="69" spans="2:15">
      <c r="B69" s="4" t="s">
        <v>124</v>
      </c>
      <c r="C69" s="4" t="s">
        <v>147</v>
      </c>
      <c r="D69" s="4" t="s">
        <v>148</v>
      </c>
      <c r="E69" s="4" t="s">
        <v>149</v>
      </c>
      <c r="F69" s="4" t="s">
        <v>126</v>
      </c>
      <c r="G69" s="4">
        <v>999010016</v>
      </c>
      <c r="H69" s="5">
        <v>5493</v>
      </c>
      <c r="I69" s="7">
        <v>45.84</v>
      </c>
      <c r="J69" s="7">
        <v>251803</v>
      </c>
      <c r="K69" s="7">
        <v>159221.39199999999</v>
      </c>
      <c r="L69" s="7">
        <v>92581.607999999993</v>
      </c>
      <c r="M69" s="8">
        <v>0.36759999999999998</v>
      </c>
      <c r="N69" s="5">
        <v>2979</v>
      </c>
      <c r="O69" s="5">
        <v>78</v>
      </c>
    </row>
    <row r="70" spans="2:15">
      <c r="B70" s="4" t="s">
        <v>124</v>
      </c>
      <c r="C70" s="4" t="s">
        <v>147</v>
      </c>
      <c r="D70" s="4" t="s">
        <v>478</v>
      </c>
      <c r="E70" s="4" t="s">
        <v>31</v>
      </c>
      <c r="F70" s="4" t="s">
        <v>126</v>
      </c>
      <c r="G70" s="4">
        <v>101030043</v>
      </c>
      <c r="H70" s="5">
        <v>2246</v>
      </c>
      <c r="I70" s="7">
        <v>111.99</v>
      </c>
      <c r="J70" s="7">
        <v>251530</v>
      </c>
      <c r="K70" s="7">
        <v>131114.18640000001</v>
      </c>
      <c r="L70" s="7">
        <v>120415.81359999999</v>
      </c>
      <c r="M70" s="8">
        <v>0.47870000000000001</v>
      </c>
      <c r="N70" s="5">
        <v>1069</v>
      </c>
      <c r="O70" s="5">
        <v>77</v>
      </c>
    </row>
    <row r="71" spans="2:15">
      <c r="B71" s="4" t="s">
        <v>124</v>
      </c>
      <c r="C71" s="4" t="s">
        <v>130</v>
      </c>
      <c r="D71" s="4" t="s">
        <v>209</v>
      </c>
      <c r="E71" s="4" t="s">
        <v>157</v>
      </c>
      <c r="F71" s="4" t="s">
        <v>126</v>
      </c>
      <c r="G71" s="4">
        <v>101010193</v>
      </c>
      <c r="H71" s="5">
        <v>370</v>
      </c>
      <c r="I71" s="7">
        <v>666.83</v>
      </c>
      <c r="J71" s="7">
        <v>246726</v>
      </c>
      <c r="K71" s="7">
        <v>216540.353</v>
      </c>
      <c r="L71" s="7">
        <v>30185.647000000001</v>
      </c>
      <c r="M71" s="8">
        <v>0.12230000000000001</v>
      </c>
      <c r="N71" s="5">
        <v>142</v>
      </c>
      <c r="O71" s="5">
        <v>53</v>
      </c>
    </row>
    <row r="72" spans="2:15">
      <c r="B72" s="4" t="s">
        <v>124</v>
      </c>
      <c r="C72" s="4" t="s">
        <v>125</v>
      </c>
      <c r="D72" s="4" t="s">
        <v>216</v>
      </c>
      <c r="E72" s="4" t="s">
        <v>31</v>
      </c>
      <c r="F72" s="4" t="s">
        <v>126</v>
      </c>
      <c r="G72" s="4">
        <v>101010114</v>
      </c>
      <c r="H72" s="5">
        <v>1087</v>
      </c>
      <c r="I72" s="7">
        <v>224.39</v>
      </c>
      <c r="J72" s="7">
        <v>243910</v>
      </c>
      <c r="K72" s="7">
        <v>175117.94709999999</v>
      </c>
      <c r="L72" s="7">
        <v>68792.052899999995</v>
      </c>
      <c r="M72" s="8">
        <v>0.28199999999999997</v>
      </c>
      <c r="N72" s="5">
        <v>378</v>
      </c>
      <c r="O72" s="5">
        <v>71</v>
      </c>
    </row>
    <row r="73" spans="2:15">
      <c r="B73" s="4" t="s">
        <v>124</v>
      </c>
      <c r="C73" s="4" t="s">
        <v>127</v>
      </c>
      <c r="D73" s="4" t="s">
        <v>479</v>
      </c>
      <c r="E73" s="4" t="s">
        <v>480</v>
      </c>
      <c r="F73" s="4" t="s">
        <v>126</v>
      </c>
      <c r="G73" s="4">
        <v>101020048</v>
      </c>
      <c r="H73" s="5">
        <v>46</v>
      </c>
      <c r="I73" s="7">
        <v>4789</v>
      </c>
      <c r="J73" s="7">
        <v>220294</v>
      </c>
      <c r="K73" s="7">
        <v>160981.6</v>
      </c>
      <c r="L73" s="7">
        <v>59312.4</v>
      </c>
      <c r="M73" s="8">
        <v>0.26919999999999999</v>
      </c>
      <c r="N73" s="5">
        <v>33</v>
      </c>
      <c r="O73" s="5">
        <v>14</v>
      </c>
    </row>
    <row r="74" spans="2:15">
      <c r="B74" s="4" t="s">
        <v>124</v>
      </c>
      <c r="C74" s="4" t="s">
        <v>127</v>
      </c>
      <c r="D74" s="4" t="s">
        <v>172</v>
      </c>
      <c r="E74" s="4" t="s">
        <v>31</v>
      </c>
      <c r="F74" s="4" t="s">
        <v>126</v>
      </c>
      <c r="G74" s="4">
        <v>101020079</v>
      </c>
      <c r="H74" s="5">
        <v>54</v>
      </c>
      <c r="I74" s="7">
        <v>4059.7</v>
      </c>
      <c r="J74" s="7">
        <v>219224</v>
      </c>
      <c r="K74" s="7">
        <v>161715.25409999999</v>
      </c>
      <c r="L74" s="7">
        <v>57508.745900000002</v>
      </c>
      <c r="M74" s="8">
        <v>0.26229999999999998</v>
      </c>
      <c r="N74" s="5">
        <v>18</v>
      </c>
      <c r="O74" s="5">
        <v>9</v>
      </c>
    </row>
    <row r="75" spans="2:15">
      <c r="B75" s="4" t="s">
        <v>124</v>
      </c>
      <c r="C75" s="4" t="s">
        <v>147</v>
      </c>
      <c r="D75" s="4" t="s">
        <v>481</v>
      </c>
      <c r="E75" s="4" t="s">
        <v>123</v>
      </c>
      <c r="F75" s="4" t="s">
        <v>126</v>
      </c>
      <c r="G75" s="4">
        <v>101030036</v>
      </c>
      <c r="H75" s="5">
        <v>8550</v>
      </c>
      <c r="I75" s="7">
        <v>25.5</v>
      </c>
      <c r="J75" s="7">
        <v>218042</v>
      </c>
      <c r="K75" s="7">
        <v>150446.7286</v>
      </c>
      <c r="L75" s="7">
        <v>67595.271399999998</v>
      </c>
      <c r="M75" s="8">
        <v>0.31</v>
      </c>
      <c r="N75" s="5">
        <v>4095</v>
      </c>
      <c r="O75" s="5">
        <v>80</v>
      </c>
    </row>
    <row r="76" spans="2:15">
      <c r="B76" s="4" t="s">
        <v>124</v>
      </c>
      <c r="C76" s="4" t="s">
        <v>125</v>
      </c>
      <c r="D76" s="4" t="s">
        <v>41</v>
      </c>
      <c r="E76" s="4" t="s">
        <v>31</v>
      </c>
      <c r="F76" s="4" t="s">
        <v>126</v>
      </c>
      <c r="G76" s="4">
        <v>101010297</v>
      </c>
      <c r="H76" s="5">
        <v>885</v>
      </c>
      <c r="I76" s="7">
        <v>240.7</v>
      </c>
      <c r="J76" s="7">
        <v>213020</v>
      </c>
      <c r="K76" s="7">
        <v>152046.82500000001</v>
      </c>
      <c r="L76" s="7">
        <v>60973.175000000003</v>
      </c>
      <c r="M76" s="8">
        <v>0.28620000000000001</v>
      </c>
      <c r="N76" s="5">
        <v>358</v>
      </c>
      <c r="O76" s="5">
        <v>65</v>
      </c>
    </row>
    <row r="77" spans="2:15">
      <c r="B77" s="4" t="s">
        <v>124</v>
      </c>
      <c r="C77" s="4" t="s">
        <v>127</v>
      </c>
      <c r="D77" s="4" t="s">
        <v>482</v>
      </c>
      <c r="E77" s="4" t="s">
        <v>123</v>
      </c>
      <c r="F77" s="4" t="s">
        <v>126</v>
      </c>
      <c r="G77" s="4">
        <v>101020093</v>
      </c>
      <c r="H77" s="5">
        <v>558</v>
      </c>
      <c r="I77" s="7">
        <v>376.4</v>
      </c>
      <c r="J77" s="7">
        <v>210032</v>
      </c>
      <c r="K77" s="7">
        <v>160250.02660000001</v>
      </c>
      <c r="L77" s="7">
        <v>49781.973400000003</v>
      </c>
      <c r="M77" s="8">
        <v>0.23699999999999999</v>
      </c>
      <c r="N77" s="5">
        <v>272</v>
      </c>
      <c r="O77" s="5">
        <v>60</v>
      </c>
    </row>
    <row r="78" spans="2:15">
      <c r="B78" s="4" t="s">
        <v>124</v>
      </c>
      <c r="C78" s="4" t="s">
        <v>125</v>
      </c>
      <c r="D78" s="4" t="s">
        <v>483</v>
      </c>
      <c r="E78" s="4" t="s">
        <v>176</v>
      </c>
      <c r="F78" s="4" t="s">
        <v>126</v>
      </c>
      <c r="G78" s="4">
        <v>101010276</v>
      </c>
      <c r="H78" s="5">
        <v>34282</v>
      </c>
      <c r="I78" s="7">
        <v>5.9</v>
      </c>
      <c r="J78" s="7">
        <v>202210.7</v>
      </c>
      <c r="K78" s="7">
        <v>185690.22649999999</v>
      </c>
      <c r="L78" s="7">
        <v>16520.4735</v>
      </c>
      <c r="M78" s="8">
        <v>8.1600000000000006E-2</v>
      </c>
      <c r="N78" s="5">
        <v>9152</v>
      </c>
      <c r="O78" s="5">
        <v>80</v>
      </c>
    </row>
    <row r="79" spans="2:15">
      <c r="B79" s="4" t="s">
        <v>124</v>
      </c>
      <c r="C79" s="4" t="s">
        <v>147</v>
      </c>
      <c r="D79" s="4" t="s">
        <v>484</v>
      </c>
      <c r="E79" s="4" t="s">
        <v>149</v>
      </c>
      <c r="F79" s="4" t="s">
        <v>126</v>
      </c>
      <c r="G79" s="4">
        <v>101010328</v>
      </c>
      <c r="H79" s="5">
        <v>3680</v>
      </c>
      <c r="I79" s="7">
        <v>51.22</v>
      </c>
      <c r="J79" s="7">
        <v>188499</v>
      </c>
      <c r="K79" s="7">
        <v>128631.8005</v>
      </c>
      <c r="L79" s="7">
        <v>59867.199500000002</v>
      </c>
      <c r="M79" s="8">
        <v>0.3175</v>
      </c>
      <c r="N79" s="5">
        <v>1888</v>
      </c>
      <c r="O79" s="5">
        <v>78</v>
      </c>
    </row>
    <row r="80" spans="2:15">
      <c r="B80" s="4" t="s">
        <v>124</v>
      </c>
      <c r="C80" s="4" t="s">
        <v>125</v>
      </c>
      <c r="D80" s="4" t="s">
        <v>485</v>
      </c>
      <c r="E80" s="4" t="s">
        <v>31</v>
      </c>
      <c r="F80" s="4" t="s">
        <v>126</v>
      </c>
      <c r="G80" s="4">
        <v>101010269</v>
      </c>
      <c r="H80" s="5">
        <v>3611</v>
      </c>
      <c r="I80" s="7">
        <v>51.66</v>
      </c>
      <c r="J80" s="7">
        <v>186541.4</v>
      </c>
      <c r="K80" s="7">
        <v>155077.0845</v>
      </c>
      <c r="L80" s="7">
        <v>31464.315500000001</v>
      </c>
      <c r="M80" s="8">
        <v>0.1686</v>
      </c>
      <c r="N80" s="5">
        <v>1507</v>
      </c>
      <c r="O80" s="5">
        <v>82</v>
      </c>
    </row>
    <row r="81" spans="2:15">
      <c r="B81" s="4" t="s">
        <v>124</v>
      </c>
      <c r="C81" s="4" t="s">
        <v>130</v>
      </c>
      <c r="D81" s="4" t="s">
        <v>214</v>
      </c>
      <c r="E81" s="4" t="s">
        <v>215</v>
      </c>
      <c r="F81" s="4" t="s">
        <v>126</v>
      </c>
      <c r="G81" s="4">
        <v>101990007</v>
      </c>
      <c r="H81" s="5">
        <v>10287</v>
      </c>
      <c r="I81" s="7">
        <v>17.97</v>
      </c>
      <c r="J81" s="7">
        <v>184838</v>
      </c>
      <c r="K81" s="7">
        <v>114916.24739999999</v>
      </c>
      <c r="L81" s="7">
        <v>69921.752600000007</v>
      </c>
      <c r="M81" s="8">
        <v>0.37819999999999998</v>
      </c>
      <c r="N81" s="5">
        <v>3886</v>
      </c>
      <c r="O81" s="5">
        <v>82</v>
      </c>
    </row>
    <row r="82" spans="2:15">
      <c r="B82" s="4" t="s">
        <v>124</v>
      </c>
      <c r="C82" s="4" t="s">
        <v>125</v>
      </c>
      <c r="D82" s="4" t="s">
        <v>486</v>
      </c>
      <c r="E82" s="4" t="s">
        <v>31</v>
      </c>
      <c r="F82" s="4" t="s">
        <v>126</v>
      </c>
      <c r="G82" s="4">
        <v>101010262</v>
      </c>
      <c r="H82" s="5">
        <v>398</v>
      </c>
      <c r="I82" s="7">
        <v>449.22</v>
      </c>
      <c r="J82" s="7">
        <v>178788</v>
      </c>
      <c r="K82" s="7">
        <v>145824.31090000001</v>
      </c>
      <c r="L82" s="7">
        <v>32963.689100000003</v>
      </c>
      <c r="M82" s="8">
        <v>0.18429999999999999</v>
      </c>
      <c r="N82" s="5">
        <v>190</v>
      </c>
      <c r="O82" s="5">
        <v>51</v>
      </c>
    </row>
    <row r="83" spans="2:15">
      <c r="B83" s="4" t="s">
        <v>124</v>
      </c>
      <c r="C83" s="4" t="s">
        <v>127</v>
      </c>
      <c r="D83" s="4" t="s">
        <v>155</v>
      </c>
      <c r="E83" s="4" t="s">
        <v>31</v>
      </c>
      <c r="F83" s="4" t="s">
        <v>126</v>
      </c>
      <c r="G83" s="4">
        <v>101010217</v>
      </c>
      <c r="H83" s="5">
        <v>2246</v>
      </c>
      <c r="I83" s="7">
        <v>78.88</v>
      </c>
      <c r="J83" s="7">
        <v>177157</v>
      </c>
      <c r="K83" s="7">
        <v>135150.98009999999</v>
      </c>
      <c r="L83" s="7">
        <v>42006.019899999999</v>
      </c>
      <c r="M83" s="8">
        <v>0.23710000000000001</v>
      </c>
      <c r="N83" s="5">
        <v>1184</v>
      </c>
      <c r="O83" s="5">
        <v>74</v>
      </c>
    </row>
    <row r="84" spans="2:15">
      <c r="B84" s="4" t="s">
        <v>124</v>
      </c>
      <c r="C84" s="4" t="s">
        <v>125</v>
      </c>
      <c r="D84" s="4" t="s">
        <v>161</v>
      </c>
      <c r="E84" s="4" t="s">
        <v>31</v>
      </c>
      <c r="F84" s="4" t="s">
        <v>126</v>
      </c>
      <c r="G84" s="4">
        <v>101010422</v>
      </c>
      <c r="H84" s="5">
        <v>1017</v>
      </c>
      <c r="I84" s="7">
        <v>173.38</v>
      </c>
      <c r="J84" s="7">
        <v>176328</v>
      </c>
      <c r="K84" s="7">
        <v>109220.3069</v>
      </c>
      <c r="L84" s="7">
        <v>67107.693100000004</v>
      </c>
      <c r="M84" s="8">
        <v>0.3805</v>
      </c>
      <c r="N84" s="5">
        <v>464</v>
      </c>
      <c r="O84" s="5">
        <v>68</v>
      </c>
    </row>
    <row r="85" spans="2:15">
      <c r="B85" s="4" t="s">
        <v>124</v>
      </c>
      <c r="C85" s="4" t="s">
        <v>147</v>
      </c>
      <c r="D85" s="4" t="s">
        <v>487</v>
      </c>
      <c r="E85" s="4" t="s">
        <v>167</v>
      </c>
      <c r="F85" s="4" t="s">
        <v>126</v>
      </c>
      <c r="G85" s="4">
        <v>101010335</v>
      </c>
      <c r="H85" s="5">
        <v>963</v>
      </c>
      <c r="I85" s="7">
        <v>182.38</v>
      </c>
      <c r="J85" s="7">
        <v>175634</v>
      </c>
      <c r="K85" s="7">
        <v>125768.5098</v>
      </c>
      <c r="L85" s="7">
        <v>49865.4902</v>
      </c>
      <c r="M85" s="8">
        <v>0.28389999999999999</v>
      </c>
      <c r="N85" s="5">
        <v>424</v>
      </c>
      <c r="O85" s="5">
        <v>65</v>
      </c>
    </row>
    <row r="86" spans="2:15">
      <c r="B86" s="4" t="s">
        <v>124</v>
      </c>
      <c r="C86" s="4" t="s">
        <v>147</v>
      </c>
      <c r="D86" s="4" t="s">
        <v>488</v>
      </c>
      <c r="E86" s="4" t="s">
        <v>167</v>
      </c>
      <c r="F86" s="4" t="s">
        <v>126</v>
      </c>
      <c r="G86" s="4">
        <v>101010331</v>
      </c>
      <c r="H86" s="5">
        <v>1982</v>
      </c>
      <c r="I86" s="7">
        <v>87.66</v>
      </c>
      <c r="J86" s="7">
        <v>173745</v>
      </c>
      <c r="K86" s="7">
        <v>122104.43489999999</v>
      </c>
      <c r="L86" s="7">
        <v>51640.5651</v>
      </c>
      <c r="M86" s="8">
        <v>0.29720000000000002</v>
      </c>
      <c r="N86" s="5">
        <v>986</v>
      </c>
      <c r="O86" s="5">
        <v>73</v>
      </c>
    </row>
    <row r="87" spans="2:15">
      <c r="B87" s="4" t="s">
        <v>124</v>
      </c>
      <c r="C87" s="4" t="s">
        <v>127</v>
      </c>
      <c r="D87" s="4" t="s">
        <v>489</v>
      </c>
      <c r="E87" s="4" t="s">
        <v>31</v>
      </c>
      <c r="F87" s="4" t="s">
        <v>126</v>
      </c>
      <c r="G87" s="4">
        <v>101020034</v>
      </c>
      <c r="H87" s="5">
        <v>1733</v>
      </c>
      <c r="I87" s="7">
        <v>99</v>
      </c>
      <c r="J87" s="7">
        <v>171567</v>
      </c>
      <c r="K87" s="7">
        <v>127928.39449999999</v>
      </c>
      <c r="L87" s="7">
        <v>43638.605499999998</v>
      </c>
      <c r="M87" s="8">
        <v>0.25430000000000003</v>
      </c>
      <c r="N87" s="5">
        <v>827</v>
      </c>
      <c r="O87" s="5">
        <v>72</v>
      </c>
    </row>
    <row r="88" spans="2:15">
      <c r="B88" s="4" t="s">
        <v>124</v>
      </c>
      <c r="C88" s="4" t="s">
        <v>125</v>
      </c>
      <c r="D88" s="4" t="s">
        <v>490</v>
      </c>
      <c r="E88" s="4" t="s">
        <v>176</v>
      </c>
      <c r="F88" s="4" t="s">
        <v>126</v>
      </c>
      <c r="G88" s="4">
        <v>101010258</v>
      </c>
      <c r="H88" s="5">
        <v>1285</v>
      </c>
      <c r="I88" s="7">
        <v>131.71</v>
      </c>
      <c r="J88" s="7">
        <v>169246</v>
      </c>
      <c r="K88" s="7">
        <v>139689.6201</v>
      </c>
      <c r="L88" s="7">
        <v>29556.3799</v>
      </c>
      <c r="M88" s="8">
        <v>0.17460000000000001</v>
      </c>
      <c r="N88" s="5">
        <v>654</v>
      </c>
      <c r="O88" s="5">
        <v>68</v>
      </c>
    </row>
    <row r="89" spans="2:15">
      <c r="B89" s="4" t="s">
        <v>124</v>
      </c>
      <c r="C89" s="4" t="s">
        <v>127</v>
      </c>
      <c r="D89" s="4" t="s">
        <v>491</v>
      </c>
      <c r="E89" s="4" t="s">
        <v>31</v>
      </c>
      <c r="F89" s="4" t="s">
        <v>126</v>
      </c>
      <c r="G89" s="4">
        <v>101020133</v>
      </c>
      <c r="H89" s="5">
        <v>48</v>
      </c>
      <c r="I89" s="7">
        <v>3300</v>
      </c>
      <c r="J89" s="7">
        <v>158400</v>
      </c>
      <c r="K89" s="7">
        <v>148800</v>
      </c>
      <c r="L89" s="7">
        <v>9600</v>
      </c>
      <c r="M89" s="8">
        <v>6.0600000000000001E-2</v>
      </c>
      <c r="N89" s="5">
        <v>1</v>
      </c>
      <c r="O89" s="5">
        <v>1</v>
      </c>
    </row>
    <row r="90" spans="2:15">
      <c r="B90" s="4" t="s">
        <v>124</v>
      </c>
      <c r="C90" s="4" t="s">
        <v>147</v>
      </c>
      <c r="D90" s="4" t="s">
        <v>492</v>
      </c>
      <c r="E90" s="4" t="s">
        <v>249</v>
      </c>
      <c r="F90" s="4" t="s">
        <v>126</v>
      </c>
      <c r="G90" s="4">
        <v>101010267</v>
      </c>
      <c r="H90" s="5">
        <v>2213</v>
      </c>
      <c r="I90" s="7">
        <v>69.06</v>
      </c>
      <c r="J90" s="7">
        <v>152822</v>
      </c>
      <c r="K90" s="7">
        <v>132516.1936</v>
      </c>
      <c r="L90" s="7">
        <v>20305.806400000001</v>
      </c>
      <c r="M90" s="8">
        <v>0.1328</v>
      </c>
      <c r="N90" s="5">
        <v>970</v>
      </c>
      <c r="O90" s="5">
        <v>77</v>
      </c>
    </row>
    <row r="91" spans="2:15">
      <c r="B91" s="4" t="s">
        <v>124</v>
      </c>
      <c r="C91" s="4" t="s">
        <v>147</v>
      </c>
      <c r="D91" s="4" t="s">
        <v>493</v>
      </c>
      <c r="E91" s="4" t="s">
        <v>123</v>
      </c>
      <c r="F91" s="4" t="s">
        <v>126</v>
      </c>
      <c r="G91" s="4">
        <v>101030005</v>
      </c>
      <c r="H91" s="5">
        <v>4025</v>
      </c>
      <c r="I91" s="7">
        <v>37.42</v>
      </c>
      <c r="J91" s="7">
        <v>150598</v>
      </c>
      <c r="K91" s="7">
        <v>119718.4215</v>
      </c>
      <c r="L91" s="7">
        <v>30879.5785</v>
      </c>
      <c r="M91" s="8">
        <v>0.20499999999999999</v>
      </c>
      <c r="N91" s="5">
        <v>1887</v>
      </c>
      <c r="O91" s="5">
        <v>71</v>
      </c>
    </row>
    <row r="92" spans="2:15">
      <c r="B92" s="4" t="s">
        <v>124</v>
      </c>
      <c r="C92" s="4" t="s">
        <v>127</v>
      </c>
      <c r="D92" s="4" t="s">
        <v>293</v>
      </c>
      <c r="E92" s="4" t="s">
        <v>123</v>
      </c>
      <c r="F92" s="4" t="s">
        <v>126</v>
      </c>
      <c r="G92" s="4">
        <v>101020089</v>
      </c>
      <c r="H92" s="5">
        <v>30</v>
      </c>
      <c r="I92" s="7">
        <v>4928.2700000000004</v>
      </c>
      <c r="J92" s="7">
        <v>147848</v>
      </c>
      <c r="K92" s="7">
        <v>116766.9145</v>
      </c>
      <c r="L92" s="7">
        <v>31081.085500000001</v>
      </c>
      <c r="M92" s="8">
        <v>0.2102</v>
      </c>
      <c r="N92" s="5">
        <v>10</v>
      </c>
      <c r="O92" s="5">
        <v>7</v>
      </c>
    </row>
    <row r="93" spans="2:15">
      <c r="B93" s="4" t="s">
        <v>124</v>
      </c>
      <c r="C93" s="4" t="s">
        <v>147</v>
      </c>
      <c r="D93" s="4" t="s">
        <v>279</v>
      </c>
      <c r="E93" s="4" t="s">
        <v>176</v>
      </c>
      <c r="F93" s="4" t="s">
        <v>126</v>
      </c>
      <c r="G93" s="4">
        <v>101030016</v>
      </c>
      <c r="H93" s="5">
        <v>2059</v>
      </c>
      <c r="I93" s="7">
        <v>70.739999999999995</v>
      </c>
      <c r="J93" s="7">
        <v>145660</v>
      </c>
      <c r="K93" s="7">
        <v>76617.509999999995</v>
      </c>
      <c r="L93" s="7">
        <v>69042.490000000005</v>
      </c>
      <c r="M93" s="8">
        <v>0.47389999999999999</v>
      </c>
      <c r="N93" s="5">
        <v>954</v>
      </c>
      <c r="O93" s="5">
        <v>72</v>
      </c>
    </row>
    <row r="94" spans="2:15">
      <c r="B94" s="4" t="s">
        <v>124</v>
      </c>
      <c r="C94" s="4" t="s">
        <v>147</v>
      </c>
      <c r="D94" s="4" t="s">
        <v>494</v>
      </c>
      <c r="E94" s="4" t="s">
        <v>31</v>
      </c>
      <c r="F94" s="4" t="s">
        <v>126</v>
      </c>
      <c r="G94" s="4">
        <v>101010330</v>
      </c>
      <c r="H94" s="5">
        <v>231</v>
      </c>
      <c r="I94" s="7">
        <v>620.78</v>
      </c>
      <c r="J94" s="7">
        <v>143401</v>
      </c>
      <c r="K94" s="7">
        <v>96658.138800000001</v>
      </c>
      <c r="L94" s="7">
        <v>46742.861199999999</v>
      </c>
      <c r="M94" s="8">
        <v>0.32590000000000002</v>
      </c>
      <c r="N94" s="5">
        <v>97</v>
      </c>
      <c r="O94" s="5">
        <v>39</v>
      </c>
    </row>
    <row r="95" spans="2:15">
      <c r="B95" s="4" t="s">
        <v>124</v>
      </c>
      <c r="C95" s="4" t="s">
        <v>125</v>
      </c>
      <c r="D95" s="4" t="s">
        <v>308</v>
      </c>
      <c r="E95" s="4" t="s">
        <v>228</v>
      </c>
      <c r="F95" s="4" t="s">
        <v>137</v>
      </c>
      <c r="G95" s="4">
        <v>101010524</v>
      </c>
      <c r="H95" s="5">
        <v>119</v>
      </c>
      <c r="I95" s="7">
        <v>1143.45</v>
      </c>
      <c r="J95" s="7">
        <v>136070</v>
      </c>
      <c r="K95" s="7">
        <v>81446.845199999996</v>
      </c>
      <c r="L95" s="7">
        <v>54623.154799999997</v>
      </c>
      <c r="M95" s="8">
        <v>0.40139999999999998</v>
      </c>
      <c r="N95" s="5">
        <v>53</v>
      </c>
      <c r="O95" s="5">
        <v>30</v>
      </c>
    </row>
    <row r="96" spans="2:15">
      <c r="B96" s="4" t="s">
        <v>124</v>
      </c>
      <c r="C96" s="4" t="s">
        <v>127</v>
      </c>
      <c r="D96" s="4" t="s">
        <v>243</v>
      </c>
      <c r="E96" s="4" t="s">
        <v>244</v>
      </c>
      <c r="F96" s="4" t="s">
        <v>137</v>
      </c>
      <c r="G96" s="4">
        <v>101020099</v>
      </c>
      <c r="H96" s="5">
        <v>95</v>
      </c>
      <c r="I96" s="7">
        <v>1424.33</v>
      </c>
      <c r="J96" s="7">
        <v>135311</v>
      </c>
      <c r="K96" s="7">
        <v>120022.8818</v>
      </c>
      <c r="L96" s="7">
        <v>15288.118200000001</v>
      </c>
      <c r="M96" s="8">
        <v>0.1129</v>
      </c>
      <c r="N96" s="5">
        <v>25</v>
      </c>
      <c r="O96" s="5">
        <v>14</v>
      </c>
    </row>
    <row r="97" spans="2:15">
      <c r="B97" s="4" t="s">
        <v>124</v>
      </c>
      <c r="C97" s="4" t="s">
        <v>147</v>
      </c>
      <c r="D97" s="4" t="s">
        <v>192</v>
      </c>
      <c r="E97" s="4" t="s">
        <v>167</v>
      </c>
      <c r="F97" s="4" t="s">
        <v>126</v>
      </c>
      <c r="G97" s="4">
        <v>101030015</v>
      </c>
      <c r="H97" s="5">
        <v>1802</v>
      </c>
      <c r="I97" s="7">
        <v>74.63</v>
      </c>
      <c r="J97" s="7">
        <v>134488.01999999999</v>
      </c>
      <c r="K97" s="7">
        <v>77431.954800000007</v>
      </c>
      <c r="L97" s="7">
        <v>57056.065199999997</v>
      </c>
      <c r="M97" s="8">
        <v>0.42420000000000002</v>
      </c>
      <c r="N97" s="5">
        <v>481</v>
      </c>
      <c r="O97" s="5">
        <v>69</v>
      </c>
    </row>
    <row r="98" spans="2:15">
      <c r="B98" s="4" t="s">
        <v>124</v>
      </c>
      <c r="C98" s="4" t="s">
        <v>147</v>
      </c>
      <c r="D98" s="4" t="s">
        <v>495</v>
      </c>
      <c r="E98" s="4" t="s">
        <v>31</v>
      </c>
      <c r="F98" s="4" t="s">
        <v>126</v>
      </c>
      <c r="G98" s="4">
        <v>101010320</v>
      </c>
      <c r="H98" s="5">
        <v>705</v>
      </c>
      <c r="I98" s="7">
        <v>189.38</v>
      </c>
      <c r="J98" s="7">
        <v>133516</v>
      </c>
      <c r="K98" s="7">
        <v>92471.5772</v>
      </c>
      <c r="L98" s="7">
        <v>41044.4228</v>
      </c>
      <c r="M98" s="8">
        <v>0.30740000000000001</v>
      </c>
      <c r="N98" s="5">
        <v>322</v>
      </c>
      <c r="O98" s="5">
        <v>60</v>
      </c>
    </row>
    <row r="99" spans="2:15">
      <c r="B99" s="4" t="s">
        <v>124</v>
      </c>
      <c r="C99" s="4" t="s">
        <v>125</v>
      </c>
      <c r="D99" s="4" t="s">
        <v>496</v>
      </c>
      <c r="E99" s="4" t="s">
        <v>31</v>
      </c>
      <c r="F99" s="4" t="s">
        <v>126</v>
      </c>
      <c r="G99" s="4">
        <v>101010473</v>
      </c>
      <c r="H99" s="5">
        <v>1292</v>
      </c>
      <c r="I99" s="7">
        <v>102.63</v>
      </c>
      <c r="J99" s="7">
        <v>132603</v>
      </c>
      <c r="K99" s="7">
        <v>90199.422999999995</v>
      </c>
      <c r="L99" s="7">
        <v>42403.576999999997</v>
      </c>
      <c r="M99" s="8">
        <v>0.31969999999999998</v>
      </c>
      <c r="N99" s="5">
        <v>524</v>
      </c>
      <c r="O99" s="5">
        <v>73</v>
      </c>
    </row>
    <row r="100" spans="2:15">
      <c r="B100" s="4" t="s">
        <v>124</v>
      </c>
      <c r="C100" s="4" t="s">
        <v>125</v>
      </c>
      <c r="D100" s="4" t="s">
        <v>48</v>
      </c>
      <c r="E100" s="4" t="s">
        <v>31</v>
      </c>
      <c r="F100" s="4" t="s">
        <v>126</v>
      </c>
      <c r="G100" s="4">
        <v>101010024</v>
      </c>
      <c r="H100" s="5">
        <v>2053</v>
      </c>
      <c r="I100" s="7">
        <v>61.43</v>
      </c>
      <c r="J100" s="7">
        <v>126122.8</v>
      </c>
      <c r="K100" s="7">
        <v>79750.160300000003</v>
      </c>
      <c r="L100" s="7">
        <v>46372.6397</v>
      </c>
      <c r="M100" s="8">
        <v>0.36759999999999998</v>
      </c>
      <c r="N100" s="5">
        <v>1056</v>
      </c>
      <c r="O100" s="5">
        <v>76</v>
      </c>
    </row>
    <row r="101" spans="2:15">
      <c r="B101" s="4" t="s">
        <v>124</v>
      </c>
      <c r="C101" s="4" t="s">
        <v>127</v>
      </c>
      <c r="D101" s="4" t="s">
        <v>272</v>
      </c>
      <c r="E101" s="4" t="s">
        <v>273</v>
      </c>
      <c r="F101" s="4" t="s">
        <v>126</v>
      </c>
      <c r="G101" s="4">
        <v>101020040</v>
      </c>
      <c r="H101" s="5">
        <v>412</v>
      </c>
      <c r="I101" s="7">
        <v>299.07</v>
      </c>
      <c r="J101" s="7">
        <v>123217</v>
      </c>
      <c r="K101" s="7">
        <v>67822.049400000004</v>
      </c>
      <c r="L101" s="7">
        <v>55394.950599999996</v>
      </c>
      <c r="M101" s="8">
        <v>0.44950000000000001</v>
      </c>
      <c r="N101" s="5">
        <v>200</v>
      </c>
      <c r="O101" s="5">
        <v>55</v>
      </c>
    </row>
    <row r="102" spans="2:15">
      <c r="B102" s="4" t="s">
        <v>124</v>
      </c>
      <c r="C102" s="4" t="s">
        <v>127</v>
      </c>
      <c r="D102" s="4" t="s">
        <v>497</v>
      </c>
      <c r="E102" s="4" t="s">
        <v>31</v>
      </c>
      <c r="F102" s="4" t="s">
        <v>126</v>
      </c>
      <c r="G102" s="4">
        <v>101020119</v>
      </c>
      <c r="H102" s="5">
        <v>36</v>
      </c>
      <c r="I102" s="7">
        <v>3388</v>
      </c>
      <c r="J102" s="7">
        <v>121968</v>
      </c>
      <c r="K102" s="7">
        <v>102636</v>
      </c>
      <c r="L102" s="7">
        <v>19332</v>
      </c>
      <c r="M102" s="8">
        <v>0.1585</v>
      </c>
      <c r="N102" s="5">
        <v>22</v>
      </c>
      <c r="O102" s="5">
        <v>18</v>
      </c>
    </row>
    <row r="103" spans="2:15">
      <c r="B103" s="4" t="s">
        <v>124</v>
      </c>
      <c r="C103" s="4" t="s">
        <v>127</v>
      </c>
      <c r="D103" s="4" t="s">
        <v>498</v>
      </c>
      <c r="E103" s="4" t="s">
        <v>31</v>
      </c>
      <c r="F103" s="4" t="s">
        <v>126</v>
      </c>
      <c r="G103" s="4">
        <v>101020096</v>
      </c>
      <c r="H103" s="5">
        <v>332</v>
      </c>
      <c r="I103" s="7">
        <v>355.46</v>
      </c>
      <c r="J103" s="7">
        <v>118014</v>
      </c>
      <c r="K103" s="7">
        <v>101904.913</v>
      </c>
      <c r="L103" s="7">
        <v>16109.087</v>
      </c>
      <c r="M103" s="8">
        <v>0.13650000000000001</v>
      </c>
      <c r="N103" s="5">
        <v>149</v>
      </c>
      <c r="O103" s="5">
        <v>54</v>
      </c>
    </row>
    <row r="104" spans="2:15">
      <c r="B104" s="4" t="s">
        <v>124</v>
      </c>
      <c r="C104" s="4" t="s">
        <v>125</v>
      </c>
      <c r="D104" s="4" t="s">
        <v>39</v>
      </c>
      <c r="E104" s="4" t="s">
        <v>31</v>
      </c>
      <c r="F104" s="4" t="s">
        <v>126</v>
      </c>
      <c r="G104" s="4">
        <v>101010294</v>
      </c>
      <c r="H104" s="5">
        <v>585</v>
      </c>
      <c r="I104" s="7">
        <v>200.19</v>
      </c>
      <c r="J104" s="7">
        <v>117112</v>
      </c>
      <c r="K104" s="7">
        <v>79977.941099999996</v>
      </c>
      <c r="L104" s="7">
        <v>37134.058900000004</v>
      </c>
      <c r="M104" s="8">
        <v>0.317</v>
      </c>
      <c r="N104" s="5">
        <v>220</v>
      </c>
      <c r="O104" s="5">
        <v>61</v>
      </c>
    </row>
    <row r="105" spans="2:15">
      <c r="B105" s="4" t="s">
        <v>124</v>
      </c>
      <c r="C105" s="4" t="s">
        <v>130</v>
      </c>
      <c r="D105" s="4" t="s">
        <v>87</v>
      </c>
      <c r="E105" s="4" t="s">
        <v>86</v>
      </c>
      <c r="F105" s="4" t="s">
        <v>126</v>
      </c>
      <c r="G105" s="4">
        <v>101010098</v>
      </c>
      <c r="H105" s="5">
        <v>710</v>
      </c>
      <c r="I105" s="7">
        <v>159.07</v>
      </c>
      <c r="J105" s="7">
        <v>112938</v>
      </c>
      <c r="K105" s="7">
        <v>92481.473199999993</v>
      </c>
      <c r="L105" s="7">
        <v>20456.5268</v>
      </c>
      <c r="M105" s="8">
        <v>0.18110000000000001</v>
      </c>
      <c r="N105" s="5">
        <v>312</v>
      </c>
      <c r="O105" s="5">
        <v>73</v>
      </c>
    </row>
    <row r="106" spans="2:15">
      <c r="B106" s="4" t="s">
        <v>124</v>
      </c>
      <c r="C106" s="4" t="s">
        <v>125</v>
      </c>
      <c r="D106" s="4" t="s">
        <v>499</v>
      </c>
      <c r="E106" s="4" t="s">
        <v>123</v>
      </c>
      <c r="F106" s="4" t="s">
        <v>126</v>
      </c>
      <c r="G106" s="4">
        <v>101010381</v>
      </c>
      <c r="H106" s="5">
        <v>870</v>
      </c>
      <c r="I106" s="7">
        <v>124.45</v>
      </c>
      <c r="J106" s="7">
        <v>108268</v>
      </c>
      <c r="K106" s="7">
        <v>92598.219100000002</v>
      </c>
      <c r="L106" s="7">
        <v>15669.7809</v>
      </c>
      <c r="M106" s="8">
        <v>0.1447</v>
      </c>
      <c r="N106" s="5">
        <v>329</v>
      </c>
      <c r="O106" s="5">
        <v>60</v>
      </c>
    </row>
    <row r="107" spans="2:15">
      <c r="B107" s="4" t="s">
        <v>124</v>
      </c>
      <c r="C107" s="4" t="s">
        <v>125</v>
      </c>
      <c r="D107" s="4" t="s">
        <v>500</v>
      </c>
      <c r="E107" s="4" t="s">
        <v>31</v>
      </c>
      <c r="F107" s="4" t="s">
        <v>126</v>
      </c>
      <c r="G107" s="4">
        <v>101010443</v>
      </c>
      <c r="H107" s="5">
        <v>546</v>
      </c>
      <c r="I107" s="7">
        <v>197.37</v>
      </c>
      <c r="J107" s="7">
        <v>107766</v>
      </c>
      <c r="K107" s="7">
        <v>70683.081000000006</v>
      </c>
      <c r="L107" s="7">
        <v>37082.919000000002</v>
      </c>
      <c r="M107" s="8">
        <v>0.34410000000000002</v>
      </c>
      <c r="N107" s="5">
        <v>246</v>
      </c>
      <c r="O107" s="5">
        <v>63</v>
      </c>
    </row>
    <row r="108" spans="2:15">
      <c r="B108" s="4" t="s">
        <v>124</v>
      </c>
      <c r="C108" s="4" t="s">
        <v>125</v>
      </c>
      <c r="D108" s="4" t="s">
        <v>501</v>
      </c>
      <c r="E108" s="4" t="s">
        <v>123</v>
      </c>
      <c r="F108" s="4" t="s">
        <v>126</v>
      </c>
      <c r="G108" s="4">
        <v>101010386</v>
      </c>
      <c r="H108" s="5">
        <v>681</v>
      </c>
      <c r="I108" s="7">
        <v>156.11000000000001</v>
      </c>
      <c r="J108" s="7">
        <v>106308</v>
      </c>
      <c r="K108" s="7">
        <v>73315.544599999994</v>
      </c>
      <c r="L108" s="7">
        <v>32992.455399999999</v>
      </c>
      <c r="M108" s="8">
        <v>0.31030000000000002</v>
      </c>
      <c r="N108" s="5">
        <v>349</v>
      </c>
      <c r="O108" s="5">
        <v>59</v>
      </c>
    </row>
    <row r="109" spans="2:15">
      <c r="B109" s="4" t="s">
        <v>124</v>
      </c>
      <c r="C109" s="4" t="s">
        <v>147</v>
      </c>
      <c r="D109" s="4" t="s">
        <v>502</v>
      </c>
      <c r="E109" s="4" t="s">
        <v>176</v>
      </c>
      <c r="F109" s="4" t="s">
        <v>126</v>
      </c>
      <c r="G109" s="4">
        <v>101010311</v>
      </c>
      <c r="H109" s="5">
        <v>3764</v>
      </c>
      <c r="I109" s="7">
        <v>27.62</v>
      </c>
      <c r="J109" s="7">
        <v>103979.5</v>
      </c>
      <c r="K109" s="7">
        <v>82984.950100000002</v>
      </c>
      <c r="L109" s="7">
        <v>20994.549900000002</v>
      </c>
      <c r="M109" s="8">
        <v>0.2019</v>
      </c>
      <c r="N109" s="5">
        <v>1693</v>
      </c>
      <c r="O109" s="5">
        <v>72</v>
      </c>
    </row>
    <row r="110" spans="2:15">
      <c r="B110" s="4" t="s">
        <v>124</v>
      </c>
      <c r="C110" s="4" t="s">
        <v>125</v>
      </c>
      <c r="D110" s="4" t="s">
        <v>503</v>
      </c>
      <c r="E110" s="4" t="s">
        <v>232</v>
      </c>
      <c r="F110" s="4" t="s">
        <v>126</v>
      </c>
      <c r="G110" s="4">
        <v>101010275</v>
      </c>
      <c r="H110" s="5">
        <v>2771</v>
      </c>
      <c r="I110" s="7">
        <v>36.020000000000003</v>
      </c>
      <c r="J110" s="7">
        <v>99812</v>
      </c>
      <c r="K110" s="7">
        <v>77458.103900000002</v>
      </c>
      <c r="L110" s="7">
        <v>22353.896100000002</v>
      </c>
      <c r="M110" s="8">
        <v>0.22389999999999999</v>
      </c>
      <c r="N110" s="5">
        <v>1572</v>
      </c>
      <c r="O110" s="5">
        <v>75</v>
      </c>
    </row>
    <row r="111" spans="2:15">
      <c r="B111" s="4" t="s">
        <v>124</v>
      </c>
      <c r="C111" s="4" t="s">
        <v>125</v>
      </c>
      <c r="D111" s="4" t="s">
        <v>153</v>
      </c>
      <c r="E111" s="4" t="s">
        <v>31</v>
      </c>
      <c r="F111" s="4" t="s">
        <v>126</v>
      </c>
      <c r="G111" s="4">
        <v>101020062</v>
      </c>
      <c r="H111" s="5">
        <v>917</v>
      </c>
      <c r="I111" s="7">
        <v>108.78</v>
      </c>
      <c r="J111" s="7">
        <v>99752</v>
      </c>
      <c r="K111" s="7">
        <v>50986.802600000003</v>
      </c>
      <c r="L111" s="7">
        <v>48765.197399999997</v>
      </c>
      <c r="M111" s="8">
        <v>0.48880000000000001</v>
      </c>
      <c r="N111" s="5">
        <v>346</v>
      </c>
      <c r="O111" s="5">
        <v>70</v>
      </c>
    </row>
    <row r="112" spans="2:15">
      <c r="B112" s="4" t="s">
        <v>124</v>
      </c>
      <c r="C112" s="4" t="s">
        <v>125</v>
      </c>
      <c r="D112" s="4" t="s">
        <v>247</v>
      </c>
      <c r="E112" s="4" t="s">
        <v>31</v>
      </c>
      <c r="F112" s="4" t="s">
        <v>126</v>
      </c>
      <c r="G112" s="4">
        <v>101010475</v>
      </c>
      <c r="H112" s="5">
        <v>530</v>
      </c>
      <c r="I112" s="7">
        <v>188</v>
      </c>
      <c r="J112" s="7">
        <v>99640</v>
      </c>
      <c r="K112" s="7">
        <v>32735.483400000001</v>
      </c>
      <c r="L112" s="7">
        <v>66904.516600000003</v>
      </c>
      <c r="M112" s="8">
        <v>0.6714</v>
      </c>
      <c r="N112" s="5">
        <v>245</v>
      </c>
      <c r="O112" s="5">
        <v>58</v>
      </c>
    </row>
    <row r="113" spans="2:15">
      <c r="B113" s="4" t="s">
        <v>124</v>
      </c>
      <c r="C113" s="4" t="s">
        <v>127</v>
      </c>
      <c r="D113" s="4" t="s">
        <v>504</v>
      </c>
      <c r="E113" s="4" t="s">
        <v>399</v>
      </c>
      <c r="F113" s="4" t="s">
        <v>126</v>
      </c>
      <c r="G113" s="4">
        <v>101020116</v>
      </c>
      <c r="H113" s="5">
        <v>6</v>
      </c>
      <c r="I113" s="7">
        <v>15933</v>
      </c>
      <c r="J113" s="7">
        <v>95598</v>
      </c>
      <c r="K113" s="7">
        <v>88800</v>
      </c>
      <c r="L113" s="7">
        <v>6798</v>
      </c>
      <c r="M113" s="8">
        <v>7.1099999999999997E-2</v>
      </c>
      <c r="N113" s="5">
        <v>6</v>
      </c>
      <c r="O113" s="5">
        <v>6</v>
      </c>
    </row>
    <row r="114" spans="2:15">
      <c r="B114" s="4" t="s">
        <v>124</v>
      </c>
      <c r="C114" s="4" t="s">
        <v>147</v>
      </c>
      <c r="D114" s="4" t="s">
        <v>233</v>
      </c>
      <c r="E114" s="4" t="s">
        <v>167</v>
      </c>
      <c r="F114" s="4" t="s">
        <v>126</v>
      </c>
      <c r="G114" s="4">
        <v>101030042</v>
      </c>
      <c r="H114" s="5">
        <v>1138</v>
      </c>
      <c r="I114" s="7">
        <v>83.25</v>
      </c>
      <c r="J114" s="7">
        <v>94740</v>
      </c>
      <c r="K114" s="7">
        <v>45158.110999999997</v>
      </c>
      <c r="L114" s="7">
        <v>49581.889000000003</v>
      </c>
      <c r="M114" s="8">
        <v>0.52329999999999999</v>
      </c>
      <c r="N114" s="5">
        <v>364</v>
      </c>
      <c r="O114" s="5">
        <v>69</v>
      </c>
    </row>
    <row r="115" spans="2:15">
      <c r="B115" s="4" t="s">
        <v>124</v>
      </c>
      <c r="C115" s="4" t="s">
        <v>125</v>
      </c>
      <c r="D115" s="4" t="s">
        <v>191</v>
      </c>
      <c r="E115" s="4" t="s">
        <v>31</v>
      </c>
      <c r="F115" s="4" t="s">
        <v>126</v>
      </c>
      <c r="G115" s="4">
        <v>101010441</v>
      </c>
      <c r="H115" s="5">
        <v>308</v>
      </c>
      <c r="I115" s="7">
        <v>304.66000000000003</v>
      </c>
      <c r="J115" s="7">
        <v>93836</v>
      </c>
      <c r="K115" s="7">
        <v>62921.214999999997</v>
      </c>
      <c r="L115" s="7">
        <v>30914.785</v>
      </c>
      <c r="M115" s="8">
        <v>0.32940000000000003</v>
      </c>
      <c r="N115" s="5">
        <v>132</v>
      </c>
      <c r="O115" s="5">
        <v>49</v>
      </c>
    </row>
    <row r="116" spans="2:15">
      <c r="B116" s="4" t="s">
        <v>124</v>
      </c>
      <c r="C116" s="4" t="s">
        <v>125</v>
      </c>
      <c r="D116" s="4" t="s">
        <v>505</v>
      </c>
      <c r="E116" s="4" t="s">
        <v>31</v>
      </c>
      <c r="F116" s="4" t="s">
        <v>126</v>
      </c>
      <c r="G116" s="4">
        <v>101010455</v>
      </c>
      <c r="H116" s="5">
        <v>707</v>
      </c>
      <c r="I116" s="7">
        <v>131.32</v>
      </c>
      <c r="J116" s="7">
        <v>92840</v>
      </c>
      <c r="K116" s="7">
        <v>58108.3986</v>
      </c>
      <c r="L116" s="7">
        <v>34731.6014</v>
      </c>
      <c r="M116" s="8">
        <v>0.37409999999999999</v>
      </c>
      <c r="N116" s="5">
        <v>305</v>
      </c>
      <c r="O116" s="5">
        <v>64</v>
      </c>
    </row>
    <row r="117" spans="2:15">
      <c r="B117" s="4" t="s">
        <v>124</v>
      </c>
      <c r="C117" s="4" t="s">
        <v>125</v>
      </c>
      <c r="D117" s="4" t="s">
        <v>506</v>
      </c>
      <c r="E117" s="4" t="s">
        <v>232</v>
      </c>
      <c r="F117" s="4" t="s">
        <v>126</v>
      </c>
      <c r="G117" s="4">
        <v>101010266</v>
      </c>
      <c r="H117" s="5">
        <v>2333</v>
      </c>
      <c r="I117" s="7">
        <v>38.950000000000003</v>
      </c>
      <c r="J117" s="7">
        <v>90874</v>
      </c>
      <c r="K117" s="7">
        <v>69799.517600000006</v>
      </c>
      <c r="L117" s="7">
        <v>21074.482400000001</v>
      </c>
      <c r="M117" s="8">
        <v>0.2319</v>
      </c>
      <c r="N117" s="5">
        <v>1269</v>
      </c>
      <c r="O117" s="5">
        <v>75</v>
      </c>
    </row>
    <row r="118" spans="2:15">
      <c r="B118" s="4" t="s">
        <v>124</v>
      </c>
      <c r="C118" s="4" t="s">
        <v>127</v>
      </c>
      <c r="D118" s="4" t="s">
        <v>163</v>
      </c>
      <c r="E118" s="4" t="s">
        <v>164</v>
      </c>
      <c r="F118" s="4" t="s">
        <v>126</v>
      </c>
      <c r="G118" s="4">
        <v>101020108</v>
      </c>
      <c r="H118" s="5">
        <v>98</v>
      </c>
      <c r="I118" s="7">
        <v>854.99</v>
      </c>
      <c r="J118" s="7">
        <v>83789</v>
      </c>
      <c r="K118" s="7">
        <v>76440</v>
      </c>
      <c r="L118" s="7">
        <v>7349</v>
      </c>
      <c r="M118" s="8">
        <v>8.77E-2</v>
      </c>
      <c r="N118" s="5">
        <v>21</v>
      </c>
      <c r="O118" s="5">
        <v>10</v>
      </c>
    </row>
    <row r="119" spans="2:15">
      <c r="B119" s="4" t="s">
        <v>124</v>
      </c>
      <c r="C119" s="4" t="s">
        <v>125</v>
      </c>
      <c r="D119" s="4" t="s">
        <v>85</v>
      </c>
      <c r="E119" s="4" t="s">
        <v>86</v>
      </c>
      <c r="F119" s="4" t="s">
        <v>126</v>
      </c>
      <c r="G119" s="4">
        <v>101010004</v>
      </c>
      <c r="H119" s="5">
        <v>232</v>
      </c>
      <c r="I119" s="7">
        <v>359</v>
      </c>
      <c r="J119" s="7">
        <v>83288</v>
      </c>
      <c r="K119" s="7">
        <v>67280</v>
      </c>
      <c r="L119" s="7">
        <v>16008</v>
      </c>
      <c r="M119" s="8">
        <v>0.19220000000000001</v>
      </c>
      <c r="N119" s="5">
        <v>107</v>
      </c>
      <c r="O119" s="5">
        <v>45</v>
      </c>
    </row>
    <row r="120" spans="2:15">
      <c r="B120" s="4" t="s">
        <v>124</v>
      </c>
      <c r="C120" s="4" t="s">
        <v>127</v>
      </c>
      <c r="D120" s="4" t="s">
        <v>507</v>
      </c>
      <c r="E120" s="4" t="s">
        <v>31</v>
      </c>
      <c r="F120" s="4" t="s">
        <v>126</v>
      </c>
      <c r="G120" s="4">
        <v>101020050</v>
      </c>
      <c r="H120" s="5">
        <v>232</v>
      </c>
      <c r="I120" s="7">
        <v>358.07</v>
      </c>
      <c r="J120" s="7">
        <v>83072</v>
      </c>
      <c r="K120" s="7">
        <v>62061.308299999997</v>
      </c>
      <c r="L120" s="7">
        <v>21010.691699999999</v>
      </c>
      <c r="M120" s="8">
        <v>0.25290000000000001</v>
      </c>
      <c r="N120" s="5">
        <v>83</v>
      </c>
      <c r="O120" s="5">
        <v>40</v>
      </c>
    </row>
    <row r="121" spans="2:15">
      <c r="B121" s="4" t="s">
        <v>124</v>
      </c>
      <c r="C121" s="4" t="s">
        <v>147</v>
      </c>
      <c r="D121" s="4" t="s">
        <v>171</v>
      </c>
      <c r="E121" s="4" t="s">
        <v>167</v>
      </c>
      <c r="F121" s="4" t="s">
        <v>126</v>
      </c>
      <c r="G121" s="4">
        <v>101010071</v>
      </c>
      <c r="H121" s="5">
        <v>485</v>
      </c>
      <c r="I121" s="7">
        <v>163.18</v>
      </c>
      <c r="J121" s="7">
        <v>79142</v>
      </c>
      <c r="K121" s="7">
        <v>56260</v>
      </c>
      <c r="L121" s="7">
        <v>22882</v>
      </c>
      <c r="M121" s="8">
        <v>0.28910000000000002</v>
      </c>
      <c r="N121" s="5">
        <v>239</v>
      </c>
      <c r="O121" s="5">
        <v>66</v>
      </c>
    </row>
    <row r="122" spans="2:15">
      <c r="B122" s="4" t="s">
        <v>124</v>
      </c>
      <c r="C122" s="4" t="s">
        <v>147</v>
      </c>
      <c r="D122" s="4" t="s">
        <v>508</v>
      </c>
      <c r="E122" s="4" t="s">
        <v>176</v>
      </c>
      <c r="F122" s="4" t="s">
        <v>126</v>
      </c>
      <c r="G122" s="4">
        <v>101010313</v>
      </c>
      <c r="H122" s="5">
        <v>5652</v>
      </c>
      <c r="I122" s="7">
        <v>13.33</v>
      </c>
      <c r="J122" s="7">
        <v>75347</v>
      </c>
      <c r="K122" s="7">
        <v>55236.163</v>
      </c>
      <c r="L122" s="7">
        <v>20110.837</v>
      </c>
      <c r="M122" s="8">
        <v>0.26690000000000003</v>
      </c>
      <c r="N122" s="5">
        <v>2013</v>
      </c>
      <c r="O122" s="5">
        <v>74</v>
      </c>
    </row>
    <row r="123" spans="2:15">
      <c r="B123" s="4" t="s">
        <v>124</v>
      </c>
      <c r="C123" s="4" t="s">
        <v>125</v>
      </c>
      <c r="D123" s="4" t="s">
        <v>239</v>
      </c>
      <c r="E123" s="4" t="s">
        <v>31</v>
      </c>
      <c r="F123" s="4" t="s">
        <v>126</v>
      </c>
      <c r="G123" s="4">
        <v>101010472</v>
      </c>
      <c r="H123" s="5">
        <v>1818</v>
      </c>
      <c r="I123" s="7">
        <v>41.16</v>
      </c>
      <c r="J123" s="7">
        <v>74836</v>
      </c>
      <c r="K123" s="7">
        <v>38091.483500000002</v>
      </c>
      <c r="L123" s="7">
        <v>36744.516499999998</v>
      </c>
      <c r="M123" s="8">
        <v>0.49099999999999999</v>
      </c>
      <c r="N123" s="5">
        <v>793</v>
      </c>
      <c r="O123" s="5">
        <v>76</v>
      </c>
    </row>
    <row r="124" spans="2:15">
      <c r="B124" s="4" t="s">
        <v>124</v>
      </c>
      <c r="C124" s="4" t="s">
        <v>127</v>
      </c>
      <c r="D124" s="4" t="s">
        <v>376</v>
      </c>
      <c r="E124" s="4" t="s">
        <v>31</v>
      </c>
      <c r="F124" s="4" t="s">
        <v>126</v>
      </c>
      <c r="G124" s="4">
        <v>101020049</v>
      </c>
      <c r="H124" s="5">
        <v>15</v>
      </c>
      <c r="I124" s="7">
        <v>4890.8</v>
      </c>
      <c r="J124" s="7">
        <v>73362</v>
      </c>
      <c r="K124" s="7">
        <v>57921.230799999998</v>
      </c>
      <c r="L124" s="7">
        <v>15440.769200000001</v>
      </c>
      <c r="M124" s="8">
        <v>0.2104</v>
      </c>
      <c r="N124" s="5">
        <v>8</v>
      </c>
      <c r="O124" s="5">
        <v>6</v>
      </c>
    </row>
    <row r="125" spans="2:15">
      <c r="B125" s="4" t="s">
        <v>124</v>
      </c>
      <c r="C125" s="4" t="s">
        <v>125</v>
      </c>
      <c r="D125" s="4" t="s">
        <v>509</v>
      </c>
      <c r="E125" s="4" t="s">
        <v>123</v>
      </c>
      <c r="F125" s="4" t="s">
        <v>126</v>
      </c>
      <c r="G125" s="4">
        <v>101010382</v>
      </c>
      <c r="H125" s="5">
        <v>1912</v>
      </c>
      <c r="I125" s="7">
        <v>37.99</v>
      </c>
      <c r="J125" s="7">
        <v>72642</v>
      </c>
      <c r="K125" s="7">
        <v>63094.612300000001</v>
      </c>
      <c r="L125" s="7">
        <v>9547.3876999999993</v>
      </c>
      <c r="M125" s="8">
        <v>0.13139999999999999</v>
      </c>
      <c r="N125" s="5">
        <v>896</v>
      </c>
      <c r="O125" s="5">
        <v>71</v>
      </c>
    </row>
    <row r="126" spans="2:15">
      <c r="B126" s="4" t="s">
        <v>124</v>
      </c>
      <c r="C126" s="4" t="s">
        <v>236</v>
      </c>
      <c r="D126" s="4" t="s">
        <v>510</v>
      </c>
      <c r="E126" s="4" t="s">
        <v>123</v>
      </c>
      <c r="F126" s="4" t="s">
        <v>126</v>
      </c>
      <c r="G126" s="4">
        <v>101050001</v>
      </c>
      <c r="H126" s="5">
        <v>589</v>
      </c>
      <c r="I126" s="7">
        <v>119.43</v>
      </c>
      <c r="J126" s="7">
        <v>70344</v>
      </c>
      <c r="K126" s="7">
        <v>41077.137199999997</v>
      </c>
      <c r="L126" s="7">
        <v>29266.862799999999</v>
      </c>
      <c r="M126" s="8">
        <v>0.41599999999999998</v>
      </c>
      <c r="N126" s="5">
        <v>330</v>
      </c>
      <c r="O126" s="5">
        <v>66</v>
      </c>
    </row>
    <row r="127" spans="2:15">
      <c r="B127" s="4" t="s">
        <v>124</v>
      </c>
      <c r="C127" s="4" t="s">
        <v>127</v>
      </c>
      <c r="D127" s="4" t="s">
        <v>511</v>
      </c>
      <c r="E127" s="4" t="s">
        <v>512</v>
      </c>
      <c r="F127" s="4" t="s">
        <v>126</v>
      </c>
      <c r="G127" s="4">
        <v>101020109</v>
      </c>
      <c r="H127" s="5">
        <v>111</v>
      </c>
      <c r="I127" s="7">
        <v>618</v>
      </c>
      <c r="J127" s="7">
        <v>68598</v>
      </c>
      <c r="K127" s="7">
        <v>56610</v>
      </c>
      <c r="L127" s="7">
        <v>11988</v>
      </c>
      <c r="M127" s="8">
        <v>0.17469999999999999</v>
      </c>
      <c r="N127" s="5">
        <v>17</v>
      </c>
      <c r="O127" s="5">
        <v>7</v>
      </c>
    </row>
    <row r="128" spans="2:15">
      <c r="B128" s="4" t="s">
        <v>124</v>
      </c>
      <c r="C128" s="4" t="s">
        <v>125</v>
      </c>
      <c r="D128" s="4" t="s">
        <v>513</v>
      </c>
      <c r="E128" s="4" t="s">
        <v>31</v>
      </c>
      <c r="F128" s="4" t="s">
        <v>126</v>
      </c>
      <c r="G128" s="4">
        <v>101010409</v>
      </c>
      <c r="H128" s="5">
        <v>137</v>
      </c>
      <c r="I128" s="7">
        <v>490.38</v>
      </c>
      <c r="J128" s="7">
        <v>67182</v>
      </c>
      <c r="K128" s="7">
        <v>53875.280100000004</v>
      </c>
      <c r="L128" s="7">
        <v>13306.7199</v>
      </c>
      <c r="M128" s="8">
        <v>0.19800000000000001</v>
      </c>
      <c r="N128" s="5">
        <v>62</v>
      </c>
      <c r="O128" s="5">
        <v>36</v>
      </c>
    </row>
    <row r="129" spans="2:15">
      <c r="B129" s="4" t="s">
        <v>124</v>
      </c>
      <c r="C129" s="4" t="s">
        <v>147</v>
      </c>
      <c r="D129" s="4" t="s">
        <v>514</v>
      </c>
      <c r="E129" s="4" t="s">
        <v>123</v>
      </c>
      <c r="F129" s="4" t="s">
        <v>126</v>
      </c>
      <c r="G129" s="4">
        <v>101010380</v>
      </c>
      <c r="H129" s="5">
        <v>2007</v>
      </c>
      <c r="I129" s="7">
        <v>31.82</v>
      </c>
      <c r="J129" s="7">
        <v>63869.1</v>
      </c>
      <c r="K129" s="7">
        <v>46108.063800000004</v>
      </c>
      <c r="L129" s="7">
        <v>17761.036199999999</v>
      </c>
      <c r="M129" s="8">
        <v>0.27800000000000002</v>
      </c>
      <c r="N129" s="5">
        <v>833</v>
      </c>
      <c r="O129" s="5">
        <v>70</v>
      </c>
    </row>
    <row r="130" spans="2:15">
      <c r="B130" s="4" t="s">
        <v>124</v>
      </c>
      <c r="C130" s="4" t="s">
        <v>127</v>
      </c>
      <c r="D130" s="4" t="s">
        <v>392</v>
      </c>
      <c r="E130" s="4" t="s">
        <v>123</v>
      </c>
      <c r="F130" s="4" t="s">
        <v>126</v>
      </c>
      <c r="G130" s="4">
        <v>101020091</v>
      </c>
      <c r="H130" s="5">
        <v>3</v>
      </c>
      <c r="I130" s="7">
        <v>21200</v>
      </c>
      <c r="J130" s="7">
        <v>63600</v>
      </c>
      <c r="K130" s="7">
        <v>41114.102599999998</v>
      </c>
      <c r="L130" s="7">
        <v>22485.897400000002</v>
      </c>
      <c r="M130" s="8">
        <v>0.35349999999999998</v>
      </c>
      <c r="N130" s="5">
        <v>3</v>
      </c>
      <c r="O130" s="5">
        <v>3</v>
      </c>
    </row>
    <row r="131" spans="2:15">
      <c r="B131" s="4" t="s">
        <v>124</v>
      </c>
      <c r="C131" s="4" t="s">
        <v>125</v>
      </c>
      <c r="D131" s="4" t="s">
        <v>265</v>
      </c>
      <c r="E131" s="4" t="s">
        <v>31</v>
      </c>
      <c r="F131" s="4" t="s">
        <v>126</v>
      </c>
      <c r="G131" s="4">
        <v>101010486</v>
      </c>
      <c r="H131" s="5">
        <v>338</v>
      </c>
      <c r="I131" s="7">
        <v>188</v>
      </c>
      <c r="J131" s="7">
        <v>63544</v>
      </c>
      <c r="K131" s="7">
        <v>32005.255099999998</v>
      </c>
      <c r="L131" s="7">
        <v>31538.744900000002</v>
      </c>
      <c r="M131" s="8">
        <v>0.49630000000000002</v>
      </c>
      <c r="N131" s="5">
        <v>193</v>
      </c>
      <c r="O131" s="5">
        <v>57</v>
      </c>
    </row>
    <row r="132" spans="2:15">
      <c r="B132" s="4" t="s">
        <v>124</v>
      </c>
      <c r="C132" s="4" t="s">
        <v>125</v>
      </c>
      <c r="D132" s="4" t="s">
        <v>515</v>
      </c>
      <c r="E132" s="4" t="s">
        <v>31</v>
      </c>
      <c r="F132" s="4" t="s">
        <v>126</v>
      </c>
      <c r="G132" s="4">
        <v>101010257</v>
      </c>
      <c r="H132" s="5">
        <v>811</v>
      </c>
      <c r="I132" s="7">
        <v>77.42</v>
      </c>
      <c r="J132" s="7">
        <v>62784</v>
      </c>
      <c r="K132" s="7">
        <v>41861.6947</v>
      </c>
      <c r="L132" s="7">
        <v>20922.3053</v>
      </c>
      <c r="M132" s="8">
        <v>0.3332</v>
      </c>
      <c r="N132" s="5">
        <v>456</v>
      </c>
      <c r="O132" s="5">
        <v>67</v>
      </c>
    </row>
    <row r="133" spans="2:15">
      <c r="B133" s="4" t="s">
        <v>124</v>
      </c>
      <c r="C133" s="4" t="s">
        <v>147</v>
      </c>
      <c r="D133" s="4" t="s">
        <v>516</v>
      </c>
      <c r="E133" s="4" t="s">
        <v>176</v>
      </c>
      <c r="F133" s="4" t="s">
        <v>126</v>
      </c>
      <c r="G133" s="4">
        <v>101030045</v>
      </c>
      <c r="H133" s="5">
        <v>2555</v>
      </c>
      <c r="I133" s="7">
        <v>24.45</v>
      </c>
      <c r="J133" s="7">
        <v>62468</v>
      </c>
      <c r="K133" s="7">
        <v>40750.234499999999</v>
      </c>
      <c r="L133" s="7">
        <v>21717.765500000001</v>
      </c>
      <c r="M133" s="8">
        <v>0.34760000000000002</v>
      </c>
      <c r="N133" s="5">
        <v>1237</v>
      </c>
      <c r="O133" s="5">
        <v>77</v>
      </c>
    </row>
    <row r="134" spans="2:15">
      <c r="B134" s="4" t="s">
        <v>124</v>
      </c>
      <c r="C134" s="4" t="s">
        <v>125</v>
      </c>
      <c r="D134" s="4" t="s">
        <v>517</v>
      </c>
      <c r="E134" s="4" t="s">
        <v>31</v>
      </c>
      <c r="F134" s="4" t="s">
        <v>126</v>
      </c>
      <c r="G134" s="4">
        <v>101010291</v>
      </c>
      <c r="H134" s="5">
        <v>343</v>
      </c>
      <c r="I134" s="7">
        <v>176.59</v>
      </c>
      <c r="J134" s="7">
        <v>60569</v>
      </c>
      <c r="K134" s="7">
        <v>47801.013899999998</v>
      </c>
      <c r="L134" s="7">
        <v>12767.9861</v>
      </c>
      <c r="M134" s="8">
        <v>0.21079999999999999</v>
      </c>
      <c r="N134" s="5">
        <v>182</v>
      </c>
      <c r="O134" s="5">
        <v>59</v>
      </c>
    </row>
    <row r="135" spans="2:15">
      <c r="B135" s="4" t="s">
        <v>124</v>
      </c>
      <c r="C135" s="4" t="s">
        <v>147</v>
      </c>
      <c r="D135" s="4" t="s">
        <v>518</v>
      </c>
      <c r="E135" s="4" t="s">
        <v>302</v>
      </c>
      <c r="F135" s="4" t="s">
        <v>126</v>
      </c>
      <c r="G135" s="4">
        <v>101010310</v>
      </c>
      <c r="H135" s="5">
        <v>4202</v>
      </c>
      <c r="I135" s="7">
        <v>13.73</v>
      </c>
      <c r="J135" s="7">
        <v>57677.9</v>
      </c>
      <c r="K135" s="7">
        <v>42976.2255</v>
      </c>
      <c r="L135" s="7">
        <v>14701.674499999999</v>
      </c>
      <c r="M135" s="8">
        <v>0.25480000000000003</v>
      </c>
      <c r="N135" s="5">
        <v>3266</v>
      </c>
      <c r="O135" s="5">
        <v>71</v>
      </c>
    </row>
    <row r="136" spans="2:15">
      <c r="B136" s="4" t="s">
        <v>124</v>
      </c>
      <c r="C136" s="4" t="s">
        <v>127</v>
      </c>
      <c r="D136" s="4" t="s">
        <v>519</v>
      </c>
      <c r="E136" s="4" t="s">
        <v>520</v>
      </c>
      <c r="F136" s="4" t="s">
        <v>126</v>
      </c>
      <c r="G136" s="4">
        <v>101020103</v>
      </c>
      <c r="H136" s="5">
        <v>7</v>
      </c>
      <c r="I136" s="7">
        <v>8000</v>
      </c>
      <c r="J136" s="7">
        <v>56000</v>
      </c>
      <c r="K136" s="7">
        <v>49544.18</v>
      </c>
      <c r="L136" s="7">
        <v>6455.82</v>
      </c>
      <c r="M136" s="8">
        <v>0.1152</v>
      </c>
      <c r="N136" s="5">
        <v>6</v>
      </c>
      <c r="O136" s="5">
        <v>6</v>
      </c>
    </row>
    <row r="137" spans="2:15">
      <c r="B137" s="4" t="s">
        <v>124</v>
      </c>
      <c r="C137" s="4" t="s">
        <v>147</v>
      </c>
      <c r="D137" s="4" t="s">
        <v>521</v>
      </c>
      <c r="E137" s="4" t="s">
        <v>123</v>
      </c>
      <c r="F137" s="4" t="s">
        <v>126</v>
      </c>
      <c r="G137" s="4">
        <v>101030031</v>
      </c>
      <c r="H137" s="5">
        <v>689</v>
      </c>
      <c r="I137" s="7">
        <v>80.040000000000006</v>
      </c>
      <c r="J137" s="7">
        <v>55145</v>
      </c>
      <c r="K137" s="7">
        <v>39183.947500000002</v>
      </c>
      <c r="L137" s="7">
        <v>15961.0525</v>
      </c>
      <c r="M137" s="8">
        <v>0.28939999999999999</v>
      </c>
      <c r="N137" s="5">
        <v>335</v>
      </c>
      <c r="O137" s="5">
        <v>59</v>
      </c>
    </row>
    <row r="138" spans="2:15">
      <c r="B138" s="4" t="s">
        <v>124</v>
      </c>
      <c r="C138" s="4" t="s">
        <v>125</v>
      </c>
      <c r="D138" s="4" t="s">
        <v>522</v>
      </c>
      <c r="E138" s="4" t="s">
        <v>157</v>
      </c>
      <c r="F138" s="4" t="s">
        <v>126</v>
      </c>
      <c r="G138" s="4">
        <v>101010506</v>
      </c>
      <c r="H138" s="5">
        <v>124</v>
      </c>
      <c r="I138" s="7">
        <v>439</v>
      </c>
      <c r="J138" s="7">
        <v>54436</v>
      </c>
      <c r="K138" s="7">
        <v>0</v>
      </c>
      <c r="L138" s="7">
        <v>54436</v>
      </c>
      <c r="M138" s="8">
        <v>1</v>
      </c>
      <c r="N138" s="5">
        <v>52</v>
      </c>
      <c r="O138" s="5">
        <v>29</v>
      </c>
    </row>
    <row r="139" spans="2:15">
      <c r="B139" s="4" t="s">
        <v>124</v>
      </c>
      <c r="C139" s="4" t="s">
        <v>125</v>
      </c>
      <c r="D139" s="4" t="s">
        <v>256</v>
      </c>
      <c r="E139" s="4" t="s">
        <v>31</v>
      </c>
      <c r="F139" s="4" t="s">
        <v>126</v>
      </c>
      <c r="G139" s="4">
        <v>101010456</v>
      </c>
      <c r="H139" s="5">
        <v>1541</v>
      </c>
      <c r="I139" s="7">
        <v>34.74</v>
      </c>
      <c r="J139" s="7">
        <v>53540</v>
      </c>
      <c r="K139" s="7">
        <v>30716.019700000001</v>
      </c>
      <c r="L139" s="7">
        <v>22823.980299999999</v>
      </c>
      <c r="M139" s="8">
        <v>0.42620000000000002</v>
      </c>
      <c r="N139" s="5">
        <v>457</v>
      </c>
      <c r="O139" s="5">
        <v>66</v>
      </c>
    </row>
    <row r="140" spans="2:15">
      <c r="B140" s="4" t="s">
        <v>124</v>
      </c>
      <c r="C140" s="4" t="s">
        <v>147</v>
      </c>
      <c r="D140" s="4" t="s">
        <v>523</v>
      </c>
      <c r="E140" s="4" t="s">
        <v>176</v>
      </c>
      <c r="F140" s="4" t="s">
        <v>126</v>
      </c>
      <c r="G140" s="4">
        <v>101030044</v>
      </c>
      <c r="H140" s="5">
        <v>2053</v>
      </c>
      <c r="I140" s="7">
        <v>24.43</v>
      </c>
      <c r="J140" s="7">
        <v>50165</v>
      </c>
      <c r="K140" s="7">
        <v>32726.087</v>
      </c>
      <c r="L140" s="7">
        <v>17438.913</v>
      </c>
      <c r="M140" s="8">
        <v>0.34760000000000002</v>
      </c>
      <c r="N140" s="5">
        <v>986</v>
      </c>
      <c r="O140" s="5">
        <v>77</v>
      </c>
    </row>
    <row r="141" spans="2:15">
      <c r="B141" s="4" t="s">
        <v>124</v>
      </c>
      <c r="C141" s="4" t="s">
        <v>220</v>
      </c>
      <c r="D141" s="4" t="s">
        <v>274</v>
      </c>
      <c r="E141" s="4" t="s">
        <v>215</v>
      </c>
      <c r="F141" s="4" t="s">
        <v>126</v>
      </c>
      <c r="G141" s="4">
        <v>101040001</v>
      </c>
      <c r="H141" s="5">
        <v>2760</v>
      </c>
      <c r="I141" s="7">
        <v>17.899999999999999</v>
      </c>
      <c r="J141" s="7">
        <v>49399.6</v>
      </c>
      <c r="K141" s="7">
        <v>36855.999600000003</v>
      </c>
      <c r="L141" s="7">
        <v>12543.600399999999</v>
      </c>
      <c r="M141" s="8">
        <v>0.25390000000000001</v>
      </c>
      <c r="N141" s="5">
        <v>1059</v>
      </c>
      <c r="O141" s="5">
        <v>70</v>
      </c>
    </row>
    <row r="142" spans="2:15">
      <c r="B142" s="4" t="s">
        <v>124</v>
      </c>
      <c r="C142" s="4" t="s">
        <v>125</v>
      </c>
      <c r="D142" s="4" t="s">
        <v>524</v>
      </c>
      <c r="E142" s="4" t="s">
        <v>31</v>
      </c>
      <c r="F142" s="4" t="s">
        <v>126</v>
      </c>
      <c r="G142" s="4">
        <v>101010490</v>
      </c>
      <c r="H142" s="5">
        <v>276</v>
      </c>
      <c r="I142" s="7">
        <v>174.71</v>
      </c>
      <c r="J142" s="7">
        <v>48219.4</v>
      </c>
      <c r="K142" s="7">
        <v>32461.095399999998</v>
      </c>
      <c r="L142" s="7">
        <v>15758.304599999999</v>
      </c>
      <c r="M142" s="8">
        <v>0.32679999999999998</v>
      </c>
      <c r="N142" s="5">
        <v>145</v>
      </c>
      <c r="O142" s="5">
        <v>52</v>
      </c>
    </row>
    <row r="143" spans="2:15" ht="24">
      <c r="B143" s="4" t="s">
        <v>124</v>
      </c>
      <c r="C143" s="4" t="s">
        <v>130</v>
      </c>
      <c r="D143" s="4" t="s">
        <v>138</v>
      </c>
      <c r="E143" s="4" t="s">
        <v>139</v>
      </c>
      <c r="F143" s="4" t="s">
        <v>126</v>
      </c>
      <c r="G143" s="4">
        <v>101990002</v>
      </c>
      <c r="H143" s="5">
        <v>165</v>
      </c>
      <c r="I143" s="7">
        <v>288.89</v>
      </c>
      <c r="J143" s="7">
        <v>47667</v>
      </c>
      <c r="K143" s="7">
        <v>28599.45</v>
      </c>
      <c r="L143" s="7">
        <v>19067.55</v>
      </c>
      <c r="M143" s="8">
        <v>0.4</v>
      </c>
      <c r="N143" s="5">
        <v>56</v>
      </c>
      <c r="O143" s="5">
        <v>30</v>
      </c>
    </row>
    <row r="144" spans="2:15">
      <c r="B144" s="4" t="s">
        <v>124</v>
      </c>
      <c r="C144" s="4" t="s">
        <v>125</v>
      </c>
      <c r="D144" s="4" t="s">
        <v>525</v>
      </c>
      <c r="E144" s="4" t="s">
        <v>123</v>
      </c>
      <c r="F144" s="4" t="s">
        <v>126</v>
      </c>
      <c r="G144" s="4">
        <v>101010373</v>
      </c>
      <c r="H144" s="5">
        <v>386</v>
      </c>
      <c r="I144" s="7">
        <v>118.13</v>
      </c>
      <c r="J144" s="7">
        <v>45598</v>
      </c>
      <c r="K144" s="7">
        <v>31924.827399999998</v>
      </c>
      <c r="L144" s="7">
        <v>13673.1726</v>
      </c>
      <c r="M144" s="8">
        <v>0.29980000000000001</v>
      </c>
      <c r="N144" s="5">
        <v>167</v>
      </c>
      <c r="O144" s="5">
        <v>52</v>
      </c>
    </row>
    <row r="145" spans="2:15">
      <c r="B145" s="4" t="s">
        <v>124</v>
      </c>
      <c r="C145" s="4" t="s">
        <v>127</v>
      </c>
      <c r="D145" s="4" t="s">
        <v>526</v>
      </c>
      <c r="E145" s="4" t="s">
        <v>31</v>
      </c>
      <c r="F145" s="4" t="s">
        <v>126</v>
      </c>
      <c r="G145" s="4">
        <v>101020095</v>
      </c>
      <c r="H145" s="5">
        <v>531</v>
      </c>
      <c r="I145" s="7">
        <v>80.89</v>
      </c>
      <c r="J145" s="7">
        <v>42951</v>
      </c>
      <c r="K145" s="7">
        <v>25389.124500000002</v>
      </c>
      <c r="L145" s="7">
        <v>17561.875499999998</v>
      </c>
      <c r="M145" s="8">
        <v>0.4088</v>
      </c>
      <c r="N145" s="5">
        <v>299</v>
      </c>
      <c r="O145" s="5">
        <v>57</v>
      </c>
    </row>
    <row r="146" spans="2:15">
      <c r="B146" s="4" t="s">
        <v>124</v>
      </c>
      <c r="C146" s="4" t="s">
        <v>125</v>
      </c>
      <c r="D146" s="4" t="s">
        <v>58</v>
      </c>
      <c r="E146" s="4" t="s">
        <v>123</v>
      </c>
      <c r="F146" s="4" t="s">
        <v>126</v>
      </c>
      <c r="G146" s="4">
        <v>101010521</v>
      </c>
      <c r="H146" s="5">
        <v>45</v>
      </c>
      <c r="I146" s="7">
        <v>952.33</v>
      </c>
      <c r="J146" s="7">
        <v>42855</v>
      </c>
      <c r="K146" s="7">
        <v>33300</v>
      </c>
      <c r="L146" s="7">
        <v>9555</v>
      </c>
      <c r="M146" s="8">
        <v>0.22289999999999999</v>
      </c>
      <c r="N146" s="5">
        <v>19</v>
      </c>
      <c r="O146" s="5">
        <v>16</v>
      </c>
    </row>
    <row r="147" spans="2:15">
      <c r="B147" s="4" t="s">
        <v>124</v>
      </c>
      <c r="C147" s="4" t="s">
        <v>147</v>
      </c>
      <c r="D147" s="4" t="s">
        <v>527</v>
      </c>
      <c r="E147" s="4" t="s">
        <v>123</v>
      </c>
      <c r="F147" s="4" t="s">
        <v>126</v>
      </c>
      <c r="G147" s="4">
        <v>101030032</v>
      </c>
      <c r="H147" s="5">
        <v>336</v>
      </c>
      <c r="I147" s="7">
        <v>126.56</v>
      </c>
      <c r="J147" s="7">
        <v>42524</v>
      </c>
      <c r="K147" s="7">
        <v>28542.605</v>
      </c>
      <c r="L147" s="7">
        <v>13981.395</v>
      </c>
      <c r="M147" s="8">
        <v>0.32869999999999999</v>
      </c>
      <c r="N147" s="5">
        <v>170</v>
      </c>
      <c r="O147" s="5">
        <v>49</v>
      </c>
    </row>
    <row r="148" spans="2:15">
      <c r="B148" s="4" t="s">
        <v>124</v>
      </c>
      <c r="C148" s="4" t="s">
        <v>125</v>
      </c>
      <c r="D148" s="4" t="s">
        <v>528</v>
      </c>
      <c r="E148" s="4" t="s">
        <v>31</v>
      </c>
      <c r="F148" s="4" t="s">
        <v>126</v>
      </c>
      <c r="G148" s="4">
        <v>101010488</v>
      </c>
      <c r="H148" s="5">
        <v>307</v>
      </c>
      <c r="I148" s="7">
        <v>138</v>
      </c>
      <c r="J148" s="7">
        <v>42366</v>
      </c>
      <c r="K148" s="7">
        <v>23485.964</v>
      </c>
      <c r="L148" s="7">
        <v>18880.036</v>
      </c>
      <c r="M148" s="8">
        <v>0.4456</v>
      </c>
      <c r="N148" s="5">
        <v>154</v>
      </c>
      <c r="O148" s="5">
        <v>52</v>
      </c>
    </row>
    <row r="149" spans="2:15">
      <c r="B149" s="4" t="s">
        <v>124</v>
      </c>
      <c r="C149" s="4" t="s">
        <v>127</v>
      </c>
      <c r="D149" s="4" t="s">
        <v>393</v>
      </c>
      <c r="E149" s="4" t="s">
        <v>123</v>
      </c>
      <c r="F149" s="4" t="s">
        <v>126</v>
      </c>
      <c r="G149" s="4">
        <v>101020092</v>
      </c>
      <c r="H149" s="5">
        <v>2</v>
      </c>
      <c r="I149" s="7">
        <v>20400</v>
      </c>
      <c r="J149" s="7">
        <v>40800</v>
      </c>
      <c r="K149" s="7">
        <v>27432.051299999999</v>
      </c>
      <c r="L149" s="7">
        <v>13367.948700000001</v>
      </c>
      <c r="M149" s="8">
        <v>0.3276</v>
      </c>
      <c r="N149" s="5">
        <v>2</v>
      </c>
      <c r="O149" s="5">
        <v>2</v>
      </c>
    </row>
    <row r="150" spans="2:15">
      <c r="B150" s="4" t="s">
        <v>124</v>
      </c>
      <c r="C150" s="4" t="s">
        <v>147</v>
      </c>
      <c r="D150" s="4" t="s">
        <v>529</v>
      </c>
      <c r="E150" s="4" t="s">
        <v>123</v>
      </c>
      <c r="F150" s="4" t="s">
        <v>126</v>
      </c>
      <c r="G150" s="4">
        <v>101030038</v>
      </c>
      <c r="H150" s="5">
        <v>369</v>
      </c>
      <c r="I150" s="7">
        <v>107.86</v>
      </c>
      <c r="J150" s="7">
        <v>39800</v>
      </c>
      <c r="K150" s="7">
        <v>27613.460500000001</v>
      </c>
      <c r="L150" s="7">
        <v>12186.539500000001</v>
      </c>
      <c r="M150" s="8">
        <v>0.30609999999999998</v>
      </c>
      <c r="N150" s="5">
        <v>148</v>
      </c>
      <c r="O150" s="5">
        <v>51</v>
      </c>
    </row>
    <row r="151" spans="2:15">
      <c r="B151" s="4" t="s">
        <v>124</v>
      </c>
      <c r="C151" s="4" t="s">
        <v>147</v>
      </c>
      <c r="D151" s="4" t="s">
        <v>530</v>
      </c>
      <c r="E151" s="4" t="s">
        <v>123</v>
      </c>
      <c r="F151" s="4" t="s">
        <v>126</v>
      </c>
      <c r="G151" s="4">
        <v>101010392</v>
      </c>
      <c r="H151" s="5">
        <v>281</v>
      </c>
      <c r="I151" s="7">
        <v>134.11000000000001</v>
      </c>
      <c r="J151" s="7">
        <v>37684</v>
      </c>
      <c r="K151" s="7">
        <v>25241.7156</v>
      </c>
      <c r="L151" s="7">
        <v>12442.2844</v>
      </c>
      <c r="M151" s="8">
        <v>0.3301</v>
      </c>
      <c r="N151" s="5">
        <v>142</v>
      </c>
      <c r="O151" s="5">
        <v>57</v>
      </c>
    </row>
    <row r="152" spans="2:15">
      <c r="B152" s="4" t="s">
        <v>124</v>
      </c>
      <c r="C152" s="4" t="s">
        <v>147</v>
      </c>
      <c r="D152" s="4" t="s">
        <v>531</v>
      </c>
      <c r="E152" s="4" t="s">
        <v>167</v>
      </c>
      <c r="F152" s="4" t="s">
        <v>126</v>
      </c>
      <c r="G152" s="4">
        <v>101010336</v>
      </c>
      <c r="H152" s="5">
        <v>351</v>
      </c>
      <c r="I152" s="7">
        <v>106.45</v>
      </c>
      <c r="J152" s="7">
        <v>37365</v>
      </c>
      <c r="K152" s="7">
        <v>29431.958200000001</v>
      </c>
      <c r="L152" s="7">
        <v>7933.0418</v>
      </c>
      <c r="M152" s="8">
        <v>0.21229999999999999</v>
      </c>
      <c r="N152" s="5">
        <v>199</v>
      </c>
      <c r="O152" s="5">
        <v>58</v>
      </c>
    </row>
    <row r="153" spans="2:15">
      <c r="B153" s="4" t="s">
        <v>124</v>
      </c>
      <c r="C153" s="4" t="s">
        <v>125</v>
      </c>
      <c r="D153" s="4" t="s">
        <v>532</v>
      </c>
      <c r="E153" s="4" t="s">
        <v>533</v>
      </c>
      <c r="F153" s="4" t="s">
        <v>126</v>
      </c>
      <c r="G153" s="4">
        <v>101010265</v>
      </c>
      <c r="H153" s="5">
        <v>5045</v>
      </c>
      <c r="I153" s="7">
        <v>7.32</v>
      </c>
      <c r="J153" s="7">
        <v>36941.800000000003</v>
      </c>
      <c r="K153" s="7">
        <v>30233.339400000001</v>
      </c>
      <c r="L153" s="7">
        <v>6708.4606000000003</v>
      </c>
      <c r="M153" s="8">
        <v>0.18149999999999999</v>
      </c>
      <c r="N153" s="5">
        <v>3094</v>
      </c>
      <c r="O153" s="5">
        <v>70</v>
      </c>
    </row>
    <row r="154" spans="2:15">
      <c r="B154" s="4" t="s">
        <v>124</v>
      </c>
      <c r="C154" s="4" t="s">
        <v>125</v>
      </c>
      <c r="D154" s="4" t="s">
        <v>534</v>
      </c>
      <c r="E154" s="4" t="s">
        <v>123</v>
      </c>
      <c r="F154" s="4" t="s">
        <v>126</v>
      </c>
      <c r="G154" s="4">
        <v>101010393</v>
      </c>
      <c r="H154" s="5">
        <v>344</v>
      </c>
      <c r="I154" s="7">
        <v>98.04</v>
      </c>
      <c r="J154" s="7">
        <v>33726</v>
      </c>
      <c r="K154" s="7">
        <v>20582.515599999999</v>
      </c>
      <c r="L154" s="7">
        <v>13143.484399999999</v>
      </c>
      <c r="M154" s="8">
        <v>0.38969999999999999</v>
      </c>
      <c r="N154" s="5">
        <v>196</v>
      </c>
      <c r="O154" s="5">
        <v>51</v>
      </c>
    </row>
    <row r="155" spans="2:15">
      <c r="B155" s="4" t="s">
        <v>124</v>
      </c>
      <c r="C155" s="4" t="s">
        <v>147</v>
      </c>
      <c r="D155" s="4" t="s">
        <v>535</v>
      </c>
      <c r="E155" s="4" t="s">
        <v>31</v>
      </c>
      <c r="F155" s="4" t="s">
        <v>126</v>
      </c>
      <c r="G155" s="4">
        <v>101030049</v>
      </c>
      <c r="H155" s="5">
        <v>383</v>
      </c>
      <c r="I155" s="7">
        <v>86.68</v>
      </c>
      <c r="J155" s="7">
        <v>33200</v>
      </c>
      <c r="K155" s="7">
        <v>22980</v>
      </c>
      <c r="L155" s="7">
        <v>10220</v>
      </c>
      <c r="M155" s="8">
        <v>0.30780000000000002</v>
      </c>
      <c r="N155" s="5">
        <v>234</v>
      </c>
      <c r="O155" s="5">
        <v>59</v>
      </c>
    </row>
    <row r="156" spans="2:15">
      <c r="B156" s="4" t="s">
        <v>124</v>
      </c>
      <c r="C156" s="4" t="s">
        <v>127</v>
      </c>
      <c r="D156" s="4" t="s">
        <v>300</v>
      </c>
      <c r="E156" s="4" t="s">
        <v>123</v>
      </c>
      <c r="F156" s="4" t="s">
        <v>126</v>
      </c>
      <c r="G156" s="4">
        <v>101020060</v>
      </c>
      <c r="H156" s="5">
        <v>69</v>
      </c>
      <c r="I156" s="7">
        <v>475.39</v>
      </c>
      <c r="J156" s="7">
        <v>32802</v>
      </c>
      <c r="K156" s="7">
        <v>23805</v>
      </c>
      <c r="L156" s="7">
        <v>8997</v>
      </c>
      <c r="M156" s="8">
        <v>0.2742</v>
      </c>
      <c r="N156" s="5">
        <v>32</v>
      </c>
      <c r="O156" s="5">
        <v>24</v>
      </c>
    </row>
    <row r="157" spans="2:15">
      <c r="B157" s="4" t="s">
        <v>124</v>
      </c>
      <c r="C157" s="4" t="s">
        <v>125</v>
      </c>
      <c r="D157" s="4" t="s">
        <v>536</v>
      </c>
      <c r="E157" s="4" t="s">
        <v>31</v>
      </c>
      <c r="F157" s="4" t="s">
        <v>126</v>
      </c>
      <c r="G157" s="4">
        <v>101010303</v>
      </c>
      <c r="H157" s="5">
        <v>449</v>
      </c>
      <c r="I157" s="7">
        <v>72.86</v>
      </c>
      <c r="J157" s="7">
        <v>32713.1</v>
      </c>
      <c r="K157" s="7">
        <v>18625.243299999998</v>
      </c>
      <c r="L157" s="7">
        <v>14087.8567</v>
      </c>
      <c r="M157" s="8">
        <v>0.43059999999999998</v>
      </c>
      <c r="N157" s="5">
        <v>272</v>
      </c>
      <c r="O157" s="5">
        <v>68</v>
      </c>
    </row>
    <row r="158" spans="2:15">
      <c r="B158" s="4" t="s">
        <v>124</v>
      </c>
      <c r="C158" s="4" t="s">
        <v>147</v>
      </c>
      <c r="D158" s="4" t="s">
        <v>537</v>
      </c>
      <c r="E158" s="4" t="s">
        <v>123</v>
      </c>
      <c r="F158" s="4" t="s">
        <v>126</v>
      </c>
      <c r="G158" s="4">
        <v>101010377</v>
      </c>
      <c r="H158" s="5">
        <v>479</v>
      </c>
      <c r="I158" s="7">
        <v>68.02</v>
      </c>
      <c r="J158" s="7">
        <v>32580</v>
      </c>
      <c r="K158" s="7">
        <v>22899.230800000001</v>
      </c>
      <c r="L158" s="7">
        <v>9680.7692000000006</v>
      </c>
      <c r="M158" s="8">
        <v>0.29709999999999998</v>
      </c>
      <c r="N158" s="5">
        <v>248</v>
      </c>
      <c r="O158" s="5">
        <v>59</v>
      </c>
    </row>
    <row r="159" spans="2:15">
      <c r="B159" s="4" t="s">
        <v>124</v>
      </c>
      <c r="C159" s="4" t="s">
        <v>127</v>
      </c>
      <c r="D159" s="4" t="s">
        <v>538</v>
      </c>
      <c r="E159" s="4" t="s">
        <v>244</v>
      </c>
      <c r="F159" s="4" t="s">
        <v>137</v>
      </c>
      <c r="G159" s="4">
        <v>101020100</v>
      </c>
      <c r="H159" s="5">
        <v>23</v>
      </c>
      <c r="I159" s="7">
        <v>1401.74</v>
      </c>
      <c r="J159" s="7">
        <v>32240</v>
      </c>
      <c r="K159" s="7">
        <v>29166.056</v>
      </c>
      <c r="L159" s="7">
        <v>3073.944</v>
      </c>
      <c r="M159" s="8">
        <v>9.5299999999999996E-2</v>
      </c>
      <c r="N159" s="5">
        <v>9</v>
      </c>
      <c r="O159" s="5">
        <v>8</v>
      </c>
    </row>
    <row r="160" spans="2:15">
      <c r="B160" s="4" t="s">
        <v>124</v>
      </c>
      <c r="C160" s="4" t="s">
        <v>127</v>
      </c>
      <c r="D160" s="4" t="s">
        <v>241</v>
      </c>
      <c r="E160" s="4" t="s">
        <v>31</v>
      </c>
      <c r="F160" s="4" t="s">
        <v>126</v>
      </c>
      <c r="G160" s="4">
        <v>101020059</v>
      </c>
      <c r="H160" s="5">
        <v>189</v>
      </c>
      <c r="I160" s="7">
        <v>166.32</v>
      </c>
      <c r="J160" s="7">
        <v>31434</v>
      </c>
      <c r="K160" s="7">
        <v>25515</v>
      </c>
      <c r="L160" s="7">
        <v>5919</v>
      </c>
      <c r="M160" s="8">
        <v>0.18820000000000001</v>
      </c>
      <c r="N160" s="5">
        <v>69</v>
      </c>
      <c r="O160" s="5">
        <v>32</v>
      </c>
    </row>
    <row r="161" spans="2:15">
      <c r="B161" s="4" t="s">
        <v>124</v>
      </c>
      <c r="C161" s="4" t="s">
        <v>125</v>
      </c>
      <c r="D161" s="4" t="s">
        <v>539</v>
      </c>
      <c r="E161" s="4" t="s">
        <v>123</v>
      </c>
      <c r="F161" s="4" t="s">
        <v>126</v>
      </c>
      <c r="G161" s="4">
        <v>101010413</v>
      </c>
      <c r="H161" s="5">
        <v>50</v>
      </c>
      <c r="I161" s="7">
        <v>606.62</v>
      </c>
      <c r="J161" s="7">
        <v>30331</v>
      </c>
      <c r="K161" s="7">
        <v>30063.982899999999</v>
      </c>
      <c r="L161" s="7">
        <v>267.01710000000003</v>
      </c>
      <c r="M161" s="8">
        <v>8.8000000000000005E-3</v>
      </c>
      <c r="N161" s="5">
        <v>22</v>
      </c>
      <c r="O161" s="5">
        <v>14</v>
      </c>
    </row>
    <row r="162" spans="2:15">
      <c r="B162" s="4" t="s">
        <v>124</v>
      </c>
      <c r="C162" s="4" t="s">
        <v>147</v>
      </c>
      <c r="D162" s="4" t="s">
        <v>540</v>
      </c>
      <c r="E162" s="4" t="s">
        <v>31</v>
      </c>
      <c r="F162" s="4" t="s">
        <v>126</v>
      </c>
      <c r="G162" s="4">
        <v>101030020</v>
      </c>
      <c r="H162" s="5">
        <v>977</v>
      </c>
      <c r="I162" s="7">
        <v>30.97</v>
      </c>
      <c r="J162" s="7">
        <v>30257.8</v>
      </c>
      <c r="K162" s="7">
        <v>15559.3771</v>
      </c>
      <c r="L162" s="7">
        <v>14698.4229</v>
      </c>
      <c r="M162" s="8">
        <v>0.48570000000000002</v>
      </c>
      <c r="N162" s="5">
        <v>434</v>
      </c>
      <c r="O162" s="5">
        <v>61</v>
      </c>
    </row>
    <row r="163" spans="2:15">
      <c r="B163" s="4" t="s">
        <v>124</v>
      </c>
      <c r="C163" s="4" t="s">
        <v>130</v>
      </c>
      <c r="D163" s="4" t="s">
        <v>368</v>
      </c>
      <c r="E163" s="4" t="s">
        <v>369</v>
      </c>
      <c r="F163" s="4" t="s">
        <v>126</v>
      </c>
      <c r="G163" s="4">
        <v>101990009</v>
      </c>
      <c r="H163" s="5">
        <v>84</v>
      </c>
      <c r="I163" s="7">
        <v>359</v>
      </c>
      <c r="J163" s="7">
        <v>30156</v>
      </c>
      <c r="K163" s="7">
        <v>16118.995699999999</v>
      </c>
      <c r="L163" s="7">
        <v>14037.004300000001</v>
      </c>
      <c r="M163" s="8">
        <v>0.46539999999999998</v>
      </c>
      <c r="N163" s="5">
        <v>84</v>
      </c>
      <c r="O163" s="5">
        <v>44</v>
      </c>
    </row>
    <row r="164" spans="2:15">
      <c r="B164" s="4" t="s">
        <v>124</v>
      </c>
      <c r="C164" s="4" t="s">
        <v>125</v>
      </c>
      <c r="D164" s="4" t="s">
        <v>541</v>
      </c>
      <c r="E164" s="4" t="s">
        <v>31</v>
      </c>
      <c r="F164" s="4" t="s">
        <v>126</v>
      </c>
      <c r="G164" s="4">
        <v>101010040</v>
      </c>
      <c r="H164" s="5">
        <v>378</v>
      </c>
      <c r="I164" s="7">
        <v>78.319999999999993</v>
      </c>
      <c r="J164" s="7">
        <v>29604</v>
      </c>
      <c r="K164" s="7">
        <v>25837.860199999999</v>
      </c>
      <c r="L164" s="7">
        <v>3766.1397999999999</v>
      </c>
      <c r="M164" s="8">
        <v>0.12720000000000001</v>
      </c>
      <c r="N164" s="5">
        <v>207</v>
      </c>
      <c r="O164" s="5">
        <v>55</v>
      </c>
    </row>
    <row r="165" spans="2:15">
      <c r="B165" s="4" t="s">
        <v>124</v>
      </c>
      <c r="C165" s="4" t="s">
        <v>147</v>
      </c>
      <c r="D165" s="4" t="s">
        <v>542</v>
      </c>
      <c r="E165" s="4" t="s">
        <v>176</v>
      </c>
      <c r="F165" s="4" t="s">
        <v>126</v>
      </c>
      <c r="G165" s="4">
        <v>101010312</v>
      </c>
      <c r="H165" s="5">
        <v>897</v>
      </c>
      <c r="I165" s="7">
        <v>32.1</v>
      </c>
      <c r="J165" s="7">
        <v>28797</v>
      </c>
      <c r="K165" s="7">
        <v>22378.339599999999</v>
      </c>
      <c r="L165" s="7">
        <v>6418.6603999999998</v>
      </c>
      <c r="M165" s="8">
        <v>0.2228</v>
      </c>
      <c r="N165" s="5">
        <v>478</v>
      </c>
      <c r="O165" s="5">
        <v>57</v>
      </c>
    </row>
    <row r="166" spans="2:15">
      <c r="B166" s="4" t="s">
        <v>124</v>
      </c>
      <c r="C166" s="4" t="s">
        <v>125</v>
      </c>
      <c r="D166" s="4" t="s">
        <v>543</v>
      </c>
      <c r="E166" s="4" t="s">
        <v>31</v>
      </c>
      <c r="F166" s="4" t="s">
        <v>126</v>
      </c>
      <c r="G166" s="4">
        <v>101010292</v>
      </c>
      <c r="H166" s="5">
        <v>289</v>
      </c>
      <c r="I166" s="7">
        <v>99.03</v>
      </c>
      <c r="J166" s="7">
        <v>28620</v>
      </c>
      <c r="K166" s="7">
        <v>21064.999</v>
      </c>
      <c r="L166" s="7">
        <v>7555.0010000000002</v>
      </c>
      <c r="M166" s="8">
        <v>0.26390000000000002</v>
      </c>
      <c r="N166" s="5">
        <v>167</v>
      </c>
      <c r="O166" s="5">
        <v>48</v>
      </c>
    </row>
    <row r="167" spans="2:15">
      <c r="B167" s="4" t="s">
        <v>124</v>
      </c>
      <c r="C167" s="4" t="s">
        <v>147</v>
      </c>
      <c r="D167" s="4" t="s">
        <v>544</v>
      </c>
      <c r="E167" s="4" t="s">
        <v>31</v>
      </c>
      <c r="F167" s="4" t="s">
        <v>126</v>
      </c>
      <c r="G167" s="4">
        <v>101030021</v>
      </c>
      <c r="H167" s="5">
        <v>371</v>
      </c>
      <c r="I167" s="7">
        <v>74.95</v>
      </c>
      <c r="J167" s="7">
        <v>27808</v>
      </c>
      <c r="K167" s="7">
        <v>13061.0159</v>
      </c>
      <c r="L167" s="7">
        <v>14746.9841</v>
      </c>
      <c r="M167" s="8">
        <v>0.53029999999999999</v>
      </c>
      <c r="N167" s="5">
        <v>189</v>
      </c>
      <c r="O167" s="5">
        <v>56</v>
      </c>
    </row>
    <row r="168" spans="2:15">
      <c r="B168" s="4" t="s">
        <v>124</v>
      </c>
      <c r="C168" s="4" t="s">
        <v>147</v>
      </c>
      <c r="D168" s="4" t="s">
        <v>545</v>
      </c>
      <c r="E168" s="4" t="s">
        <v>123</v>
      </c>
      <c r="F168" s="4" t="s">
        <v>126</v>
      </c>
      <c r="G168" s="4">
        <v>101010395</v>
      </c>
      <c r="H168" s="5">
        <v>3230</v>
      </c>
      <c r="I168" s="7">
        <v>8.51</v>
      </c>
      <c r="J168" s="7">
        <v>27488.9</v>
      </c>
      <c r="K168" s="7">
        <v>23850.662400000001</v>
      </c>
      <c r="L168" s="7">
        <v>3638.2375999999999</v>
      </c>
      <c r="M168" s="8">
        <v>0.1323</v>
      </c>
      <c r="N168" s="5">
        <v>1173</v>
      </c>
      <c r="O168" s="5">
        <v>62</v>
      </c>
    </row>
    <row r="169" spans="2:15">
      <c r="B169" s="4" t="s">
        <v>124</v>
      </c>
      <c r="C169" s="4" t="s">
        <v>546</v>
      </c>
      <c r="D169" s="4" t="s">
        <v>547</v>
      </c>
      <c r="E169" s="4" t="s">
        <v>123</v>
      </c>
      <c r="F169" s="4" t="s">
        <v>126</v>
      </c>
      <c r="G169" s="4">
        <v>101990012</v>
      </c>
      <c r="H169" s="5">
        <v>1827</v>
      </c>
      <c r="I169" s="7">
        <v>14.9</v>
      </c>
      <c r="J169" s="7">
        <v>27229.5</v>
      </c>
      <c r="K169" s="7">
        <v>17866.1394</v>
      </c>
      <c r="L169" s="7">
        <v>9363.3606</v>
      </c>
      <c r="M169" s="8">
        <v>0.34379999999999999</v>
      </c>
      <c r="N169" s="5">
        <v>994</v>
      </c>
      <c r="O169" s="5">
        <v>64</v>
      </c>
    </row>
    <row r="170" spans="2:15">
      <c r="B170" s="4" t="s">
        <v>124</v>
      </c>
      <c r="C170" s="4" t="s">
        <v>125</v>
      </c>
      <c r="D170" s="4" t="s">
        <v>444</v>
      </c>
      <c r="E170" s="4" t="s">
        <v>445</v>
      </c>
      <c r="F170" s="4" t="s">
        <v>126</v>
      </c>
      <c r="G170" s="4">
        <v>101010188</v>
      </c>
      <c r="H170" s="5">
        <v>91</v>
      </c>
      <c r="I170" s="7">
        <v>288</v>
      </c>
      <c r="J170" s="7">
        <v>26208</v>
      </c>
      <c r="K170" s="7">
        <v>19247.956699999999</v>
      </c>
      <c r="L170" s="7">
        <v>6960.0433000000003</v>
      </c>
      <c r="M170" s="8">
        <v>0.26550000000000001</v>
      </c>
      <c r="N170" s="5">
        <v>36</v>
      </c>
      <c r="O170" s="5">
        <v>26</v>
      </c>
    </row>
    <row r="171" spans="2:15">
      <c r="B171" s="4" t="s">
        <v>124</v>
      </c>
      <c r="C171" s="4" t="s">
        <v>147</v>
      </c>
      <c r="D171" s="4" t="s">
        <v>198</v>
      </c>
      <c r="E171" s="4" t="s">
        <v>167</v>
      </c>
      <c r="F171" s="4" t="s">
        <v>126</v>
      </c>
      <c r="G171" s="4">
        <v>101010069</v>
      </c>
      <c r="H171" s="5">
        <v>215</v>
      </c>
      <c r="I171" s="7">
        <v>118</v>
      </c>
      <c r="J171" s="7">
        <v>25370</v>
      </c>
      <c r="K171" s="7">
        <v>20640</v>
      </c>
      <c r="L171" s="7">
        <v>4730</v>
      </c>
      <c r="M171" s="8">
        <v>0.18640000000000001</v>
      </c>
      <c r="N171" s="5">
        <v>114</v>
      </c>
      <c r="O171" s="5">
        <v>55</v>
      </c>
    </row>
    <row r="172" spans="2:15">
      <c r="B172" s="4" t="s">
        <v>124</v>
      </c>
      <c r="C172" s="4" t="s">
        <v>130</v>
      </c>
      <c r="D172" s="4" t="s">
        <v>375</v>
      </c>
      <c r="E172" s="4" t="s">
        <v>123</v>
      </c>
      <c r="F172" s="4" t="s">
        <v>126</v>
      </c>
      <c r="G172" s="4">
        <v>101010416</v>
      </c>
      <c r="H172" s="5">
        <v>15</v>
      </c>
      <c r="I172" s="7">
        <v>1672.6</v>
      </c>
      <c r="J172" s="7">
        <v>25089</v>
      </c>
      <c r="K172" s="7">
        <v>23325</v>
      </c>
      <c r="L172" s="7">
        <v>1764</v>
      </c>
      <c r="M172" s="8">
        <v>7.0300000000000001E-2</v>
      </c>
      <c r="N172" s="5">
        <v>7</v>
      </c>
      <c r="O172" s="5">
        <v>7</v>
      </c>
    </row>
    <row r="173" spans="2:15">
      <c r="B173" s="4" t="s">
        <v>124</v>
      </c>
      <c r="C173" s="4" t="s">
        <v>125</v>
      </c>
      <c r="D173" s="4" t="s">
        <v>548</v>
      </c>
      <c r="E173" s="4" t="s">
        <v>31</v>
      </c>
      <c r="F173" s="4" t="s">
        <v>126</v>
      </c>
      <c r="G173" s="4">
        <v>101010295</v>
      </c>
      <c r="H173" s="5">
        <v>326</v>
      </c>
      <c r="I173" s="7">
        <v>76.03</v>
      </c>
      <c r="J173" s="7">
        <v>24786</v>
      </c>
      <c r="K173" s="7">
        <v>19787.322</v>
      </c>
      <c r="L173" s="7">
        <v>4998.6779999999999</v>
      </c>
      <c r="M173" s="8">
        <v>0.2016</v>
      </c>
      <c r="N173" s="5">
        <v>198</v>
      </c>
      <c r="O173" s="5">
        <v>52</v>
      </c>
    </row>
    <row r="174" spans="2:15">
      <c r="B174" s="4" t="s">
        <v>124</v>
      </c>
      <c r="C174" s="4" t="s">
        <v>125</v>
      </c>
      <c r="D174" s="4" t="s">
        <v>330</v>
      </c>
      <c r="E174" s="4" t="s">
        <v>31</v>
      </c>
      <c r="F174" s="4" t="s">
        <v>126</v>
      </c>
      <c r="G174" s="4">
        <v>101010171</v>
      </c>
      <c r="H174" s="5">
        <v>235</v>
      </c>
      <c r="I174" s="7">
        <v>101.62</v>
      </c>
      <c r="J174" s="7">
        <v>23881</v>
      </c>
      <c r="K174" s="7">
        <v>17595.0789</v>
      </c>
      <c r="L174" s="7">
        <v>6285.9210999999996</v>
      </c>
      <c r="M174" s="8">
        <v>0.26319999999999999</v>
      </c>
      <c r="N174" s="5">
        <v>148</v>
      </c>
      <c r="O174" s="5">
        <v>56</v>
      </c>
    </row>
    <row r="175" spans="2:15">
      <c r="B175" s="4" t="s">
        <v>124</v>
      </c>
      <c r="C175" s="4" t="s">
        <v>125</v>
      </c>
      <c r="D175" s="4" t="s">
        <v>549</v>
      </c>
      <c r="E175" s="4" t="s">
        <v>123</v>
      </c>
      <c r="F175" s="4" t="s">
        <v>126</v>
      </c>
      <c r="G175" s="4">
        <v>101010374</v>
      </c>
      <c r="H175" s="5">
        <v>51</v>
      </c>
      <c r="I175" s="7">
        <v>449</v>
      </c>
      <c r="J175" s="7">
        <v>22899</v>
      </c>
      <c r="K175" s="7">
        <v>21776.898499999999</v>
      </c>
      <c r="L175" s="7">
        <v>1122.1015</v>
      </c>
      <c r="M175" s="8">
        <v>4.9000000000000002E-2</v>
      </c>
      <c r="N175" s="5">
        <v>25</v>
      </c>
      <c r="O175" s="5">
        <v>16</v>
      </c>
    </row>
    <row r="176" spans="2:15">
      <c r="B176" s="4" t="s">
        <v>124</v>
      </c>
      <c r="C176" s="4" t="s">
        <v>125</v>
      </c>
      <c r="D176" s="4" t="s">
        <v>406</v>
      </c>
      <c r="E176" s="4" t="s">
        <v>31</v>
      </c>
      <c r="F176" s="4" t="s">
        <v>137</v>
      </c>
      <c r="G176" s="4">
        <v>101020002</v>
      </c>
      <c r="H176" s="5">
        <v>8</v>
      </c>
      <c r="I176" s="7">
        <v>2822.5</v>
      </c>
      <c r="J176" s="7">
        <v>22580</v>
      </c>
      <c r="K176" s="7">
        <v>14726.800499999999</v>
      </c>
      <c r="L176" s="7">
        <v>7853.1994999999997</v>
      </c>
      <c r="M176" s="8">
        <v>0.34770000000000001</v>
      </c>
      <c r="N176" s="5">
        <v>7</v>
      </c>
      <c r="O176" s="5">
        <v>6</v>
      </c>
    </row>
    <row r="177" spans="2:15">
      <c r="B177" s="4" t="s">
        <v>124</v>
      </c>
      <c r="C177" s="4" t="s">
        <v>125</v>
      </c>
      <c r="D177" s="4" t="s">
        <v>550</v>
      </c>
      <c r="E177" s="4" t="s">
        <v>31</v>
      </c>
      <c r="F177" s="4" t="s">
        <v>126</v>
      </c>
      <c r="G177" s="4">
        <v>101010302</v>
      </c>
      <c r="H177" s="5">
        <v>312</v>
      </c>
      <c r="I177" s="7">
        <v>71.56</v>
      </c>
      <c r="J177" s="7">
        <v>22326</v>
      </c>
      <c r="K177" s="7">
        <v>12142.554599999999</v>
      </c>
      <c r="L177" s="7">
        <v>10183.445400000001</v>
      </c>
      <c r="M177" s="8">
        <v>0.45610000000000001</v>
      </c>
      <c r="N177" s="5">
        <v>159</v>
      </c>
      <c r="O177" s="5">
        <v>53</v>
      </c>
    </row>
    <row r="178" spans="2:15">
      <c r="B178" s="4" t="s">
        <v>124</v>
      </c>
      <c r="C178" s="4" t="s">
        <v>125</v>
      </c>
      <c r="D178" s="4" t="s">
        <v>54</v>
      </c>
      <c r="E178" s="4" t="s">
        <v>55</v>
      </c>
      <c r="F178" s="4" t="s">
        <v>126</v>
      </c>
      <c r="G178" s="4">
        <v>101010501</v>
      </c>
      <c r="H178" s="5">
        <v>936</v>
      </c>
      <c r="I178" s="7">
        <v>23.48</v>
      </c>
      <c r="J178" s="7">
        <v>21980.1</v>
      </c>
      <c r="K178" s="7">
        <v>10260.934999999999</v>
      </c>
      <c r="L178" s="7">
        <v>11719.165000000001</v>
      </c>
      <c r="M178" s="8">
        <v>0.53310000000000002</v>
      </c>
      <c r="N178" s="5">
        <v>495</v>
      </c>
      <c r="O178" s="5">
        <v>63</v>
      </c>
    </row>
    <row r="179" spans="2:15">
      <c r="B179" s="4" t="s">
        <v>124</v>
      </c>
      <c r="C179" s="4" t="s">
        <v>147</v>
      </c>
      <c r="D179" s="4" t="s">
        <v>551</v>
      </c>
      <c r="E179" s="4" t="s">
        <v>157</v>
      </c>
      <c r="F179" s="4" t="s">
        <v>126</v>
      </c>
      <c r="G179" s="4">
        <v>101030027</v>
      </c>
      <c r="H179" s="5">
        <v>27</v>
      </c>
      <c r="I179" s="7">
        <v>786.15</v>
      </c>
      <c r="J179" s="7">
        <v>21226</v>
      </c>
      <c r="K179" s="7">
        <v>16169.230799999999</v>
      </c>
      <c r="L179" s="7">
        <v>5056.7691999999997</v>
      </c>
      <c r="M179" s="8">
        <v>0.2382</v>
      </c>
      <c r="N179" s="5">
        <v>11</v>
      </c>
      <c r="O179" s="5">
        <v>8</v>
      </c>
    </row>
    <row r="180" spans="2:15" ht="24">
      <c r="B180" s="4" t="s">
        <v>124</v>
      </c>
      <c r="C180" s="4" t="s">
        <v>130</v>
      </c>
      <c r="D180" s="4" t="s">
        <v>182</v>
      </c>
      <c r="E180" s="4" t="s">
        <v>139</v>
      </c>
      <c r="F180" s="4" t="s">
        <v>126</v>
      </c>
      <c r="G180" s="4">
        <v>101990001</v>
      </c>
      <c r="H180" s="5">
        <v>117</v>
      </c>
      <c r="I180" s="7">
        <v>172.41</v>
      </c>
      <c r="J180" s="7">
        <v>20172</v>
      </c>
      <c r="K180" s="7">
        <v>10919.61</v>
      </c>
      <c r="L180" s="7">
        <v>9252.39</v>
      </c>
      <c r="M180" s="8">
        <v>0.45860000000000001</v>
      </c>
      <c r="N180" s="5">
        <v>35</v>
      </c>
      <c r="O180" s="5">
        <v>22</v>
      </c>
    </row>
    <row r="181" spans="2:15">
      <c r="B181" s="4" t="s">
        <v>124</v>
      </c>
      <c r="C181" s="4" t="s">
        <v>147</v>
      </c>
      <c r="D181" s="4" t="s">
        <v>552</v>
      </c>
      <c r="E181" s="4" t="s">
        <v>302</v>
      </c>
      <c r="F181" s="4" t="s">
        <v>126</v>
      </c>
      <c r="G181" s="4">
        <v>101010315</v>
      </c>
      <c r="H181" s="5">
        <v>1252</v>
      </c>
      <c r="I181" s="7">
        <v>15.35</v>
      </c>
      <c r="J181" s="7">
        <v>19212.5</v>
      </c>
      <c r="K181" s="7">
        <v>13193.5466</v>
      </c>
      <c r="L181" s="7">
        <v>6018.9534000000003</v>
      </c>
      <c r="M181" s="8">
        <v>0.31319999999999998</v>
      </c>
      <c r="N181" s="5">
        <v>1007</v>
      </c>
      <c r="O181" s="5">
        <v>56</v>
      </c>
    </row>
    <row r="182" spans="2:15">
      <c r="B182" s="4" t="s">
        <v>124</v>
      </c>
      <c r="C182" s="4" t="s">
        <v>127</v>
      </c>
      <c r="D182" s="4" t="s">
        <v>553</v>
      </c>
      <c r="E182" s="4" t="s">
        <v>31</v>
      </c>
      <c r="F182" s="4" t="s">
        <v>126</v>
      </c>
      <c r="G182" s="4">
        <v>101020026</v>
      </c>
      <c r="H182" s="5">
        <v>31</v>
      </c>
      <c r="I182" s="7">
        <v>618</v>
      </c>
      <c r="J182" s="7">
        <v>19158</v>
      </c>
      <c r="K182" s="7">
        <v>17125.564999999999</v>
      </c>
      <c r="L182" s="7">
        <v>2032.4349999999999</v>
      </c>
      <c r="M182" s="8">
        <v>0.106</v>
      </c>
      <c r="N182" s="5">
        <v>11</v>
      </c>
      <c r="O182" s="5">
        <v>3</v>
      </c>
    </row>
    <row r="183" spans="2:15">
      <c r="B183" s="4" t="s">
        <v>124</v>
      </c>
      <c r="C183" s="4" t="s">
        <v>147</v>
      </c>
      <c r="D183" s="4" t="s">
        <v>554</v>
      </c>
      <c r="E183" s="4" t="s">
        <v>123</v>
      </c>
      <c r="F183" s="4" t="s">
        <v>126</v>
      </c>
      <c r="G183" s="4">
        <v>101010376</v>
      </c>
      <c r="H183" s="5">
        <v>187</v>
      </c>
      <c r="I183" s="7">
        <v>99.26</v>
      </c>
      <c r="J183" s="7">
        <v>18562</v>
      </c>
      <c r="K183" s="7">
        <v>18283.268700000001</v>
      </c>
      <c r="L183" s="7">
        <v>278.73129999999998</v>
      </c>
      <c r="M183" s="8">
        <v>1.4999999999999999E-2</v>
      </c>
      <c r="N183" s="5">
        <v>107</v>
      </c>
      <c r="O183" s="5">
        <v>48</v>
      </c>
    </row>
    <row r="184" spans="2:15">
      <c r="B184" s="4" t="s">
        <v>124</v>
      </c>
      <c r="C184" s="4" t="s">
        <v>125</v>
      </c>
      <c r="D184" s="4" t="s">
        <v>555</v>
      </c>
      <c r="E184" s="4" t="s">
        <v>31</v>
      </c>
      <c r="F184" s="4" t="s">
        <v>126</v>
      </c>
      <c r="G184" s="4">
        <v>101010271</v>
      </c>
      <c r="H184" s="5">
        <v>185</v>
      </c>
      <c r="I184" s="7">
        <v>99.15</v>
      </c>
      <c r="J184" s="7">
        <v>18342</v>
      </c>
      <c r="K184" s="7">
        <v>17499.260300000002</v>
      </c>
      <c r="L184" s="7">
        <v>842.73969999999997</v>
      </c>
      <c r="M184" s="8">
        <v>4.5900000000000003E-2</v>
      </c>
      <c r="N184" s="5">
        <v>88</v>
      </c>
      <c r="O184" s="5">
        <v>37</v>
      </c>
    </row>
    <row r="185" spans="2:15">
      <c r="B185" s="4" t="s">
        <v>124</v>
      </c>
      <c r="C185" s="4" t="s">
        <v>127</v>
      </c>
      <c r="D185" s="4" t="s">
        <v>326</v>
      </c>
      <c r="E185" s="4" t="s">
        <v>31</v>
      </c>
      <c r="F185" s="4" t="s">
        <v>126</v>
      </c>
      <c r="G185" s="4">
        <v>101020125</v>
      </c>
      <c r="H185" s="5">
        <v>45</v>
      </c>
      <c r="I185" s="7">
        <v>381.78</v>
      </c>
      <c r="J185" s="7">
        <v>17180</v>
      </c>
      <c r="K185" s="7">
        <v>9360</v>
      </c>
      <c r="L185" s="7">
        <v>7820</v>
      </c>
      <c r="M185" s="8">
        <v>0.4551</v>
      </c>
      <c r="N185" s="5">
        <v>27</v>
      </c>
      <c r="O185" s="5">
        <v>21</v>
      </c>
    </row>
    <row r="186" spans="2:15">
      <c r="B186" s="4" t="s">
        <v>124</v>
      </c>
      <c r="C186" s="4" t="s">
        <v>125</v>
      </c>
      <c r="D186" s="4" t="s">
        <v>556</v>
      </c>
      <c r="E186" s="4" t="s">
        <v>31</v>
      </c>
      <c r="F186" s="4" t="s">
        <v>126</v>
      </c>
      <c r="G186" s="4">
        <v>101010438</v>
      </c>
      <c r="H186" s="5">
        <v>408</v>
      </c>
      <c r="I186" s="7">
        <v>41.52</v>
      </c>
      <c r="J186" s="7">
        <v>16940.8</v>
      </c>
      <c r="K186" s="7">
        <v>11403.4197</v>
      </c>
      <c r="L186" s="7">
        <v>5537.3802999999998</v>
      </c>
      <c r="M186" s="8">
        <v>0.32679999999999998</v>
      </c>
      <c r="N186" s="5">
        <v>115</v>
      </c>
      <c r="O186" s="5">
        <v>47</v>
      </c>
    </row>
    <row r="187" spans="2:15">
      <c r="B187" s="4" t="s">
        <v>124</v>
      </c>
      <c r="C187" s="4" t="s">
        <v>125</v>
      </c>
      <c r="D187" s="4" t="s">
        <v>557</v>
      </c>
      <c r="E187" s="4" t="s">
        <v>123</v>
      </c>
      <c r="F187" s="4" t="s">
        <v>126</v>
      </c>
      <c r="G187" s="4">
        <v>101010369</v>
      </c>
      <c r="H187" s="5">
        <v>285</v>
      </c>
      <c r="I187" s="7">
        <v>58</v>
      </c>
      <c r="J187" s="7">
        <v>16530</v>
      </c>
      <c r="K187" s="7">
        <v>8813.4233000000004</v>
      </c>
      <c r="L187" s="7">
        <v>7716.5766999999996</v>
      </c>
      <c r="M187" s="8">
        <v>0.46679999999999999</v>
      </c>
      <c r="N187" s="5">
        <v>144</v>
      </c>
      <c r="O187" s="5">
        <v>47</v>
      </c>
    </row>
    <row r="188" spans="2:15">
      <c r="B188" s="4" t="s">
        <v>124</v>
      </c>
      <c r="C188" s="4" t="s">
        <v>127</v>
      </c>
      <c r="D188" s="4" t="s">
        <v>280</v>
      </c>
      <c r="E188" s="4" t="s">
        <v>31</v>
      </c>
      <c r="F188" s="4" t="s">
        <v>126</v>
      </c>
      <c r="G188" s="4">
        <v>101020061</v>
      </c>
      <c r="H188" s="5">
        <v>185</v>
      </c>
      <c r="I188" s="7">
        <v>88</v>
      </c>
      <c r="J188" s="7">
        <v>16280</v>
      </c>
      <c r="K188" s="7">
        <v>10175</v>
      </c>
      <c r="L188" s="7">
        <v>6105</v>
      </c>
      <c r="M188" s="8">
        <v>0.375</v>
      </c>
      <c r="N188" s="5">
        <v>105</v>
      </c>
      <c r="O188" s="5">
        <v>48</v>
      </c>
    </row>
    <row r="189" spans="2:15">
      <c r="B189" s="4" t="s">
        <v>124</v>
      </c>
      <c r="C189" s="4" t="s">
        <v>127</v>
      </c>
      <c r="D189" s="4" t="s">
        <v>558</v>
      </c>
      <c r="E189" s="4" t="s">
        <v>31</v>
      </c>
      <c r="F189" s="4" t="s">
        <v>126</v>
      </c>
      <c r="G189" s="4">
        <v>101020118</v>
      </c>
      <c r="H189" s="5">
        <v>37</v>
      </c>
      <c r="I189" s="7">
        <v>358</v>
      </c>
      <c r="J189" s="7">
        <v>13246</v>
      </c>
      <c r="K189" s="7">
        <v>8140</v>
      </c>
      <c r="L189" s="7">
        <v>5106</v>
      </c>
      <c r="M189" s="8">
        <v>0.38540000000000002</v>
      </c>
      <c r="N189" s="5">
        <v>21</v>
      </c>
      <c r="O189" s="5">
        <v>15</v>
      </c>
    </row>
    <row r="190" spans="2:15">
      <c r="B190" s="4" t="s">
        <v>124</v>
      </c>
      <c r="C190" s="4" t="s">
        <v>125</v>
      </c>
      <c r="D190" s="4" t="s">
        <v>559</v>
      </c>
      <c r="E190" s="4" t="s">
        <v>31</v>
      </c>
      <c r="F190" s="4" t="s">
        <v>126</v>
      </c>
      <c r="G190" s="4">
        <v>101010327</v>
      </c>
      <c r="H190" s="5">
        <v>32</v>
      </c>
      <c r="I190" s="7">
        <v>399</v>
      </c>
      <c r="J190" s="7">
        <v>12768</v>
      </c>
      <c r="K190" s="7">
        <v>12732.5995</v>
      </c>
      <c r="L190" s="7">
        <v>35.400500000000001</v>
      </c>
      <c r="M190" s="8">
        <v>2.7000000000000001E-3</v>
      </c>
      <c r="N190" s="5">
        <v>14</v>
      </c>
      <c r="O190" s="5">
        <v>11</v>
      </c>
    </row>
    <row r="191" spans="2:15">
      <c r="B191" s="4" t="s">
        <v>124</v>
      </c>
      <c r="C191" s="4" t="s">
        <v>130</v>
      </c>
      <c r="D191" s="4" t="s">
        <v>281</v>
      </c>
      <c r="E191" s="4" t="s">
        <v>167</v>
      </c>
      <c r="F191" s="4" t="s">
        <v>126</v>
      </c>
      <c r="G191" s="4">
        <v>101990006</v>
      </c>
      <c r="H191" s="5">
        <v>218</v>
      </c>
      <c r="I191" s="7">
        <v>58</v>
      </c>
      <c r="J191" s="7">
        <v>12644</v>
      </c>
      <c r="K191" s="7">
        <v>8066</v>
      </c>
      <c r="L191" s="7">
        <v>4578</v>
      </c>
      <c r="M191" s="8">
        <v>0.36199999999999999</v>
      </c>
      <c r="N191" s="5">
        <v>152</v>
      </c>
      <c r="O191" s="5">
        <v>57</v>
      </c>
    </row>
    <row r="192" spans="2:15">
      <c r="B192" s="4" t="s">
        <v>124</v>
      </c>
      <c r="C192" s="4" t="s">
        <v>147</v>
      </c>
      <c r="D192" s="4" t="s">
        <v>560</v>
      </c>
      <c r="E192" s="4" t="s">
        <v>225</v>
      </c>
      <c r="F192" s="4" t="s">
        <v>126</v>
      </c>
      <c r="G192" s="4">
        <v>101010283</v>
      </c>
      <c r="H192" s="5">
        <v>116</v>
      </c>
      <c r="I192" s="7">
        <v>103</v>
      </c>
      <c r="J192" s="7">
        <v>11948</v>
      </c>
      <c r="K192" s="7">
        <v>11512.156300000001</v>
      </c>
      <c r="L192" s="7">
        <v>435.84370000000001</v>
      </c>
      <c r="M192" s="8">
        <v>3.6400000000000002E-2</v>
      </c>
      <c r="N192" s="5">
        <v>66</v>
      </c>
      <c r="O192" s="5">
        <v>27</v>
      </c>
    </row>
    <row r="193" spans="2:15">
      <c r="B193" s="4" t="s">
        <v>124</v>
      </c>
      <c r="C193" s="4" t="s">
        <v>147</v>
      </c>
      <c r="D193" s="4" t="s">
        <v>561</v>
      </c>
      <c r="E193" s="4" t="s">
        <v>55</v>
      </c>
      <c r="F193" s="4" t="s">
        <v>126</v>
      </c>
      <c r="G193" s="4">
        <v>101030028</v>
      </c>
      <c r="H193" s="5">
        <v>12</v>
      </c>
      <c r="I193" s="7">
        <v>980</v>
      </c>
      <c r="J193" s="7">
        <v>11760</v>
      </c>
      <c r="K193" s="7">
        <v>8113.5046000000002</v>
      </c>
      <c r="L193" s="7">
        <v>3646.4953999999998</v>
      </c>
      <c r="M193" s="8">
        <v>0.31</v>
      </c>
      <c r="N193" s="5">
        <v>9</v>
      </c>
      <c r="O193" s="5">
        <v>7</v>
      </c>
    </row>
    <row r="194" spans="2:15">
      <c r="B194" s="4" t="s">
        <v>124</v>
      </c>
      <c r="C194" s="4" t="s">
        <v>125</v>
      </c>
      <c r="D194" s="4" t="s">
        <v>402</v>
      </c>
      <c r="E194" s="4" t="s">
        <v>176</v>
      </c>
      <c r="F194" s="4" t="s">
        <v>126</v>
      </c>
      <c r="G194" s="4">
        <v>101010451</v>
      </c>
      <c r="H194" s="5">
        <v>1072</v>
      </c>
      <c r="I194" s="7">
        <v>10.94</v>
      </c>
      <c r="J194" s="7">
        <v>11727.5</v>
      </c>
      <c r="K194" s="7">
        <v>8025.2815000000001</v>
      </c>
      <c r="L194" s="7">
        <v>3702.2184999999999</v>
      </c>
      <c r="M194" s="8">
        <v>0.31559999999999999</v>
      </c>
      <c r="N194" s="5">
        <v>309</v>
      </c>
      <c r="O194" s="5">
        <v>60</v>
      </c>
    </row>
    <row r="195" spans="2:15">
      <c r="B195" s="4" t="s">
        <v>124</v>
      </c>
      <c r="C195" s="4" t="s">
        <v>125</v>
      </c>
      <c r="D195" s="4" t="s">
        <v>64</v>
      </c>
      <c r="E195" s="4" t="s">
        <v>65</v>
      </c>
      <c r="F195" s="4" t="s">
        <v>126</v>
      </c>
      <c r="G195" s="4">
        <v>101020055</v>
      </c>
      <c r="H195" s="5">
        <v>31</v>
      </c>
      <c r="I195" s="7">
        <v>376.39</v>
      </c>
      <c r="J195" s="7">
        <v>11668</v>
      </c>
      <c r="K195" s="7">
        <v>8278.2222000000002</v>
      </c>
      <c r="L195" s="7">
        <v>3389.7777999999998</v>
      </c>
      <c r="M195" s="8">
        <v>0.29049999999999998</v>
      </c>
      <c r="N195" s="5">
        <v>22</v>
      </c>
      <c r="O195" s="5">
        <v>17</v>
      </c>
    </row>
    <row r="196" spans="2:15">
      <c r="B196" s="4" t="s">
        <v>124</v>
      </c>
      <c r="C196" s="4" t="s">
        <v>127</v>
      </c>
      <c r="D196" s="4" t="s">
        <v>354</v>
      </c>
      <c r="E196" s="4" t="s">
        <v>31</v>
      </c>
      <c r="F196" s="4" t="s">
        <v>126</v>
      </c>
      <c r="G196" s="4">
        <v>101020038</v>
      </c>
      <c r="H196" s="5">
        <v>78</v>
      </c>
      <c r="I196" s="7">
        <v>138</v>
      </c>
      <c r="J196" s="7">
        <v>10764</v>
      </c>
      <c r="K196" s="7">
        <v>4276.3671999999997</v>
      </c>
      <c r="L196" s="7">
        <v>6487.6328000000003</v>
      </c>
      <c r="M196" s="8">
        <v>0.60270000000000001</v>
      </c>
      <c r="N196" s="5">
        <v>43</v>
      </c>
      <c r="O196" s="5">
        <v>18</v>
      </c>
    </row>
    <row r="197" spans="2:15">
      <c r="B197" s="4" t="s">
        <v>124</v>
      </c>
      <c r="C197" s="4" t="s">
        <v>147</v>
      </c>
      <c r="D197" s="4" t="s">
        <v>303</v>
      </c>
      <c r="E197" s="4" t="s">
        <v>31</v>
      </c>
      <c r="F197" s="4" t="s">
        <v>126</v>
      </c>
      <c r="G197" s="4">
        <v>101010075</v>
      </c>
      <c r="H197" s="5">
        <v>143</v>
      </c>
      <c r="I197" s="7">
        <v>75.180000000000007</v>
      </c>
      <c r="J197" s="7">
        <v>10751</v>
      </c>
      <c r="K197" s="7">
        <v>8008</v>
      </c>
      <c r="L197" s="7">
        <v>2743</v>
      </c>
      <c r="M197" s="8">
        <v>0.25509999999999999</v>
      </c>
      <c r="N197" s="5">
        <v>77</v>
      </c>
      <c r="O197" s="5">
        <v>39</v>
      </c>
    </row>
    <row r="198" spans="2:15">
      <c r="B198" s="4" t="s">
        <v>124</v>
      </c>
      <c r="C198" s="4" t="s">
        <v>147</v>
      </c>
      <c r="D198" s="4" t="s">
        <v>562</v>
      </c>
      <c r="E198" s="4" t="s">
        <v>249</v>
      </c>
      <c r="F198" s="4" t="s">
        <v>126</v>
      </c>
      <c r="G198" s="4">
        <v>101030037</v>
      </c>
      <c r="H198" s="5">
        <v>267</v>
      </c>
      <c r="I198" s="7">
        <v>39.06</v>
      </c>
      <c r="J198" s="7">
        <v>10428</v>
      </c>
      <c r="K198" s="7">
        <v>8247.4943999999996</v>
      </c>
      <c r="L198" s="7">
        <v>2180.5056</v>
      </c>
      <c r="M198" s="8">
        <v>0.20910000000000001</v>
      </c>
      <c r="N198" s="5">
        <v>142</v>
      </c>
      <c r="O198" s="5">
        <v>47</v>
      </c>
    </row>
    <row r="199" spans="2:15">
      <c r="B199" s="4" t="s">
        <v>124</v>
      </c>
      <c r="C199" s="4" t="s">
        <v>147</v>
      </c>
      <c r="D199" s="4" t="s">
        <v>563</v>
      </c>
      <c r="E199" s="4" t="s">
        <v>31</v>
      </c>
      <c r="F199" s="4" t="s">
        <v>126</v>
      </c>
      <c r="G199" s="4">
        <v>101010332</v>
      </c>
      <c r="H199" s="5">
        <v>28</v>
      </c>
      <c r="I199" s="7">
        <v>366</v>
      </c>
      <c r="J199" s="7">
        <v>10248</v>
      </c>
      <c r="K199" s="7">
        <v>10864.0592</v>
      </c>
      <c r="L199" s="7">
        <v>-616.05920000000003</v>
      </c>
      <c r="M199" s="8">
        <v>-6.0100000000000001E-2</v>
      </c>
      <c r="N199" s="5">
        <v>12</v>
      </c>
      <c r="O199" s="5">
        <v>6</v>
      </c>
    </row>
    <row r="200" spans="2:15">
      <c r="B200" s="4" t="s">
        <v>124</v>
      </c>
      <c r="C200" s="4" t="s">
        <v>125</v>
      </c>
      <c r="D200" s="4" t="s">
        <v>69</v>
      </c>
      <c r="E200" s="4" t="s">
        <v>123</v>
      </c>
      <c r="F200" s="4" t="s">
        <v>126</v>
      </c>
      <c r="G200" s="4">
        <v>101020063</v>
      </c>
      <c r="H200" s="5">
        <v>3</v>
      </c>
      <c r="I200" s="7">
        <v>2918.67</v>
      </c>
      <c r="J200" s="7">
        <v>8756</v>
      </c>
      <c r="K200" s="7">
        <v>6245.46</v>
      </c>
      <c r="L200" s="7">
        <v>2510.54</v>
      </c>
      <c r="M200" s="8">
        <v>0.28670000000000001</v>
      </c>
      <c r="N200" s="5">
        <v>3</v>
      </c>
      <c r="O200" s="5">
        <v>3</v>
      </c>
    </row>
    <row r="201" spans="2:15">
      <c r="B201" s="4" t="s">
        <v>124</v>
      </c>
      <c r="C201" s="4" t="s">
        <v>127</v>
      </c>
      <c r="D201" s="4" t="s">
        <v>379</v>
      </c>
      <c r="E201" s="4" t="s">
        <v>31</v>
      </c>
      <c r="F201" s="4" t="s">
        <v>126</v>
      </c>
      <c r="G201" s="4">
        <v>101020111</v>
      </c>
      <c r="H201" s="5">
        <v>30</v>
      </c>
      <c r="I201" s="7">
        <v>269</v>
      </c>
      <c r="J201" s="7">
        <v>8070</v>
      </c>
      <c r="K201" s="7">
        <v>3060</v>
      </c>
      <c r="L201" s="7">
        <v>5010</v>
      </c>
      <c r="M201" s="8">
        <v>0.62080000000000002</v>
      </c>
      <c r="N201" s="5">
        <v>8</v>
      </c>
      <c r="O201" s="5">
        <v>7</v>
      </c>
    </row>
    <row r="202" spans="2:15">
      <c r="B202" s="4" t="s">
        <v>124</v>
      </c>
      <c r="C202" s="4" t="s">
        <v>147</v>
      </c>
      <c r="D202" s="4" t="s">
        <v>564</v>
      </c>
      <c r="E202" s="4" t="s">
        <v>565</v>
      </c>
      <c r="F202" s="4" t="s">
        <v>126</v>
      </c>
      <c r="G202" s="4">
        <v>101010307</v>
      </c>
      <c r="H202" s="5">
        <v>665</v>
      </c>
      <c r="I202" s="7">
        <v>10.84</v>
      </c>
      <c r="J202" s="7">
        <v>7209.5</v>
      </c>
      <c r="K202" s="7">
        <v>5971.5183999999999</v>
      </c>
      <c r="L202" s="7">
        <v>1237.9816000000001</v>
      </c>
      <c r="M202" s="8">
        <v>0.17169999999999999</v>
      </c>
      <c r="N202" s="5">
        <v>329</v>
      </c>
      <c r="O202" s="5">
        <v>51</v>
      </c>
    </row>
    <row r="203" spans="2:15">
      <c r="B203" s="4" t="s">
        <v>124</v>
      </c>
      <c r="C203" s="4" t="s">
        <v>147</v>
      </c>
      <c r="D203" s="4" t="s">
        <v>566</v>
      </c>
      <c r="E203" s="4" t="s">
        <v>371</v>
      </c>
      <c r="F203" s="4" t="s">
        <v>126</v>
      </c>
      <c r="G203" s="4">
        <v>101030047</v>
      </c>
      <c r="H203" s="5">
        <v>299</v>
      </c>
      <c r="I203" s="7">
        <v>23.6</v>
      </c>
      <c r="J203" s="7">
        <v>7056.4</v>
      </c>
      <c r="K203" s="7">
        <v>5083</v>
      </c>
      <c r="L203" s="7">
        <v>1973.4</v>
      </c>
      <c r="M203" s="8">
        <v>0.27960000000000002</v>
      </c>
      <c r="N203" s="5">
        <v>213</v>
      </c>
      <c r="O203" s="5">
        <v>53</v>
      </c>
    </row>
    <row r="204" spans="2:15">
      <c r="B204" s="4" t="s">
        <v>124</v>
      </c>
      <c r="C204" s="4" t="s">
        <v>147</v>
      </c>
      <c r="D204" s="4" t="s">
        <v>567</v>
      </c>
      <c r="E204" s="4" t="s">
        <v>31</v>
      </c>
      <c r="F204" s="4" t="s">
        <v>126</v>
      </c>
      <c r="G204" s="4">
        <v>101010284</v>
      </c>
      <c r="H204" s="5">
        <v>36</v>
      </c>
      <c r="I204" s="7">
        <v>180</v>
      </c>
      <c r="J204" s="7">
        <v>6480</v>
      </c>
      <c r="K204" s="7">
        <v>5760</v>
      </c>
      <c r="L204" s="7">
        <v>720</v>
      </c>
      <c r="M204" s="8">
        <v>0.1111</v>
      </c>
      <c r="N204" s="5">
        <v>1</v>
      </c>
      <c r="O204" s="5">
        <v>1</v>
      </c>
    </row>
    <row r="205" spans="2:15">
      <c r="B205" s="4" t="s">
        <v>124</v>
      </c>
      <c r="C205" s="4" t="s">
        <v>125</v>
      </c>
      <c r="D205" s="4" t="s">
        <v>218</v>
      </c>
      <c r="E205" s="4" t="s">
        <v>31</v>
      </c>
      <c r="F205" s="4" t="s">
        <v>126</v>
      </c>
      <c r="G205" s="4">
        <v>101010138</v>
      </c>
      <c r="H205" s="5">
        <v>43</v>
      </c>
      <c r="I205" s="7">
        <v>150</v>
      </c>
      <c r="J205" s="7">
        <v>6450</v>
      </c>
      <c r="K205" s="7">
        <v>6021.9357</v>
      </c>
      <c r="L205" s="7">
        <v>428.0643</v>
      </c>
      <c r="M205" s="8">
        <v>6.6299999999999998E-2</v>
      </c>
      <c r="N205" s="5">
        <v>17</v>
      </c>
      <c r="O205" s="5">
        <v>3</v>
      </c>
    </row>
    <row r="206" spans="2:15">
      <c r="B206" s="4" t="s">
        <v>124</v>
      </c>
      <c r="C206" s="4" t="s">
        <v>125</v>
      </c>
      <c r="D206" s="4" t="s">
        <v>568</v>
      </c>
      <c r="E206" s="4" t="s">
        <v>31</v>
      </c>
      <c r="F206" s="4" t="s">
        <v>126</v>
      </c>
      <c r="G206" s="4">
        <v>101010274</v>
      </c>
      <c r="H206" s="5">
        <v>98</v>
      </c>
      <c r="I206" s="7">
        <v>54.45</v>
      </c>
      <c r="J206" s="7">
        <v>5336</v>
      </c>
      <c r="K206" s="7">
        <v>5081.7196999999996</v>
      </c>
      <c r="L206" s="7">
        <v>254.28030000000001</v>
      </c>
      <c r="M206" s="8">
        <v>4.7600000000000003E-2</v>
      </c>
      <c r="N206" s="5">
        <v>63</v>
      </c>
      <c r="O206" s="5">
        <v>33</v>
      </c>
    </row>
    <row r="207" spans="2:15">
      <c r="B207" s="4" t="s">
        <v>124</v>
      </c>
      <c r="C207" s="4" t="s">
        <v>147</v>
      </c>
      <c r="D207" s="4" t="s">
        <v>569</v>
      </c>
      <c r="E207" s="4" t="s">
        <v>31</v>
      </c>
      <c r="F207" s="4" t="s">
        <v>126</v>
      </c>
      <c r="G207" s="4">
        <v>101030029</v>
      </c>
      <c r="H207" s="5">
        <v>22</v>
      </c>
      <c r="I207" s="7">
        <v>239</v>
      </c>
      <c r="J207" s="7">
        <v>5258</v>
      </c>
      <c r="K207" s="7">
        <v>3688.8204999999998</v>
      </c>
      <c r="L207" s="7">
        <v>1569.1795</v>
      </c>
      <c r="M207" s="8">
        <v>0.2984</v>
      </c>
      <c r="N207" s="5">
        <v>11</v>
      </c>
      <c r="O207" s="5">
        <v>7</v>
      </c>
    </row>
    <row r="208" spans="2:15">
      <c r="B208" s="4" t="s">
        <v>124</v>
      </c>
      <c r="C208" s="4" t="s">
        <v>127</v>
      </c>
      <c r="D208" s="4" t="s">
        <v>570</v>
      </c>
      <c r="E208" s="4" t="s">
        <v>157</v>
      </c>
      <c r="F208" s="4" t="s">
        <v>126</v>
      </c>
      <c r="G208" s="4">
        <v>101020110</v>
      </c>
      <c r="H208" s="5">
        <v>8</v>
      </c>
      <c r="I208" s="7">
        <v>600</v>
      </c>
      <c r="J208" s="7">
        <v>4800</v>
      </c>
      <c r="K208" s="7">
        <v>4400</v>
      </c>
      <c r="L208" s="7">
        <v>400</v>
      </c>
      <c r="M208" s="8">
        <v>8.3299999999999999E-2</v>
      </c>
      <c r="N208" s="5">
        <v>1</v>
      </c>
      <c r="O208" s="5">
        <v>1</v>
      </c>
    </row>
    <row r="209" spans="2:15">
      <c r="B209" s="4" t="s">
        <v>124</v>
      </c>
      <c r="C209" s="4" t="s">
        <v>147</v>
      </c>
      <c r="D209" s="4" t="s">
        <v>571</v>
      </c>
      <c r="E209" s="4" t="s">
        <v>31</v>
      </c>
      <c r="F209" s="4" t="s">
        <v>126</v>
      </c>
      <c r="G209" s="4">
        <v>101030051</v>
      </c>
      <c r="H209" s="5">
        <v>30</v>
      </c>
      <c r="I209" s="7">
        <v>160</v>
      </c>
      <c r="J209" s="7">
        <v>4800</v>
      </c>
      <c r="K209" s="7">
        <v>4200</v>
      </c>
      <c r="L209" s="7">
        <v>600</v>
      </c>
      <c r="M209" s="8">
        <v>0.125</v>
      </c>
      <c r="N209" s="5">
        <v>1</v>
      </c>
      <c r="O209" s="5">
        <v>1</v>
      </c>
    </row>
    <row r="210" spans="2:15">
      <c r="B210" s="4" t="s">
        <v>124</v>
      </c>
      <c r="C210" s="4" t="s">
        <v>125</v>
      </c>
      <c r="D210" s="4" t="s">
        <v>572</v>
      </c>
      <c r="E210" s="4" t="s">
        <v>31</v>
      </c>
      <c r="F210" s="4" t="s">
        <v>126</v>
      </c>
      <c r="G210" s="4">
        <v>101010186</v>
      </c>
      <c r="H210" s="5">
        <v>50</v>
      </c>
      <c r="I210" s="7">
        <v>89</v>
      </c>
      <c r="J210" s="7">
        <v>4450</v>
      </c>
      <c r="K210" s="7">
        <v>4261.9989999999998</v>
      </c>
      <c r="L210" s="7">
        <v>188.001</v>
      </c>
      <c r="M210" s="8">
        <v>4.2200000000000001E-2</v>
      </c>
      <c r="N210" s="5">
        <v>34</v>
      </c>
      <c r="O210" s="5">
        <v>13</v>
      </c>
    </row>
    <row r="211" spans="2:15">
      <c r="B211" s="4" t="s">
        <v>124</v>
      </c>
      <c r="C211" s="4" t="s">
        <v>236</v>
      </c>
      <c r="D211" s="4" t="s">
        <v>573</v>
      </c>
      <c r="E211" s="4" t="s">
        <v>123</v>
      </c>
      <c r="F211" s="4" t="s">
        <v>126</v>
      </c>
      <c r="G211" s="4">
        <v>101050002</v>
      </c>
      <c r="H211" s="5">
        <v>341</v>
      </c>
      <c r="I211" s="7">
        <v>13.03</v>
      </c>
      <c r="J211" s="7">
        <v>4444</v>
      </c>
      <c r="K211" s="7">
        <v>0</v>
      </c>
      <c r="L211" s="7">
        <v>4444</v>
      </c>
      <c r="M211" s="8">
        <v>1</v>
      </c>
      <c r="N211" s="5">
        <v>197</v>
      </c>
      <c r="O211" s="5">
        <v>55</v>
      </c>
    </row>
    <row r="212" spans="2:15">
      <c r="B212" s="4" t="s">
        <v>124</v>
      </c>
      <c r="C212" s="4" t="s">
        <v>147</v>
      </c>
      <c r="D212" s="4" t="s">
        <v>574</v>
      </c>
      <c r="E212" s="4" t="s">
        <v>575</v>
      </c>
      <c r="F212" s="4" t="s">
        <v>126</v>
      </c>
      <c r="G212" s="4">
        <v>101010308</v>
      </c>
      <c r="H212" s="5">
        <v>927</v>
      </c>
      <c r="I212" s="7">
        <v>4.76</v>
      </c>
      <c r="J212" s="7">
        <v>4415.0600000000004</v>
      </c>
      <c r="K212" s="7">
        <v>3478.2860999999998</v>
      </c>
      <c r="L212" s="7">
        <v>936.77390000000003</v>
      </c>
      <c r="M212" s="8">
        <v>0.21210000000000001</v>
      </c>
      <c r="N212" s="5">
        <v>483</v>
      </c>
      <c r="O212" s="5">
        <v>47</v>
      </c>
    </row>
    <row r="213" spans="2:15">
      <c r="B213" s="4" t="s">
        <v>124</v>
      </c>
      <c r="C213" s="4" t="s">
        <v>147</v>
      </c>
      <c r="D213" s="4" t="s">
        <v>576</v>
      </c>
      <c r="E213" s="4" t="s">
        <v>123</v>
      </c>
      <c r="F213" s="4" t="s">
        <v>126</v>
      </c>
      <c r="G213" s="4">
        <v>101030008</v>
      </c>
      <c r="H213" s="5">
        <v>60</v>
      </c>
      <c r="I213" s="7">
        <v>72</v>
      </c>
      <c r="J213" s="7">
        <v>4320</v>
      </c>
      <c r="K213" s="7">
        <v>2940</v>
      </c>
      <c r="L213" s="7">
        <v>1380</v>
      </c>
      <c r="M213" s="8">
        <v>0.31940000000000002</v>
      </c>
      <c r="N213" s="5">
        <v>1</v>
      </c>
      <c r="O213" s="5">
        <v>1</v>
      </c>
    </row>
    <row r="214" spans="2:15">
      <c r="B214" s="4" t="s">
        <v>124</v>
      </c>
      <c r="C214" s="4" t="s">
        <v>127</v>
      </c>
      <c r="D214" s="4" t="s">
        <v>380</v>
      </c>
      <c r="E214" s="4" t="s">
        <v>31</v>
      </c>
      <c r="F214" s="4" t="s">
        <v>126</v>
      </c>
      <c r="G214" s="4">
        <v>101020039</v>
      </c>
      <c r="H214" s="5">
        <v>56</v>
      </c>
      <c r="I214" s="7">
        <v>73.819999999999993</v>
      </c>
      <c r="J214" s="7">
        <v>4134</v>
      </c>
      <c r="K214" s="7">
        <v>1950.7275</v>
      </c>
      <c r="L214" s="7">
        <v>2183.2725</v>
      </c>
      <c r="M214" s="8">
        <v>0.52810000000000001</v>
      </c>
      <c r="N214" s="5">
        <v>38</v>
      </c>
      <c r="O214" s="5">
        <v>21</v>
      </c>
    </row>
    <row r="215" spans="2:15">
      <c r="B215" s="4" t="s">
        <v>124</v>
      </c>
      <c r="C215" s="4" t="s">
        <v>147</v>
      </c>
      <c r="D215" s="4" t="s">
        <v>577</v>
      </c>
      <c r="E215" s="4" t="s">
        <v>575</v>
      </c>
      <c r="F215" s="4" t="s">
        <v>126</v>
      </c>
      <c r="G215" s="4">
        <v>101030046</v>
      </c>
      <c r="H215" s="5">
        <v>933</v>
      </c>
      <c r="I215" s="7">
        <v>3.92</v>
      </c>
      <c r="J215" s="7">
        <v>3661.5</v>
      </c>
      <c r="K215" s="7">
        <v>2612.4</v>
      </c>
      <c r="L215" s="7">
        <v>1049.0999999999999</v>
      </c>
      <c r="M215" s="8">
        <v>0.28649999999999998</v>
      </c>
      <c r="N215" s="5">
        <v>613</v>
      </c>
      <c r="O215" s="5">
        <v>45</v>
      </c>
    </row>
    <row r="216" spans="2:15">
      <c r="B216" s="4" t="s">
        <v>124</v>
      </c>
      <c r="C216" s="4" t="s">
        <v>127</v>
      </c>
      <c r="D216" s="4" t="s">
        <v>165</v>
      </c>
      <c r="E216" s="4" t="s">
        <v>31</v>
      </c>
      <c r="F216" s="4" t="s">
        <v>126</v>
      </c>
      <c r="G216" s="4">
        <v>101010287</v>
      </c>
      <c r="H216" s="5">
        <v>12</v>
      </c>
      <c r="I216" s="7">
        <v>279</v>
      </c>
      <c r="J216" s="7">
        <v>3348</v>
      </c>
      <c r="K216" s="7">
        <v>2278.4672</v>
      </c>
      <c r="L216" s="7">
        <v>1069.5328</v>
      </c>
      <c r="M216" s="8">
        <v>0.31940000000000002</v>
      </c>
      <c r="N216" s="5">
        <v>7</v>
      </c>
      <c r="O216" s="5">
        <v>5</v>
      </c>
    </row>
    <row r="217" spans="2:15">
      <c r="B217" s="4" t="s">
        <v>124</v>
      </c>
      <c r="C217" s="4" t="s">
        <v>125</v>
      </c>
      <c r="D217" s="4" t="s">
        <v>578</v>
      </c>
      <c r="E217" s="4" t="s">
        <v>123</v>
      </c>
      <c r="F217" s="4" t="s">
        <v>126</v>
      </c>
      <c r="G217" s="4">
        <v>101010394</v>
      </c>
      <c r="H217" s="5">
        <v>70</v>
      </c>
      <c r="I217" s="7">
        <v>47</v>
      </c>
      <c r="J217" s="7">
        <v>3290</v>
      </c>
      <c r="K217" s="7">
        <v>3140.7696000000001</v>
      </c>
      <c r="L217" s="7">
        <v>149.2304</v>
      </c>
      <c r="M217" s="8">
        <v>4.53E-2</v>
      </c>
      <c r="N217" s="5">
        <v>41</v>
      </c>
      <c r="O217" s="5">
        <v>23</v>
      </c>
    </row>
    <row r="218" spans="2:15">
      <c r="B218" s="4" t="s">
        <v>124</v>
      </c>
      <c r="C218" s="4" t="s">
        <v>125</v>
      </c>
      <c r="D218" s="4" t="s">
        <v>579</v>
      </c>
      <c r="E218" s="4" t="s">
        <v>123</v>
      </c>
      <c r="F218" s="4" t="s">
        <v>126</v>
      </c>
      <c r="G218" s="4">
        <v>101010375</v>
      </c>
      <c r="H218" s="5">
        <v>6</v>
      </c>
      <c r="I218" s="7">
        <v>488</v>
      </c>
      <c r="J218" s="7">
        <v>2928</v>
      </c>
      <c r="K218" s="7">
        <v>2624.2564000000002</v>
      </c>
      <c r="L218" s="7">
        <v>303.74360000000001</v>
      </c>
      <c r="M218" s="8">
        <v>0.1037</v>
      </c>
      <c r="N218" s="5">
        <v>5</v>
      </c>
      <c r="O218" s="5">
        <v>4</v>
      </c>
    </row>
    <row r="219" spans="2:15">
      <c r="B219" s="4" t="s">
        <v>124</v>
      </c>
      <c r="C219" s="4" t="s">
        <v>125</v>
      </c>
      <c r="D219" s="4" t="s">
        <v>580</v>
      </c>
      <c r="E219" s="4" t="s">
        <v>31</v>
      </c>
      <c r="F219" s="4" t="s">
        <v>126</v>
      </c>
      <c r="G219" s="4">
        <v>101010305</v>
      </c>
      <c r="H219" s="5">
        <v>15</v>
      </c>
      <c r="I219" s="7">
        <v>136</v>
      </c>
      <c r="J219" s="7">
        <v>2040</v>
      </c>
      <c r="K219" s="7">
        <v>1657.3484000000001</v>
      </c>
      <c r="L219" s="7">
        <v>382.65159999999997</v>
      </c>
      <c r="M219" s="8">
        <v>0.1875</v>
      </c>
      <c r="N219" s="5">
        <v>6</v>
      </c>
      <c r="O219" s="5">
        <v>2</v>
      </c>
    </row>
    <row r="220" spans="2:15">
      <c r="B220" s="4" t="s">
        <v>124</v>
      </c>
      <c r="C220" s="4" t="s">
        <v>147</v>
      </c>
      <c r="D220" s="4" t="s">
        <v>581</v>
      </c>
      <c r="E220" s="4" t="s">
        <v>582</v>
      </c>
      <c r="F220" s="4" t="s">
        <v>126</v>
      </c>
      <c r="G220" s="4">
        <v>101010317</v>
      </c>
      <c r="H220" s="5">
        <v>135</v>
      </c>
      <c r="I220" s="7">
        <v>14.09</v>
      </c>
      <c r="J220" s="7">
        <v>1902</v>
      </c>
      <c r="K220" s="7">
        <v>1748.5047999999999</v>
      </c>
      <c r="L220" s="7">
        <v>153.49520000000001</v>
      </c>
      <c r="M220" s="8">
        <v>8.0699999999999994E-2</v>
      </c>
      <c r="N220" s="5">
        <v>85</v>
      </c>
      <c r="O220" s="5">
        <v>25</v>
      </c>
    </row>
    <row r="221" spans="2:15">
      <c r="B221" s="4" t="s">
        <v>124</v>
      </c>
      <c r="C221" s="4" t="s">
        <v>147</v>
      </c>
      <c r="D221" s="4" t="s">
        <v>583</v>
      </c>
      <c r="E221" s="4" t="s">
        <v>176</v>
      </c>
      <c r="F221" s="4" t="s">
        <v>126</v>
      </c>
      <c r="G221" s="4">
        <v>101010314</v>
      </c>
      <c r="H221" s="5">
        <v>191</v>
      </c>
      <c r="I221" s="7">
        <v>9.5500000000000007</v>
      </c>
      <c r="J221" s="7">
        <v>1825</v>
      </c>
      <c r="K221" s="7">
        <v>1631.5648000000001</v>
      </c>
      <c r="L221" s="7">
        <v>193.43520000000001</v>
      </c>
      <c r="M221" s="8">
        <v>0.10589999999999999</v>
      </c>
      <c r="N221" s="5">
        <v>127</v>
      </c>
      <c r="O221" s="5">
        <v>37</v>
      </c>
    </row>
    <row r="222" spans="2:15">
      <c r="B222" s="4" t="s">
        <v>124</v>
      </c>
      <c r="C222" s="4" t="s">
        <v>127</v>
      </c>
      <c r="D222" s="4" t="s">
        <v>367</v>
      </c>
      <c r="E222" s="4" t="s">
        <v>31</v>
      </c>
      <c r="F222" s="4" t="s">
        <v>126</v>
      </c>
      <c r="G222" s="4">
        <v>101020113</v>
      </c>
      <c r="H222" s="5">
        <v>3</v>
      </c>
      <c r="I222" s="7">
        <v>599</v>
      </c>
      <c r="J222" s="7">
        <v>1797</v>
      </c>
      <c r="K222" s="7">
        <v>525</v>
      </c>
      <c r="L222" s="7">
        <v>1272</v>
      </c>
      <c r="M222" s="8">
        <v>0.70779999999999998</v>
      </c>
      <c r="N222" s="5">
        <v>2</v>
      </c>
      <c r="O222" s="5">
        <v>2</v>
      </c>
    </row>
    <row r="223" spans="2:15">
      <c r="B223" s="4" t="s">
        <v>124</v>
      </c>
      <c r="C223" s="4" t="s">
        <v>147</v>
      </c>
      <c r="D223" s="4" t="s">
        <v>584</v>
      </c>
      <c r="E223" s="4" t="s">
        <v>123</v>
      </c>
      <c r="F223" s="4" t="s">
        <v>126</v>
      </c>
      <c r="G223" s="4">
        <v>101030035</v>
      </c>
      <c r="H223" s="5">
        <v>205</v>
      </c>
      <c r="I223" s="7">
        <v>8.15</v>
      </c>
      <c r="J223" s="7">
        <v>1670.4</v>
      </c>
      <c r="K223" s="7">
        <v>922.5</v>
      </c>
      <c r="L223" s="7">
        <v>747.9</v>
      </c>
      <c r="M223" s="8">
        <v>0.44769999999999999</v>
      </c>
      <c r="N223" s="5">
        <v>126</v>
      </c>
      <c r="O223" s="5">
        <v>24</v>
      </c>
    </row>
    <row r="224" spans="2:15">
      <c r="B224" s="4" t="s">
        <v>124</v>
      </c>
      <c r="C224" s="4" t="s">
        <v>236</v>
      </c>
      <c r="D224" s="4" t="s">
        <v>317</v>
      </c>
      <c r="E224" s="4" t="s">
        <v>31</v>
      </c>
      <c r="F224" s="4" t="s">
        <v>126</v>
      </c>
      <c r="G224" s="4">
        <v>101010210</v>
      </c>
      <c r="H224" s="5">
        <v>9</v>
      </c>
      <c r="I224" s="7">
        <v>180</v>
      </c>
      <c r="J224" s="7">
        <v>1620</v>
      </c>
      <c r="K224" s="7">
        <v>1746</v>
      </c>
      <c r="L224" s="7">
        <v>-126</v>
      </c>
      <c r="M224" s="8">
        <v>-7.7700000000000005E-2</v>
      </c>
      <c r="N224" s="5">
        <v>6</v>
      </c>
      <c r="O224" s="5">
        <v>2</v>
      </c>
    </row>
    <row r="225" spans="2:15">
      <c r="B225" s="4" t="s">
        <v>124</v>
      </c>
      <c r="C225" s="4" t="s">
        <v>127</v>
      </c>
      <c r="D225" s="4" t="s">
        <v>585</v>
      </c>
      <c r="E225" s="4" t="s">
        <v>31</v>
      </c>
      <c r="F225" s="4" t="s">
        <v>126</v>
      </c>
      <c r="G225" s="4">
        <v>101010023</v>
      </c>
      <c r="H225" s="5">
        <v>11</v>
      </c>
      <c r="I225" s="7">
        <v>88</v>
      </c>
      <c r="J225" s="7">
        <v>968</v>
      </c>
      <c r="K225" s="7">
        <v>769.97519999999997</v>
      </c>
      <c r="L225" s="7">
        <v>198.0248</v>
      </c>
      <c r="M225" s="8">
        <v>0.20449999999999999</v>
      </c>
      <c r="N225" s="5">
        <v>7</v>
      </c>
      <c r="O225" s="5">
        <v>4</v>
      </c>
    </row>
    <row r="226" spans="2:15">
      <c r="B226" s="4" t="s">
        <v>124</v>
      </c>
      <c r="C226" s="4" t="s">
        <v>125</v>
      </c>
      <c r="D226" s="4" t="s">
        <v>586</v>
      </c>
      <c r="E226" s="4" t="s">
        <v>31</v>
      </c>
      <c r="F226" s="4" t="s">
        <v>126</v>
      </c>
      <c r="G226" s="4">
        <v>101010293</v>
      </c>
      <c r="H226" s="5">
        <v>3</v>
      </c>
      <c r="I226" s="7">
        <v>208</v>
      </c>
      <c r="J226" s="7">
        <v>624</v>
      </c>
      <c r="K226" s="7">
        <v>494.84649999999999</v>
      </c>
      <c r="L226" s="7">
        <v>129.15350000000001</v>
      </c>
      <c r="M226" s="8">
        <v>0.2069</v>
      </c>
      <c r="N226" s="5">
        <v>1</v>
      </c>
      <c r="O226" s="5">
        <v>1</v>
      </c>
    </row>
    <row r="227" spans="2:15">
      <c r="B227" s="4" t="s">
        <v>124</v>
      </c>
      <c r="C227" s="4" t="s">
        <v>125</v>
      </c>
      <c r="D227" s="4" t="s">
        <v>587</v>
      </c>
      <c r="E227" s="4" t="s">
        <v>31</v>
      </c>
      <c r="F227" s="4" t="s">
        <v>126</v>
      </c>
      <c r="G227" s="4">
        <v>101010396</v>
      </c>
      <c r="H227" s="5">
        <v>1</v>
      </c>
      <c r="I227" s="7">
        <v>570</v>
      </c>
      <c r="J227" s="7">
        <v>570</v>
      </c>
      <c r="K227" s="7">
        <v>551.56330000000003</v>
      </c>
      <c r="L227" s="7">
        <v>18.436699999999998</v>
      </c>
      <c r="M227" s="8">
        <v>3.2300000000000002E-2</v>
      </c>
      <c r="N227" s="5">
        <v>1</v>
      </c>
      <c r="O227" s="5">
        <v>1</v>
      </c>
    </row>
    <row r="228" spans="2:15">
      <c r="B228" s="4" t="s">
        <v>124</v>
      </c>
      <c r="C228" s="4" t="s">
        <v>125</v>
      </c>
      <c r="D228" s="4" t="s">
        <v>588</v>
      </c>
      <c r="E228" s="4" t="s">
        <v>31</v>
      </c>
      <c r="F228" s="4" t="s">
        <v>126</v>
      </c>
      <c r="G228" s="4">
        <v>101010304</v>
      </c>
      <c r="H228" s="5">
        <v>4</v>
      </c>
      <c r="I228" s="7">
        <v>138</v>
      </c>
      <c r="J228" s="7">
        <v>552</v>
      </c>
      <c r="K228" s="7">
        <v>486.80169999999998</v>
      </c>
      <c r="L228" s="7">
        <v>65.198300000000003</v>
      </c>
      <c r="M228" s="8">
        <v>0.1181</v>
      </c>
      <c r="N228" s="5">
        <v>2</v>
      </c>
      <c r="O228" s="5">
        <v>1</v>
      </c>
    </row>
    <row r="229" spans="2:15">
      <c r="B229" s="4" t="s">
        <v>124</v>
      </c>
      <c r="C229" s="4" t="s">
        <v>125</v>
      </c>
      <c r="D229" s="4" t="s">
        <v>589</v>
      </c>
      <c r="E229" s="4" t="s">
        <v>123</v>
      </c>
      <c r="F229" s="4" t="s">
        <v>126</v>
      </c>
      <c r="G229" s="4">
        <v>101010410</v>
      </c>
      <c r="H229" s="5">
        <v>3</v>
      </c>
      <c r="I229" s="7">
        <v>150</v>
      </c>
      <c r="J229" s="7">
        <v>450</v>
      </c>
      <c r="K229" s="7">
        <v>425.68110000000001</v>
      </c>
      <c r="L229" s="7">
        <v>24.318899999999999</v>
      </c>
      <c r="M229" s="8">
        <v>5.3999999999999999E-2</v>
      </c>
      <c r="N229" s="5">
        <v>2</v>
      </c>
      <c r="O229" s="5">
        <v>1</v>
      </c>
    </row>
    <row r="230" spans="2:15">
      <c r="B230" s="4" t="s">
        <v>124</v>
      </c>
      <c r="C230" s="4" t="s">
        <v>127</v>
      </c>
      <c r="D230" s="4" t="s">
        <v>405</v>
      </c>
      <c r="E230" s="4" t="s">
        <v>31</v>
      </c>
      <c r="F230" s="4" t="s">
        <v>126</v>
      </c>
      <c r="G230" s="4">
        <v>101020112</v>
      </c>
      <c r="H230" s="5">
        <v>1</v>
      </c>
      <c r="I230" s="7">
        <v>369</v>
      </c>
      <c r="J230" s="7">
        <v>369</v>
      </c>
      <c r="K230" s="7">
        <v>135</v>
      </c>
      <c r="L230" s="7">
        <v>234</v>
      </c>
      <c r="M230" s="8">
        <v>0.6341</v>
      </c>
      <c r="N230" s="5">
        <v>1</v>
      </c>
      <c r="O230" s="5">
        <v>1</v>
      </c>
    </row>
    <row r="231" spans="2:15" ht="5.0999999999999996" customHeight="1"/>
  </sheetData>
  <autoFilter ref="B2:O230" xr:uid="{00000000-0009-0000-0000-000002000000}">
    <sortState ref="B3:O230">
      <sortCondition descending="1" ref="J2"/>
    </sortState>
  </autoFilter>
  <phoneticPr fontId="35" type="noConversion"/>
  <pageMargins left="0.75" right="0.75" top="1" bottom="1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47"/>
  <sheetViews>
    <sheetView topLeftCell="A2" zoomScaleSheetLayoutView="100" workbookViewId="0">
      <selection activeCell="H3" sqref="H3"/>
    </sheetView>
  </sheetViews>
  <sheetFormatPr defaultRowHeight="13.5"/>
  <cols>
    <col min="1" max="1" width="0.125" style="1" customWidth="1"/>
    <col min="2" max="2" width="14.375" style="1" customWidth="1"/>
    <col min="3" max="3" width="22.5" style="1" customWidth="1"/>
    <col min="4" max="4" width="42.375" style="1" customWidth="1"/>
    <col min="5" max="5" width="13.5" style="1" customWidth="1"/>
    <col min="6" max="6" width="10.25" style="1" customWidth="1"/>
    <col min="7" max="13" width="13.5" style="1" customWidth="1"/>
    <col min="14" max="14" width="15.625" style="1" customWidth="1"/>
    <col min="15" max="15" width="15.5" style="1" customWidth="1"/>
    <col min="16" max="16384" width="9" style="1"/>
  </cols>
  <sheetData>
    <row r="1" spans="2:15" ht="0.4" customHeight="1"/>
    <row r="2" spans="2:15" ht="16.5">
      <c r="B2" s="2" t="s">
        <v>112</v>
      </c>
      <c r="C2" s="2" t="s">
        <v>113</v>
      </c>
      <c r="D2" s="2" t="s">
        <v>5</v>
      </c>
      <c r="E2" s="2" t="s">
        <v>6</v>
      </c>
      <c r="F2" s="2" t="s">
        <v>114</v>
      </c>
      <c r="G2" s="2" t="s">
        <v>4</v>
      </c>
      <c r="H2" s="2" t="s">
        <v>115</v>
      </c>
      <c r="I2" s="2" t="s">
        <v>116</v>
      </c>
      <c r="J2" s="2" t="s">
        <v>117</v>
      </c>
      <c r="K2" s="2" t="s">
        <v>118</v>
      </c>
      <c r="L2" s="2" t="s">
        <v>119</v>
      </c>
      <c r="M2" s="2" t="s">
        <v>120</v>
      </c>
      <c r="N2" s="2" t="s">
        <v>121</v>
      </c>
      <c r="O2" s="2" t="s">
        <v>122</v>
      </c>
    </row>
    <row r="3" spans="2:15">
      <c r="B3" s="3" t="s">
        <v>123</v>
      </c>
      <c r="C3" s="3" t="s">
        <v>123</v>
      </c>
      <c r="D3" s="3" t="s">
        <v>123</v>
      </c>
      <c r="E3" s="3" t="s">
        <v>123</v>
      </c>
      <c r="F3" s="3" t="s">
        <v>123</v>
      </c>
      <c r="G3" s="3" t="s">
        <v>123</v>
      </c>
      <c r="H3" s="3">
        <v>103663</v>
      </c>
      <c r="I3" s="6">
        <v>312.32229358293398</v>
      </c>
      <c r="J3" s="6">
        <v>32376265.920000002</v>
      </c>
      <c r="K3" s="6">
        <v>27803837.986099999</v>
      </c>
      <c r="L3" s="6">
        <v>4572427.9338999996</v>
      </c>
      <c r="M3" s="3" t="s">
        <v>123</v>
      </c>
      <c r="N3" s="3" t="s">
        <v>123</v>
      </c>
      <c r="O3" s="3">
        <v>2541</v>
      </c>
    </row>
    <row r="4" spans="2:15">
      <c r="B4" s="4" t="s">
        <v>124</v>
      </c>
      <c r="C4" s="4" t="s">
        <v>127</v>
      </c>
      <c r="D4" s="4" t="s">
        <v>128</v>
      </c>
      <c r="E4" s="4" t="s">
        <v>31</v>
      </c>
      <c r="F4" s="4" t="s">
        <v>126</v>
      </c>
      <c r="G4" s="4">
        <v>101010185</v>
      </c>
      <c r="H4" s="5">
        <v>4585</v>
      </c>
      <c r="I4" s="7">
        <v>1490.77</v>
      </c>
      <c r="J4" s="7">
        <v>6835178</v>
      </c>
      <c r="K4" s="7">
        <v>6275580.7569000004</v>
      </c>
      <c r="L4" s="7">
        <v>559597.24309999996</v>
      </c>
      <c r="M4" s="8">
        <v>8.1799999999999998E-2</v>
      </c>
      <c r="N4" s="5">
        <v>883</v>
      </c>
      <c r="O4" s="5">
        <v>22</v>
      </c>
    </row>
    <row r="5" spans="2:15">
      <c r="B5" s="4" t="s">
        <v>124</v>
      </c>
      <c r="C5" s="4" t="s">
        <v>125</v>
      </c>
      <c r="D5" s="4" t="s">
        <v>84</v>
      </c>
      <c r="E5" s="4" t="s">
        <v>31</v>
      </c>
      <c r="F5" s="4" t="s">
        <v>126</v>
      </c>
      <c r="G5" s="4">
        <v>101010001</v>
      </c>
      <c r="H5" s="5">
        <v>4867</v>
      </c>
      <c r="I5" s="7">
        <v>886.5</v>
      </c>
      <c r="J5" s="7">
        <v>4314601</v>
      </c>
      <c r="K5" s="7">
        <v>3956015.0273000002</v>
      </c>
      <c r="L5" s="7">
        <v>358585.97269999998</v>
      </c>
      <c r="M5" s="8">
        <v>8.3099999999999993E-2</v>
      </c>
      <c r="N5" s="5">
        <v>1564</v>
      </c>
      <c r="O5" s="5">
        <v>23</v>
      </c>
    </row>
    <row r="6" spans="2:15">
      <c r="B6" s="4" t="s">
        <v>124</v>
      </c>
      <c r="C6" s="4" t="s">
        <v>125</v>
      </c>
      <c r="D6" s="4" t="s">
        <v>33</v>
      </c>
      <c r="E6" s="4" t="s">
        <v>31</v>
      </c>
      <c r="F6" s="4" t="s">
        <v>126</v>
      </c>
      <c r="G6" s="4">
        <v>101010099</v>
      </c>
      <c r="H6" s="5">
        <v>3221</v>
      </c>
      <c r="I6" s="7">
        <v>822.69</v>
      </c>
      <c r="J6" s="7">
        <v>2649887</v>
      </c>
      <c r="K6" s="7">
        <v>2326537.4144000001</v>
      </c>
      <c r="L6" s="7">
        <v>323349.58559999999</v>
      </c>
      <c r="M6" s="8">
        <v>0.122</v>
      </c>
      <c r="N6" s="5">
        <v>813</v>
      </c>
      <c r="O6" s="5">
        <v>23</v>
      </c>
    </row>
    <row r="7" spans="2:15">
      <c r="B7" s="4" t="s">
        <v>124</v>
      </c>
      <c r="C7" s="4" t="s">
        <v>127</v>
      </c>
      <c r="D7" s="4" t="s">
        <v>136</v>
      </c>
      <c r="E7" s="4" t="s">
        <v>31</v>
      </c>
      <c r="F7" s="4" t="s">
        <v>137</v>
      </c>
      <c r="G7" s="4">
        <v>101020023</v>
      </c>
      <c r="H7" s="5">
        <v>362</v>
      </c>
      <c r="I7" s="7">
        <v>5086.2700000000004</v>
      </c>
      <c r="J7" s="7">
        <v>1841228</v>
      </c>
      <c r="K7" s="7">
        <v>1708407.044</v>
      </c>
      <c r="L7" s="7">
        <v>132820.95600000001</v>
      </c>
      <c r="M7" s="8">
        <v>7.2099999999999997E-2</v>
      </c>
      <c r="N7" s="5">
        <v>158</v>
      </c>
      <c r="O7" s="5">
        <v>19</v>
      </c>
    </row>
    <row r="8" spans="2:15">
      <c r="B8" s="4" t="s">
        <v>124</v>
      </c>
      <c r="C8" s="4" t="s">
        <v>236</v>
      </c>
      <c r="D8" s="4" t="s">
        <v>590</v>
      </c>
      <c r="E8" s="4" t="s">
        <v>31</v>
      </c>
      <c r="F8" s="4" t="s">
        <v>126</v>
      </c>
      <c r="G8" s="4">
        <v>101010476</v>
      </c>
      <c r="H8" s="5">
        <v>10884</v>
      </c>
      <c r="I8" s="7">
        <v>149.99</v>
      </c>
      <c r="J8" s="7">
        <v>1632500</v>
      </c>
      <c r="K8" s="7">
        <v>1414734.1905</v>
      </c>
      <c r="L8" s="7">
        <v>217765.8095</v>
      </c>
      <c r="M8" s="8">
        <v>0.1333</v>
      </c>
      <c r="N8" s="5">
        <v>4633</v>
      </c>
      <c r="O8" s="5">
        <v>22</v>
      </c>
    </row>
    <row r="9" spans="2:15">
      <c r="B9" s="4" t="s">
        <v>124</v>
      </c>
      <c r="C9" s="4" t="s">
        <v>125</v>
      </c>
      <c r="D9" s="4" t="s">
        <v>83</v>
      </c>
      <c r="E9" s="4" t="s">
        <v>31</v>
      </c>
      <c r="F9" s="4" t="s">
        <v>126</v>
      </c>
      <c r="G9" s="4">
        <v>101010002</v>
      </c>
      <c r="H9" s="5">
        <v>3614</v>
      </c>
      <c r="I9" s="7">
        <v>382.5</v>
      </c>
      <c r="J9" s="7">
        <v>1382338.02</v>
      </c>
      <c r="K9" s="7">
        <v>1244022.1762000001</v>
      </c>
      <c r="L9" s="7">
        <v>138315.8438</v>
      </c>
      <c r="M9" s="8">
        <v>0.1</v>
      </c>
      <c r="N9" s="5">
        <v>1290</v>
      </c>
      <c r="O9" s="5">
        <v>23</v>
      </c>
    </row>
    <row r="10" spans="2:15">
      <c r="B10" s="4" t="s">
        <v>124</v>
      </c>
      <c r="C10" s="4" t="s">
        <v>125</v>
      </c>
      <c r="D10" s="4" t="s">
        <v>129</v>
      </c>
      <c r="E10" s="4" t="s">
        <v>31</v>
      </c>
      <c r="F10" s="4" t="s">
        <v>126</v>
      </c>
      <c r="G10" s="4">
        <v>101010139</v>
      </c>
      <c r="H10" s="5">
        <v>1369</v>
      </c>
      <c r="I10" s="7">
        <v>907.65</v>
      </c>
      <c r="J10" s="7">
        <v>1242571</v>
      </c>
      <c r="K10" s="7">
        <v>1090896.8912</v>
      </c>
      <c r="L10" s="7">
        <v>151674.10879999999</v>
      </c>
      <c r="M10" s="8">
        <v>0.122</v>
      </c>
      <c r="N10" s="5">
        <v>451</v>
      </c>
      <c r="O10" s="5">
        <v>22</v>
      </c>
    </row>
    <row r="11" spans="2:15">
      <c r="B11" s="4" t="s">
        <v>124</v>
      </c>
      <c r="C11" s="4" t="s">
        <v>236</v>
      </c>
      <c r="D11" s="4" t="s">
        <v>591</v>
      </c>
      <c r="E11" s="4" t="s">
        <v>31</v>
      </c>
      <c r="F11" s="4" t="s">
        <v>126</v>
      </c>
      <c r="G11" s="4">
        <v>101010479</v>
      </c>
      <c r="H11" s="5">
        <v>4160</v>
      </c>
      <c r="I11" s="7">
        <v>243.2</v>
      </c>
      <c r="J11" s="7">
        <v>1011722</v>
      </c>
      <c r="K11" s="7">
        <v>872179.05969999998</v>
      </c>
      <c r="L11" s="7">
        <v>139542.94029999999</v>
      </c>
      <c r="M11" s="8">
        <v>0.13789999999999999</v>
      </c>
      <c r="N11" s="5">
        <v>1621</v>
      </c>
      <c r="O11" s="5">
        <v>22</v>
      </c>
    </row>
    <row r="12" spans="2:15">
      <c r="B12" s="4" t="s">
        <v>124</v>
      </c>
      <c r="C12" s="4" t="s">
        <v>127</v>
      </c>
      <c r="D12" s="4" t="s">
        <v>135</v>
      </c>
      <c r="E12" s="4" t="s">
        <v>31</v>
      </c>
      <c r="F12" s="4" t="s">
        <v>126</v>
      </c>
      <c r="G12" s="4">
        <v>101010290</v>
      </c>
      <c r="H12" s="5">
        <v>1148</v>
      </c>
      <c r="I12" s="7">
        <v>878.2</v>
      </c>
      <c r="J12" s="7">
        <v>1008170</v>
      </c>
      <c r="K12" s="7">
        <v>793903.2598</v>
      </c>
      <c r="L12" s="7">
        <v>214266.7402</v>
      </c>
      <c r="M12" s="8">
        <v>0.21249999999999999</v>
      </c>
      <c r="N12" s="5">
        <v>193</v>
      </c>
      <c r="O12" s="5">
        <v>22</v>
      </c>
    </row>
    <row r="13" spans="2:15">
      <c r="B13" s="4" t="s">
        <v>124</v>
      </c>
      <c r="C13" s="4" t="s">
        <v>236</v>
      </c>
      <c r="D13" s="4" t="s">
        <v>592</v>
      </c>
      <c r="E13" s="4" t="s">
        <v>31</v>
      </c>
      <c r="F13" s="4" t="s">
        <v>126</v>
      </c>
      <c r="G13" s="4">
        <v>101010478</v>
      </c>
      <c r="H13" s="5">
        <v>4015</v>
      </c>
      <c r="I13" s="7">
        <v>137.13</v>
      </c>
      <c r="J13" s="7">
        <v>550559</v>
      </c>
      <c r="K13" s="7">
        <v>440800.04220000003</v>
      </c>
      <c r="L13" s="7">
        <v>109758.9578</v>
      </c>
      <c r="M13" s="8">
        <v>0.1993</v>
      </c>
      <c r="N13" s="5">
        <v>1902</v>
      </c>
      <c r="O13" s="5">
        <v>22</v>
      </c>
    </row>
    <row r="14" spans="2:15">
      <c r="B14" s="4" t="s">
        <v>124</v>
      </c>
      <c r="C14" s="4" t="s">
        <v>127</v>
      </c>
      <c r="D14" s="4" t="s">
        <v>213</v>
      </c>
      <c r="E14" s="4" t="s">
        <v>31</v>
      </c>
      <c r="F14" s="4" t="s">
        <v>126</v>
      </c>
      <c r="G14" s="4">
        <v>101010289</v>
      </c>
      <c r="H14" s="5">
        <v>48</v>
      </c>
      <c r="I14" s="7">
        <v>11363.58</v>
      </c>
      <c r="J14" s="7">
        <v>545452</v>
      </c>
      <c r="K14" s="7">
        <v>470665.73700000002</v>
      </c>
      <c r="L14" s="7">
        <v>74786.263000000006</v>
      </c>
      <c r="M14" s="8">
        <v>0.1371</v>
      </c>
      <c r="N14" s="5">
        <v>18</v>
      </c>
      <c r="O14" s="5">
        <v>8</v>
      </c>
    </row>
    <row r="15" spans="2:15">
      <c r="B15" s="4" t="s">
        <v>124</v>
      </c>
      <c r="C15" s="4" t="s">
        <v>127</v>
      </c>
      <c r="D15" s="4" t="s">
        <v>168</v>
      </c>
      <c r="E15" s="4" t="s">
        <v>169</v>
      </c>
      <c r="F15" s="4" t="s">
        <v>126</v>
      </c>
      <c r="G15" s="4">
        <v>101020107</v>
      </c>
      <c r="H15" s="5">
        <v>360</v>
      </c>
      <c r="I15" s="7">
        <v>1499</v>
      </c>
      <c r="J15" s="7">
        <v>539640</v>
      </c>
      <c r="K15" s="7">
        <v>476400.00030000001</v>
      </c>
      <c r="L15" s="7">
        <v>63239.9997</v>
      </c>
      <c r="M15" s="8">
        <v>0.1171</v>
      </c>
      <c r="N15" s="5">
        <v>64</v>
      </c>
      <c r="O15" s="5">
        <v>14</v>
      </c>
    </row>
    <row r="16" spans="2:15">
      <c r="B16" s="4" t="s">
        <v>124</v>
      </c>
      <c r="C16" s="4" t="s">
        <v>130</v>
      </c>
      <c r="D16" s="4" t="s">
        <v>158</v>
      </c>
      <c r="E16" s="4" t="s">
        <v>159</v>
      </c>
      <c r="F16" s="4" t="s">
        <v>126</v>
      </c>
      <c r="G16" s="4">
        <v>101990008</v>
      </c>
      <c r="H16" s="5">
        <v>1823</v>
      </c>
      <c r="I16" s="7">
        <v>274.81</v>
      </c>
      <c r="J16" s="7">
        <v>500974</v>
      </c>
      <c r="K16" s="7">
        <v>342534.83059999999</v>
      </c>
      <c r="L16" s="7">
        <v>158439.16940000001</v>
      </c>
      <c r="M16" s="8">
        <v>0.31619999999999998</v>
      </c>
      <c r="N16" s="5">
        <v>720</v>
      </c>
      <c r="O16" s="5">
        <v>22</v>
      </c>
    </row>
    <row r="17" spans="2:15">
      <c r="B17" s="4" t="s">
        <v>124</v>
      </c>
      <c r="C17" s="4" t="s">
        <v>236</v>
      </c>
      <c r="D17" s="4" t="s">
        <v>593</v>
      </c>
      <c r="E17" s="4" t="s">
        <v>31</v>
      </c>
      <c r="F17" s="4" t="s">
        <v>126</v>
      </c>
      <c r="G17" s="4">
        <v>101010477</v>
      </c>
      <c r="H17" s="5">
        <v>1781</v>
      </c>
      <c r="I17" s="7">
        <v>270.11</v>
      </c>
      <c r="J17" s="7">
        <v>481060</v>
      </c>
      <c r="K17" s="7">
        <v>421661.82770000002</v>
      </c>
      <c r="L17" s="7">
        <v>59398.172299999998</v>
      </c>
      <c r="M17" s="8">
        <v>0.1234</v>
      </c>
      <c r="N17" s="5">
        <v>704</v>
      </c>
      <c r="O17" s="5">
        <v>22</v>
      </c>
    </row>
    <row r="18" spans="2:15">
      <c r="B18" s="4" t="s">
        <v>124</v>
      </c>
      <c r="C18" s="4" t="s">
        <v>127</v>
      </c>
      <c r="D18" s="4" t="s">
        <v>250</v>
      </c>
      <c r="E18" s="4" t="s">
        <v>251</v>
      </c>
      <c r="F18" s="4" t="s">
        <v>126</v>
      </c>
      <c r="G18" s="4">
        <v>101020126</v>
      </c>
      <c r="H18" s="5">
        <v>354</v>
      </c>
      <c r="I18" s="7">
        <v>974.05</v>
      </c>
      <c r="J18" s="7">
        <v>344814</v>
      </c>
      <c r="K18" s="7">
        <v>284970</v>
      </c>
      <c r="L18" s="7">
        <v>59844</v>
      </c>
      <c r="M18" s="8">
        <v>0.17349999999999999</v>
      </c>
      <c r="N18" s="5">
        <v>36</v>
      </c>
      <c r="O18" s="5">
        <v>7</v>
      </c>
    </row>
    <row r="19" spans="2:15">
      <c r="B19" s="4" t="s">
        <v>124</v>
      </c>
      <c r="C19" s="4" t="s">
        <v>125</v>
      </c>
      <c r="D19" s="4" t="s">
        <v>42</v>
      </c>
      <c r="E19" s="4" t="s">
        <v>31</v>
      </c>
      <c r="F19" s="4" t="s">
        <v>126</v>
      </c>
      <c r="G19" s="4">
        <v>101010036</v>
      </c>
      <c r="H19" s="5">
        <v>1554</v>
      </c>
      <c r="I19" s="7">
        <v>200.27</v>
      </c>
      <c r="J19" s="7">
        <v>311224</v>
      </c>
      <c r="K19" s="7">
        <v>243049.2972</v>
      </c>
      <c r="L19" s="7">
        <v>68174.702799999999</v>
      </c>
      <c r="M19" s="8">
        <v>0.219</v>
      </c>
      <c r="N19" s="5">
        <v>567</v>
      </c>
      <c r="O19" s="5">
        <v>22</v>
      </c>
    </row>
    <row r="20" spans="2:15">
      <c r="B20" s="4" t="s">
        <v>124</v>
      </c>
      <c r="C20" s="4" t="s">
        <v>147</v>
      </c>
      <c r="D20" s="4" t="s">
        <v>150</v>
      </c>
      <c r="E20" s="4" t="s">
        <v>31</v>
      </c>
      <c r="F20" s="4" t="s">
        <v>126</v>
      </c>
      <c r="G20" s="4">
        <v>101010068</v>
      </c>
      <c r="H20" s="5">
        <v>527</v>
      </c>
      <c r="I20" s="7">
        <v>575.62</v>
      </c>
      <c r="J20" s="7">
        <v>303350</v>
      </c>
      <c r="K20" s="7">
        <v>246030.4896</v>
      </c>
      <c r="L20" s="7">
        <v>57319.510399999999</v>
      </c>
      <c r="M20" s="8">
        <v>0.18890000000000001</v>
      </c>
      <c r="N20" s="5">
        <v>209</v>
      </c>
      <c r="O20" s="5">
        <v>22</v>
      </c>
    </row>
    <row r="21" spans="2:15">
      <c r="B21" s="4" t="s">
        <v>124</v>
      </c>
      <c r="C21" s="4" t="s">
        <v>236</v>
      </c>
      <c r="D21" s="4" t="s">
        <v>594</v>
      </c>
      <c r="E21" s="4" t="s">
        <v>157</v>
      </c>
      <c r="F21" s="4" t="s">
        <v>126</v>
      </c>
      <c r="G21" s="4">
        <v>101010482</v>
      </c>
      <c r="H21" s="5">
        <v>772</v>
      </c>
      <c r="I21" s="7">
        <v>334.2</v>
      </c>
      <c r="J21" s="7">
        <v>258006</v>
      </c>
      <c r="K21" s="7">
        <v>209138.93960000001</v>
      </c>
      <c r="L21" s="7">
        <v>48867.060400000002</v>
      </c>
      <c r="M21" s="8">
        <v>0.18940000000000001</v>
      </c>
      <c r="N21" s="5">
        <v>312</v>
      </c>
      <c r="O21" s="5">
        <v>22</v>
      </c>
    </row>
    <row r="22" spans="2:15">
      <c r="B22" s="4" t="s">
        <v>124</v>
      </c>
      <c r="C22" s="4" t="s">
        <v>125</v>
      </c>
      <c r="D22" s="4" t="s">
        <v>134</v>
      </c>
      <c r="E22" s="4" t="s">
        <v>31</v>
      </c>
      <c r="F22" s="4" t="s">
        <v>126</v>
      </c>
      <c r="G22" s="4">
        <v>101010019</v>
      </c>
      <c r="H22" s="5">
        <v>606</v>
      </c>
      <c r="I22" s="7">
        <v>423.33</v>
      </c>
      <c r="J22" s="7">
        <v>256536</v>
      </c>
      <c r="K22" s="7">
        <v>209512.2824</v>
      </c>
      <c r="L22" s="7">
        <v>47023.717600000004</v>
      </c>
      <c r="M22" s="8">
        <v>0.18329999999999999</v>
      </c>
      <c r="N22" s="5">
        <v>253</v>
      </c>
      <c r="O22" s="5">
        <v>22</v>
      </c>
    </row>
    <row r="23" spans="2:15">
      <c r="B23" s="4" t="s">
        <v>124</v>
      </c>
      <c r="C23" s="4" t="s">
        <v>125</v>
      </c>
      <c r="D23" s="4" t="s">
        <v>37</v>
      </c>
      <c r="E23" s="4" t="s">
        <v>31</v>
      </c>
      <c r="F23" s="4" t="s">
        <v>126</v>
      </c>
      <c r="G23" s="4">
        <v>101010115</v>
      </c>
      <c r="H23" s="5">
        <v>876</v>
      </c>
      <c r="I23" s="7">
        <v>273.45</v>
      </c>
      <c r="J23" s="7">
        <v>239538</v>
      </c>
      <c r="K23" s="7">
        <v>160260.3688</v>
      </c>
      <c r="L23" s="7">
        <v>79277.631200000003</v>
      </c>
      <c r="M23" s="8">
        <v>0.33090000000000003</v>
      </c>
      <c r="N23" s="5">
        <v>334</v>
      </c>
      <c r="O23" s="5">
        <v>21</v>
      </c>
    </row>
    <row r="24" spans="2:15">
      <c r="B24" s="4" t="s">
        <v>124</v>
      </c>
      <c r="C24" s="4" t="s">
        <v>127</v>
      </c>
      <c r="D24" s="4" t="s">
        <v>475</v>
      </c>
      <c r="E24" s="4" t="s">
        <v>123</v>
      </c>
      <c r="F24" s="4" t="s">
        <v>126</v>
      </c>
      <c r="G24" s="4">
        <v>101020101</v>
      </c>
      <c r="H24" s="5">
        <v>54</v>
      </c>
      <c r="I24" s="7">
        <v>4377.78</v>
      </c>
      <c r="J24" s="7">
        <v>236400</v>
      </c>
      <c r="K24" s="7">
        <v>210870</v>
      </c>
      <c r="L24" s="7">
        <v>25530</v>
      </c>
      <c r="M24" s="8">
        <v>0.1079</v>
      </c>
      <c r="N24" s="5">
        <v>13</v>
      </c>
      <c r="O24" s="5">
        <v>3</v>
      </c>
    </row>
    <row r="25" spans="2:15">
      <c r="B25" s="4" t="s">
        <v>124</v>
      </c>
      <c r="C25" s="4" t="s">
        <v>127</v>
      </c>
      <c r="D25" s="4" t="s">
        <v>163</v>
      </c>
      <c r="E25" s="4" t="s">
        <v>164</v>
      </c>
      <c r="F25" s="4" t="s">
        <v>126</v>
      </c>
      <c r="G25" s="4">
        <v>101020108</v>
      </c>
      <c r="H25" s="5">
        <v>211</v>
      </c>
      <c r="I25" s="7">
        <v>837.35</v>
      </c>
      <c r="J25" s="7">
        <v>176681</v>
      </c>
      <c r="K25" s="7">
        <v>158250</v>
      </c>
      <c r="L25" s="7">
        <v>18431</v>
      </c>
      <c r="M25" s="8">
        <v>0.1043</v>
      </c>
      <c r="N25" s="5">
        <v>51</v>
      </c>
      <c r="O25" s="5">
        <v>15</v>
      </c>
    </row>
    <row r="26" spans="2:15">
      <c r="B26" s="4" t="s">
        <v>124</v>
      </c>
      <c r="C26" s="4" t="s">
        <v>236</v>
      </c>
      <c r="D26" s="4" t="s">
        <v>595</v>
      </c>
      <c r="E26" s="4" t="s">
        <v>157</v>
      </c>
      <c r="F26" s="4" t="s">
        <v>126</v>
      </c>
      <c r="G26" s="4">
        <v>101010483</v>
      </c>
      <c r="H26" s="5">
        <v>315</v>
      </c>
      <c r="I26" s="7">
        <v>557.75</v>
      </c>
      <c r="J26" s="7">
        <v>175692</v>
      </c>
      <c r="K26" s="7">
        <v>139395.06460000001</v>
      </c>
      <c r="L26" s="7">
        <v>36296.935400000002</v>
      </c>
      <c r="M26" s="8">
        <v>0.20649999999999999</v>
      </c>
      <c r="N26" s="5">
        <v>111</v>
      </c>
      <c r="O26" s="5">
        <v>19</v>
      </c>
    </row>
    <row r="27" spans="2:15">
      <c r="B27" s="4" t="s">
        <v>124</v>
      </c>
      <c r="C27" s="4" t="s">
        <v>127</v>
      </c>
      <c r="D27" s="4" t="s">
        <v>358</v>
      </c>
      <c r="E27" s="4" t="s">
        <v>359</v>
      </c>
      <c r="F27" s="4" t="s">
        <v>137</v>
      </c>
      <c r="G27" s="4">
        <v>101020131</v>
      </c>
      <c r="H27" s="5">
        <v>5</v>
      </c>
      <c r="I27" s="7">
        <v>35000</v>
      </c>
      <c r="J27" s="7">
        <v>175000</v>
      </c>
      <c r="K27" s="7">
        <v>165400</v>
      </c>
      <c r="L27" s="7">
        <v>9600</v>
      </c>
      <c r="M27" s="8">
        <v>5.4800000000000001E-2</v>
      </c>
      <c r="N27" s="5">
        <v>1</v>
      </c>
      <c r="O27" s="5">
        <v>1</v>
      </c>
    </row>
    <row r="28" spans="2:15">
      <c r="B28" s="4" t="s">
        <v>124</v>
      </c>
      <c r="C28" s="4" t="s">
        <v>127</v>
      </c>
      <c r="D28" s="4" t="s">
        <v>360</v>
      </c>
      <c r="E28" s="4" t="s">
        <v>359</v>
      </c>
      <c r="F28" s="4" t="s">
        <v>137</v>
      </c>
      <c r="G28" s="4">
        <v>101020132</v>
      </c>
      <c r="H28" s="5">
        <v>5</v>
      </c>
      <c r="I28" s="7">
        <v>35000</v>
      </c>
      <c r="J28" s="7">
        <v>175000</v>
      </c>
      <c r="K28" s="7">
        <v>165400</v>
      </c>
      <c r="L28" s="7">
        <v>9600</v>
      </c>
      <c r="M28" s="8">
        <v>5.4800000000000001E-2</v>
      </c>
      <c r="N28" s="5">
        <v>1</v>
      </c>
      <c r="O28" s="5">
        <v>1</v>
      </c>
    </row>
    <row r="29" spans="2:15">
      <c r="B29" s="4" t="s">
        <v>124</v>
      </c>
      <c r="C29" s="4" t="s">
        <v>125</v>
      </c>
      <c r="D29" s="4" t="s">
        <v>140</v>
      </c>
      <c r="E29" s="4" t="s">
        <v>31</v>
      </c>
      <c r="F29" s="4" t="s">
        <v>126</v>
      </c>
      <c r="G29" s="4">
        <v>101010006</v>
      </c>
      <c r="H29" s="5">
        <v>358</v>
      </c>
      <c r="I29" s="7">
        <v>476.06</v>
      </c>
      <c r="J29" s="7">
        <v>170431</v>
      </c>
      <c r="K29" s="7">
        <v>142265.95180000001</v>
      </c>
      <c r="L29" s="7">
        <v>28165.048200000001</v>
      </c>
      <c r="M29" s="8">
        <v>0.16520000000000001</v>
      </c>
      <c r="N29" s="5">
        <v>151</v>
      </c>
      <c r="O29" s="5">
        <v>19</v>
      </c>
    </row>
    <row r="30" spans="2:15">
      <c r="B30" s="4" t="s">
        <v>124</v>
      </c>
      <c r="C30" s="4" t="s">
        <v>147</v>
      </c>
      <c r="D30" s="4" t="s">
        <v>148</v>
      </c>
      <c r="E30" s="4" t="s">
        <v>149</v>
      </c>
      <c r="F30" s="4" t="s">
        <v>126</v>
      </c>
      <c r="G30" s="4">
        <v>999010016</v>
      </c>
      <c r="H30" s="5">
        <v>3853</v>
      </c>
      <c r="I30" s="7">
        <v>43.82</v>
      </c>
      <c r="J30" s="7">
        <v>168856</v>
      </c>
      <c r="K30" s="7">
        <v>122094.6857</v>
      </c>
      <c r="L30" s="7">
        <v>46761.314299999998</v>
      </c>
      <c r="M30" s="8">
        <v>0.27689999999999998</v>
      </c>
      <c r="N30" s="5">
        <v>2158</v>
      </c>
      <c r="O30" s="5">
        <v>22</v>
      </c>
    </row>
    <row r="31" spans="2:15">
      <c r="B31" s="4" t="s">
        <v>124</v>
      </c>
      <c r="C31" s="4" t="s">
        <v>125</v>
      </c>
      <c r="D31" s="4" t="s">
        <v>102</v>
      </c>
      <c r="E31" s="4" t="s">
        <v>86</v>
      </c>
      <c r="F31" s="4" t="s">
        <v>126</v>
      </c>
      <c r="G31" s="4">
        <v>101010003</v>
      </c>
      <c r="H31" s="5">
        <v>1203</v>
      </c>
      <c r="I31" s="7">
        <v>137.59</v>
      </c>
      <c r="J31" s="7">
        <v>165526</v>
      </c>
      <c r="K31" s="7">
        <v>138198.04999999999</v>
      </c>
      <c r="L31" s="7">
        <v>27327.95</v>
      </c>
      <c r="M31" s="8">
        <v>0.16500000000000001</v>
      </c>
      <c r="N31" s="5">
        <v>600</v>
      </c>
      <c r="O31" s="5">
        <v>22</v>
      </c>
    </row>
    <row r="32" spans="2:15">
      <c r="B32" s="4" t="s">
        <v>124</v>
      </c>
      <c r="C32" s="4" t="s">
        <v>130</v>
      </c>
      <c r="D32" s="4" t="s">
        <v>156</v>
      </c>
      <c r="E32" s="4" t="s">
        <v>157</v>
      </c>
      <c r="F32" s="4" t="s">
        <v>126</v>
      </c>
      <c r="G32" s="4">
        <v>101010119</v>
      </c>
      <c r="H32" s="5">
        <v>285</v>
      </c>
      <c r="I32" s="7">
        <v>574.19000000000005</v>
      </c>
      <c r="J32" s="7">
        <v>163643</v>
      </c>
      <c r="K32" s="7">
        <v>112561.12360000001</v>
      </c>
      <c r="L32" s="7">
        <v>51081.876400000001</v>
      </c>
      <c r="M32" s="8">
        <v>0.31209999999999999</v>
      </c>
      <c r="N32" s="5">
        <v>125</v>
      </c>
      <c r="O32" s="5">
        <v>21</v>
      </c>
    </row>
    <row r="33" spans="2:15">
      <c r="B33" s="4" t="s">
        <v>124</v>
      </c>
      <c r="C33" s="4" t="s">
        <v>147</v>
      </c>
      <c r="D33" s="4" t="s">
        <v>170</v>
      </c>
      <c r="E33" s="4" t="s">
        <v>31</v>
      </c>
      <c r="F33" s="4" t="s">
        <v>126</v>
      </c>
      <c r="G33" s="4">
        <v>101010192</v>
      </c>
      <c r="H33" s="5">
        <v>395</v>
      </c>
      <c r="I33" s="7">
        <v>388.87</v>
      </c>
      <c r="J33" s="7">
        <v>153604</v>
      </c>
      <c r="K33" s="7">
        <v>143385.55179999999</v>
      </c>
      <c r="L33" s="7">
        <v>10218.448200000001</v>
      </c>
      <c r="M33" s="8">
        <v>6.6500000000000004E-2</v>
      </c>
      <c r="N33" s="5">
        <v>155</v>
      </c>
      <c r="O33" s="5">
        <v>22</v>
      </c>
    </row>
    <row r="34" spans="2:15">
      <c r="B34" s="4" t="s">
        <v>124</v>
      </c>
      <c r="C34" s="4" t="s">
        <v>125</v>
      </c>
      <c r="D34" s="4" t="s">
        <v>216</v>
      </c>
      <c r="E34" s="4" t="s">
        <v>31</v>
      </c>
      <c r="F34" s="4" t="s">
        <v>126</v>
      </c>
      <c r="G34" s="4">
        <v>101010114</v>
      </c>
      <c r="H34" s="5">
        <v>648</v>
      </c>
      <c r="I34" s="7">
        <v>204.38</v>
      </c>
      <c r="J34" s="7">
        <v>132441</v>
      </c>
      <c r="K34" s="7">
        <v>99922.281700000007</v>
      </c>
      <c r="L34" s="7">
        <v>32518.7183</v>
      </c>
      <c r="M34" s="8">
        <v>0.2455</v>
      </c>
      <c r="N34" s="5">
        <v>244</v>
      </c>
      <c r="O34" s="5">
        <v>22</v>
      </c>
    </row>
    <row r="35" spans="2:15">
      <c r="B35" s="4" t="s">
        <v>124</v>
      </c>
      <c r="C35" s="4" t="s">
        <v>147</v>
      </c>
      <c r="D35" s="4" t="s">
        <v>166</v>
      </c>
      <c r="E35" s="4" t="s">
        <v>167</v>
      </c>
      <c r="F35" s="4" t="s">
        <v>126</v>
      </c>
      <c r="G35" s="4">
        <v>101010113</v>
      </c>
      <c r="H35" s="5">
        <v>526</v>
      </c>
      <c r="I35" s="7">
        <v>232.56</v>
      </c>
      <c r="J35" s="7">
        <v>122329</v>
      </c>
      <c r="K35" s="7">
        <v>82412.19</v>
      </c>
      <c r="L35" s="7">
        <v>39916.81</v>
      </c>
      <c r="M35" s="8">
        <v>0.32629999999999998</v>
      </c>
      <c r="N35" s="5">
        <v>263</v>
      </c>
      <c r="O35" s="5">
        <v>22</v>
      </c>
    </row>
    <row r="36" spans="2:15">
      <c r="B36" s="4" t="s">
        <v>124</v>
      </c>
      <c r="C36" s="4" t="s">
        <v>127</v>
      </c>
      <c r="D36" s="4" t="s">
        <v>160</v>
      </c>
      <c r="E36" s="4" t="s">
        <v>31</v>
      </c>
      <c r="F36" s="4" t="s">
        <v>126</v>
      </c>
      <c r="G36" s="4">
        <v>101010140</v>
      </c>
      <c r="H36" s="5">
        <v>230</v>
      </c>
      <c r="I36" s="7">
        <v>529.95000000000005</v>
      </c>
      <c r="J36" s="7">
        <v>121888</v>
      </c>
      <c r="K36" s="7">
        <v>100642.7101</v>
      </c>
      <c r="L36" s="7">
        <v>21245.2899</v>
      </c>
      <c r="M36" s="8">
        <v>0.17430000000000001</v>
      </c>
      <c r="N36" s="5">
        <v>85</v>
      </c>
      <c r="O36" s="5">
        <v>18</v>
      </c>
    </row>
    <row r="37" spans="2:15">
      <c r="B37" s="4" t="s">
        <v>124</v>
      </c>
      <c r="C37" s="4" t="s">
        <v>127</v>
      </c>
      <c r="D37" s="4" t="s">
        <v>162</v>
      </c>
      <c r="E37" s="4" t="s">
        <v>31</v>
      </c>
      <c r="F37" s="4" t="s">
        <v>126</v>
      </c>
      <c r="G37" s="4">
        <v>101020010</v>
      </c>
      <c r="H37" s="5">
        <v>1009</v>
      </c>
      <c r="I37" s="7">
        <v>116.89</v>
      </c>
      <c r="J37" s="7">
        <v>117947</v>
      </c>
      <c r="K37" s="7">
        <v>80590.184800000003</v>
      </c>
      <c r="L37" s="7">
        <v>37356.815199999997</v>
      </c>
      <c r="M37" s="8">
        <v>0.31669999999999998</v>
      </c>
      <c r="N37" s="5">
        <v>620</v>
      </c>
      <c r="O37" s="5">
        <v>22</v>
      </c>
    </row>
    <row r="38" spans="2:15">
      <c r="B38" s="4" t="s">
        <v>124</v>
      </c>
      <c r="C38" s="4" t="s">
        <v>147</v>
      </c>
      <c r="D38" s="4" t="s">
        <v>198</v>
      </c>
      <c r="E38" s="4" t="s">
        <v>167</v>
      </c>
      <c r="F38" s="4" t="s">
        <v>126</v>
      </c>
      <c r="G38" s="4">
        <v>101010069</v>
      </c>
      <c r="H38" s="5">
        <v>772</v>
      </c>
      <c r="I38" s="7">
        <v>149.97999999999999</v>
      </c>
      <c r="J38" s="7">
        <v>115783</v>
      </c>
      <c r="K38" s="7">
        <v>75151.230800000005</v>
      </c>
      <c r="L38" s="7">
        <v>40631.769200000002</v>
      </c>
      <c r="M38" s="8">
        <v>0.35089999999999999</v>
      </c>
      <c r="N38" s="5">
        <v>402</v>
      </c>
      <c r="O38" s="5">
        <v>21</v>
      </c>
    </row>
    <row r="39" spans="2:15">
      <c r="B39" s="4" t="s">
        <v>124</v>
      </c>
      <c r="C39" s="4" t="s">
        <v>236</v>
      </c>
      <c r="D39" s="4" t="s">
        <v>596</v>
      </c>
      <c r="E39" s="4" t="s">
        <v>31</v>
      </c>
      <c r="F39" s="4" t="s">
        <v>126</v>
      </c>
      <c r="G39" s="4">
        <v>101010481</v>
      </c>
      <c r="H39" s="5">
        <v>779</v>
      </c>
      <c r="I39" s="7">
        <v>143.97</v>
      </c>
      <c r="J39" s="7">
        <v>112149</v>
      </c>
      <c r="K39" s="7">
        <v>97472.5573</v>
      </c>
      <c r="L39" s="7">
        <v>14676.4427</v>
      </c>
      <c r="M39" s="8">
        <v>0.1308</v>
      </c>
      <c r="N39" s="5">
        <v>346</v>
      </c>
      <c r="O39" s="5">
        <v>22</v>
      </c>
    </row>
    <row r="40" spans="2:15">
      <c r="B40" s="4" t="s">
        <v>124</v>
      </c>
      <c r="C40" s="4" t="s">
        <v>147</v>
      </c>
      <c r="D40" s="4" t="s">
        <v>171</v>
      </c>
      <c r="E40" s="4" t="s">
        <v>167</v>
      </c>
      <c r="F40" s="4" t="s">
        <v>126</v>
      </c>
      <c r="G40" s="4">
        <v>101010071</v>
      </c>
      <c r="H40" s="5">
        <v>768</v>
      </c>
      <c r="I40" s="7">
        <v>145.09</v>
      </c>
      <c r="J40" s="7">
        <v>111427</v>
      </c>
      <c r="K40" s="7">
        <v>84139.526899999997</v>
      </c>
      <c r="L40" s="7">
        <v>27287.473099999999</v>
      </c>
      <c r="M40" s="8">
        <v>0.24479999999999999</v>
      </c>
      <c r="N40" s="5">
        <v>433</v>
      </c>
      <c r="O40" s="5">
        <v>23</v>
      </c>
    </row>
    <row r="41" spans="2:15">
      <c r="B41" s="4" t="s">
        <v>124</v>
      </c>
      <c r="C41" s="4" t="s">
        <v>127</v>
      </c>
      <c r="D41" s="4" t="s">
        <v>141</v>
      </c>
      <c r="E41" s="4" t="s">
        <v>31</v>
      </c>
      <c r="F41" s="4" t="s">
        <v>126</v>
      </c>
      <c r="G41" s="4">
        <v>101010053</v>
      </c>
      <c r="H41" s="5">
        <v>282</v>
      </c>
      <c r="I41" s="7">
        <v>364.75</v>
      </c>
      <c r="J41" s="7">
        <v>102860</v>
      </c>
      <c r="K41" s="7">
        <v>83489.4179</v>
      </c>
      <c r="L41" s="7">
        <v>19370.5821</v>
      </c>
      <c r="M41" s="8">
        <v>0.1883</v>
      </c>
      <c r="N41" s="5">
        <v>142</v>
      </c>
      <c r="O41" s="5">
        <v>22</v>
      </c>
    </row>
    <row r="42" spans="2:15">
      <c r="B42" s="4" t="s">
        <v>124</v>
      </c>
      <c r="C42" s="4" t="s">
        <v>125</v>
      </c>
      <c r="D42" s="4" t="s">
        <v>193</v>
      </c>
      <c r="E42" s="4" t="s">
        <v>31</v>
      </c>
      <c r="F42" s="4" t="s">
        <v>126</v>
      </c>
      <c r="G42" s="4">
        <v>101010415</v>
      </c>
      <c r="H42" s="5">
        <v>508</v>
      </c>
      <c r="I42" s="7">
        <v>199.86</v>
      </c>
      <c r="J42" s="7">
        <v>101529</v>
      </c>
      <c r="K42" s="7">
        <v>78134.689700000003</v>
      </c>
      <c r="L42" s="7">
        <v>23394.310300000001</v>
      </c>
      <c r="M42" s="8">
        <v>0.23039999999999999</v>
      </c>
      <c r="N42" s="5">
        <v>152</v>
      </c>
      <c r="O42" s="5">
        <v>22</v>
      </c>
    </row>
    <row r="43" spans="2:15">
      <c r="B43" s="4" t="s">
        <v>124</v>
      </c>
      <c r="C43" s="4" t="s">
        <v>125</v>
      </c>
      <c r="D43" s="4" t="s">
        <v>394</v>
      </c>
      <c r="E43" s="4" t="s">
        <v>86</v>
      </c>
      <c r="F43" s="4" t="s">
        <v>126</v>
      </c>
      <c r="G43" s="4">
        <v>101010467</v>
      </c>
      <c r="H43" s="5">
        <v>262</v>
      </c>
      <c r="I43" s="7">
        <v>380.46</v>
      </c>
      <c r="J43" s="7">
        <v>99680</v>
      </c>
      <c r="K43" s="7">
        <v>77315.838000000003</v>
      </c>
      <c r="L43" s="7">
        <v>22364.162</v>
      </c>
      <c r="M43" s="8">
        <v>0.2243</v>
      </c>
      <c r="N43" s="5">
        <v>130</v>
      </c>
      <c r="O43" s="5">
        <v>22</v>
      </c>
    </row>
    <row r="44" spans="2:15">
      <c r="B44" s="4" t="s">
        <v>124</v>
      </c>
      <c r="C44" s="4" t="s">
        <v>125</v>
      </c>
      <c r="D44" s="4" t="s">
        <v>177</v>
      </c>
      <c r="E44" s="4" t="s">
        <v>31</v>
      </c>
      <c r="F44" s="4" t="s">
        <v>126</v>
      </c>
      <c r="G44" s="4">
        <v>101010421</v>
      </c>
      <c r="H44" s="5">
        <v>580</v>
      </c>
      <c r="I44" s="7">
        <v>164.19</v>
      </c>
      <c r="J44" s="7">
        <v>95230</v>
      </c>
      <c r="K44" s="7">
        <v>52043.089200000002</v>
      </c>
      <c r="L44" s="7">
        <v>43186.910799999998</v>
      </c>
      <c r="M44" s="8">
        <v>0.45350000000000001</v>
      </c>
      <c r="N44" s="5">
        <v>447</v>
      </c>
      <c r="O44" s="5">
        <v>22</v>
      </c>
    </row>
    <row r="45" spans="2:15">
      <c r="B45" s="4" t="s">
        <v>124</v>
      </c>
      <c r="C45" s="4" t="s">
        <v>125</v>
      </c>
      <c r="D45" s="4" t="s">
        <v>227</v>
      </c>
      <c r="E45" s="4" t="s">
        <v>228</v>
      </c>
      <c r="F45" s="4" t="s">
        <v>137</v>
      </c>
      <c r="G45" s="4">
        <v>101010523</v>
      </c>
      <c r="H45" s="5">
        <v>73</v>
      </c>
      <c r="I45" s="7">
        <v>1272.05</v>
      </c>
      <c r="J45" s="7">
        <v>92860</v>
      </c>
      <c r="K45" s="7">
        <v>52480.000500000002</v>
      </c>
      <c r="L45" s="7">
        <v>40379.999499999998</v>
      </c>
      <c r="M45" s="8">
        <v>0.43480000000000002</v>
      </c>
      <c r="N45" s="5">
        <v>51</v>
      </c>
      <c r="O45" s="5">
        <v>19</v>
      </c>
    </row>
    <row r="46" spans="2:15">
      <c r="B46" s="4" t="s">
        <v>124</v>
      </c>
      <c r="C46" s="4" t="s">
        <v>236</v>
      </c>
      <c r="D46" s="4" t="s">
        <v>597</v>
      </c>
      <c r="E46" s="4" t="s">
        <v>31</v>
      </c>
      <c r="F46" s="4" t="s">
        <v>126</v>
      </c>
      <c r="G46" s="4">
        <v>101050014</v>
      </c>
      <c r="H46" s="5">
        <v>257</v>
      </c>
      <c r="I46" s="7">
        <v>346.51</v>
      </c>
      <c r="J46" s="7">
        <v>89052</v>
      </c>
      <c r="K46" s="7">
        <v>73245</v>
      </c>
      <c r="L46" s="7">
        <v>15807</v>
      </c>
      <c r="M46" s="8">
        <v>0.17749999999999999</v>
      </c>
      <c r="N46" s="5">
        <v>110</v>
      </c>
      <c r="O46" s="5">
        <v>22</v>
      </c>
    </row>
    <row r="47" spans="2:15">
      <c r="B47" s="4" t="s">
        <v>124</v>
      </c>
      <c r="C47" s="4" t="s">
        <v>127</v>
      </c>
      <c r="D47" s="4" t="s">
        <v>154</v>
      </c>
      <c r="E47" s="4" t="s">
        <v>31</v>
      </c>
      <c r="F47" s="4" t="s">
        <v>126</v>
      </c>
      <c r="G47" s="4">
        <v>101010107</v>
      </c>
      <c r="H47" s="5">
        <v>688</v>
      </c>
      <c r="I47" s="7">
        <v>128.86000000000001</v>
      </c>
      <c r="J47" s="7">
        <v>88656</v>
      </c>
      <c r="K47" s="7">
        <v>66811.124200000006</v>
      </c>
      <c r="L47" s="7">
        <v>21844.875800000002</v>
      </c>
      <c r="M47" s="8">
        <v>0.24640000000000001</v>
      </c>
      <c r="N47" s="5">
        <v>251</v>
      </c>
      <c r="O47" s="5">
        <v>22</v>
      </c>
    </row>
    <row r="48" spans="2:15">
      <c r="B48" s="4" t="s">
        <v>124</v>
      </c>
      <c r="C48" s="4" t="s">
        <v>147</v>
      </c>
      <c r="D48" s="4" t="s">
        <v>233</v>
      </c>
      <c r="E48" s="4" t="s">
        <v>167</v>
      </c>
      <c r="F48" s="4" t="s">
        <v>126</v>
      </c>
      <c r="G48" s="4">
        <v>101030042</v>
      </c>
      <c r="H48" s="5">
        <v>1393</v>
      </c>
      <c r="I48" s="7">
        <v>63.43</v>
      </c>
      <c r="J48" s="7">
        <v>88364</v>
      </c>
      <c r="K48" s="7">
        <v>55281.354200000002</v>
      </c>
      <c r="L48" s="7">
        <v>33082.645799999998</v>
      </c>
      <c r="M48" s="8">
        <v>0.37430000000000002</v>
      </c>
      <c r="N48" s="5">
        <v>256</v>
      </c>
      <c r="O48" s="5">
        <v>21</v>
      </c>
    </row>
    <row r="49" spans="2:15">
      <c r="B49" s="4" t="s">
        <v>124</v>
      </c>
      <c r="C49" s="4" t="s">
        <v>236</v>
      </c>
      <c r="D49" s="4" t="s">
        <v>317</v>
      </c>
      <c r="E49" s="4" t="s">
        <v>31</v>
      </c>
      <c r="F49" s="4" t="s">
        <v>126</v>
      </c>
      <c r="G49" s="4">
        <v>101010210</v>
      </c>
      <c r="H49" s="5">
        <v>458</v>
      </c>
      <c r="I49" s="7">
        <v>192.07</v>
      </c>
      <c r="J49" s="7">
        <v>87966</v>
      </c>
      <c r="K49" s="7">
        <v>66164.435299999997</v>
      </c>
      <c r="L49" s="7">
        <v>21801.564699999999</v>
      </c>
      <c r="M49" s="8">
        <v>0.24779999999999999</v>
      </c>
      <c r="N49" s="5">
        <v>238</v>
      </c>
      <c r="O49" s="5">
        <v>22</v>
      </c>
    </row>
    <row r="50" spans="2:15">
      <c r="B50" s="4" t="s">
        <v>124</v>
      </c>
      <c r="C50" s="4" t="s">
        <v>125</v>
      </c>
      <c r="D50" s="4" t="s">
        <v>175</v>
      </c>
      <c r="E50" s="4" t="s">
        <v>176</v>
      </c>
      <c r="F50" s="4" t="s">
        <v>126</v>
      </c>
      <c r="G50" s="4">
        <v>101010096</v>
      </c>
      <c r="H50" s="5">
        <v>578</v>
      </c>
      <c r="I50" s="7">
        <v>151.6</v>
      </c>
      <c r="J50" s="7">
        <v>87625</v>
      </c>
      <c r="K50" s="7">
        <v>68261.535699999993</v>
      </c>
      <c r="L50" s="7">
        <v>19363.4643</v>
      </c>
      <c r="M50" s="8">
        <v>0.22090000000000001</v>
      </c>
      <c r="N50" s="5">
        <v>289</v>
      </c>
      <c r="O50" s="5">
        <v>22</v>
      </c>
    </row>
    <row r="51" spans="2:15">
      <c r="B51" s="4" t="s">
        <v>124</v>
      </c>
      <c r="C51" s="4" t="s">
        <v>130</v>
      </c>
      <c r="D51" s="4" t="s">
        <v>287</v>
      </c>
      <c r="E51" s="4" t="s">
        <v>31</v>
      </c>
      <c r="F51" s="4" t="s">
        <v>126</v>
      </c>
      <c r="G51" s="4">
        <v>101990021</v>
      </c>
      <c r="H51" s="5">
        <v>239</v>
      </c>
      <c r="I51" s="7">
        <v>348.06</v>
      </c>
      <c r="J51" s="7">
        <v>83186</v>
      </c>
      <c r="K51" s="7">
        <v>61422.373299999999</v>
      </c>
      <c r="L51" s="7">
        <v>21763.626700000001</v>
      </c>
      <c r="M51" s="8">
        <v>0.2616</v>
      </c>
      <c r="N51" s="5">
        <v>62</v>
      </c>
      <c r="O51" s="5">
        <v>18</v>
      </c>
    </row>
    <row r="52" spans="2:15">
      <c r="B52" s="4" t="s">
        <v>124</v>
      </c>
      <c r="C52" s="4" t="s">
        <v>127</v>
      </c>
      <c r="D52" s="4" t="s">
        <v>189</v>
      </c>
      <c r="E52" s="4" t="s">
        <v>31</v>
      </c>
      <c r="F52" s="4" t="s">
        <v>126</v>
      </c>
      <c r="G52" s="4">
        <v>101010298</v>
      </c>
      <c r="H52" s="5">
        <v>92</v>
      </c>
      <c r="I52" s="7">
        <v>903.39</v>
      </c>
      <c r="J52" s="7">
        <v>83112</v>
      </c>
      <c r="K52" s="7">
        <v>75900</v>
      </c>
      <c r="L52" s="7">
        <v>7212</v>
      </c>
      <c r="M52" s="8">
        <v>8.6699999999999999E-2</v>
      </c>
      <c r="N52" s="5">
        <v>17</v>
      </c>
      <c r="O52" s="5">
        <v>10</v>
      </c>
    </row>
    <row r="53" spans="2:15">
      <c r="B53" s="4" t="s">
        <v>124</v>
      </c>
      <c r="C53" s="4" t="s">
        <v>147</v>
      </c>
      <c r="D53" s="4" t="s">
        <v>192</v>
      </c>
      <c r="E53" s="4" t="s">
        <v>167</v>
      </c>
      <c r="F53" s="4" t="s">
        <v>126</v>
      </c>
      <c r="G53" s="4">
        <v>101030015</v>
      </c>
      <c r="H53" s="5">
        <v>1356</v>
      </c>
      <c r="I53" s="7">
        <v>61.27</v>
      </c>
      <c r="J53" s="7">
        <v>83078</v>
      </c>
      <c r="K53" s="7">
        <v>57501.569900000002</v>
      </c>
      <c r="L53" s="7">
        <v>25576.430100000001</v>
      </c>
      <c r="M53" s="8">
        <v>0.30780000000000002</v>
      </c>
      <c r="N53" s="5">
        <v>253</v>
      </c>
      <c r="O53" s="5">
        <v>20</v>
      </c>
    </row>
    <row r="54" spans="2:15">
      <c r="B54" s="4" t="s">
        <v>124</v>
      </c>
      <c r="C54" s="4" t="s">
        <v>127</v>
      </c>
      <c r="D54" s="4" t="s">
        <v>212</v>
      </c>
      <c r="E54" s="4" t="s">
        <v>123</v>
      </c>
      <c r="F54" s="4" t="s">
        <v>126</v>
      </c>
      <c r="G54" s="4">
        <v>101020056</v>
      </c>
      <c r="H54" s="5">
        <v>286</v>
      </c>
      <c r="I54" s="7">
        <v>285.67</v>
      </c>
      <c r="J54" s="7">
        <v>81702</v>
      </c>
      <c r="K54" s="7">
        <v>44128.630799999999</v>
      </c>
      <c r="L54" s="7">
        <v>37573.369200000001</v>
      </c>
      <c r="M54" s="8">
        <v>0.45979999999999999</v>
      </c>
      <c r="N54" s="5">
        <v>165</v>
      </c>
      <c r="O54" s="5">
        <v>22</v>
      </c>
    </row>
    <row r="55" spans="2:15">
      <c r="B55" s="4" t="s">
        <v>124</v>
      </c>
      <c r="C55" s="4" t="s">
        <v>236</v>
      </c>
      <c r="D55" s="4" t="s">
        <v>598</v>
      </c>
      <c r="E55" s="4" t="s">
        <v>599</v>
      </c>
      <c r="F55" s="4" t="s">
        <v>126</v>
      </c>
      <c r="G55" s="4">
        <v>101010484</v>
      </c>
      <c r="H55" s="5">
        <v>3216</v>
      </c>
      <c r="I55" s="7">
        <v>24.26</v>
      </c>
      <c r="J55" s="7">
        <v>78035.5</v>
      </c>
      <c r="K55" s="7">
        <v>65398.248599999999</v>
      </c>
      <c r="L55" s="7">
        <v>12637.251399999999</v>
      </c>
      <c r="M55" s="8">
        <v>0.16189999999999999</v>
      </c>
      <c r="N55" s="5">
        <v>1462</v>
      </c>
      <c r="O55" s="5">
        <v>22</v>
      </c>
    </row>
    <row r="56" spans="2:15">
      <c r="B56" s="4" t="s">
        <v>124</v>
      </c>
      <c r="C56" s="4" t="s">
        <v>125</v>
      </c>
      <c r="D56" s="4" t="s">
        <v>48</v>
      </c>
      <c r="E56" s="4" t="s">
        <v>31</v>
      </c>
      <c r="F56" s="4" t="s">
        <v>126</v>
      </c>
      <c r="G56" s="4">
        <v>101010024</v>
      </c>
      <c r="H56" s="5">
        <v>1433</v>
      </c>
      <c r="I56" s="7">
        <v>54.37</v>
      </c>
      <c r="J56" s="7">
        <v>77914</v>
      </c>
      <c r="K56" s="7">
        <v>54113.372499999998</v>
      </c>
      <c r="L56" s="7">
        <v>23800.627499999999</v>
      </c>
      <c r="M56" s="8">
        <v>0.3054</v>
      </c>
      <c r="N56" s="5">
        <v>785</v>
      </c>
      <c r="O56" s="5">
        <v>22</v>
      </c>
    </row>
    <row r="57" spans="2:15">
      <c r="B57" s="4" t="s">
        <v>124</v>
      </c>
      <c r="C57" s="4" t="s">
        <v>127</v>
      </c>
      <c r="D57" s="4" t="s">
        <v>185</v>
      </c>
      <c r="E57" s="4" t="s">
        <v>31</v>
      </c>
      <c r="F57" s="4" t="s">
        <v>126</v>
      </c>
      <c r="G57" s="4">
        <v>101020006</v>
      </c>
      <c r="H57" s="5">
        <v>890</v>
      </c>
      <c r="I57" s="7">
        <v>80.569999999999993</v>
      </c>
      <c r="J57" s="7">
        <v>71706</v>
      </c>
      <c r="K57" s="7">
        <v>47100.4496</v>
      </c>
      <c r="L57" s="7">
        <v>24605.5504</v>
      </c>
      <c r="M57" s="8">
        <v>0.34310000000000002</v>
      </c>
      <c r="N57" s="5">
        <v>486</v>
      </c>
      <c r="O57" s="5">
        <v>22</v>
      </c>
    </row>
    <row r="58" spans="2:15">
      <c r="B58" s="4" t="s">
        <v>124</v>
      </c>
      <c r="C58" s="4" t="s">
        <v>125</v>
      </c>
      <c r="D58" s="4" t="s">
        <v>153</v>
      </c>
      <c r="E58" s="4" t="s">
        <v>31</v>
      </c>
      <c r="F58" s="4" t="s">
        <v>126</v>
      </c>
      <c r="G58" s="4">
        <v>101020062</v>
      </c>
      <c r="H58" s="5">
        <v>744</v>
      </c>
      <c r="I58" s="7">
        <v>96.36</v>
      </c>
      <c r="J58" s="7">
        <v>71694</v>
      </c>
      <c r="K58" s="7">
        <v>40259.060700000002</v>
      </c>
      <c r="L58" s="7">
        <v>31434.939299999998</v>
      </c>
      <c r="M58" s="8">
        <v>0.43840000000000001</v>
      </c>
      <c r="N58" s="5">
        <v>197</v>
      </c>
      <c r="O58" s="5">
        <v>21</v>
      </c>
    </row>
    <row r="59" spans="2:15">
      <c r="B59" s="4" t="s">
        <v>124</v>
      </c>
      <c r="C59" s="4" t="s">
        <v>125</v>
      </c>
      <c r="D59" s="4" t="s">
        <v>183</v>
      </c>
      <c r="E59" s="4" t="s">
        <v>31</v>
      </c>
      <c r="F59" s="4" t="s">
        <v>126</v>
      </c>
      <c r="G59" s="4">
        <v>101010492</v>
      </c>
      <c r="H59" s="5">
        <v>58</v>
      </c>
      <c r="I59" s="7">
        <v>1154.55</v>
      </c>
      <c r="J59" s="7">
        <v>66964</v>
      </c>
      <c r="K59" s="7">
        <v>51379.7791</v>
      </c>
      <c r="L59" s="7">
        <v>15584.2209</v>
      </c>
      <c r="M59" s="8">
        <v>0.23269999999999999</v>
      </c>
      <c r="N59" s="5">
        <v>24</v>
      </c>
      <c r="O59" s="5">
        <v>12</v>
      </c>
    </row>
    <row r="60" spans="2:15">
      <c r="B60" s="4" t="s">
        <v>124</v>
      </c>
      <c r="C60" s="4" t="s">
        <v>127</v>
      </c>
      <c r="D60" s="4" t="s">
        <v>155</v>
      </c>
      <c r="E60" s="4" t="s">
        <v>31</v>
      </c>
      <c r="F60" s="4" t="s">
        <v>126</v>
      </c>
      <c r="G60" s="4">
        <v>101010217</v>
      </c>
      <c r="H60" s="5">
        <v>870</v>
      </c>
      <c r="I60" s="7">
        <v>73.87</v>
      </c>
      <c r="J60" s="7">
        <v>64271</v>
      </c>
      <c r="K60" s="7">
        <v>54674.399799999999</v>
      </c>
      <c r="L60" s="7">
        <v>9596.6002000000008</v>
      </c>
      <c r="M60" s="8">
        <v>0.14929999999999999</v>
      </c>
      <c r="N60" s="5">
        <v>376</v>
      </c>
      <c r="O60" s="5">
        <v>22</v>
      </c>
    </row>
    <row r="61" spans="2:15">
      <c r="B61" s="4" t="s">
        <v>124</v>
      </c>
      <c r="C61" s="4" t="s">
        <v>130</v>
      </c>
      <c r="D61" s="4" t="s">
        <v>214</v>
      </c>
      <c r="E61" s="4" t="s">
        <v>215</v>
      </c>
      <c r="F61" s="4" t="s">
        <v>126</v>
      </c>
      <c r="G61" s="4">
        <v>101990007</v>
      </c>
      <c r="H61" s="5">
        <v>3439</v>
      </c>
      <c r="I61" s="7">
        <v>17.739999999999998</v>
      </c>
      <c r="J61" s="7">
        <v>61018</v>
      </c>
      <c r="K61" s="7">
        <v>39648.261700000003</v>
      </c>
      <c r="L61" s="7">
        <v>21369.738300000001</v>
      </c>
      <c r="M61" s="8">
        <v>0.35020000000000001</v>
      </c>
      <c r="N61" s="5">
        <v>1161</v>
      </c>
      <c r="O61" s="5">
        <v>22</v>
      </c>
    </row>
    <row r="62" spans="2:15">
      <c r="B62" s="4" t="s">
        <v>124</v>
      </c>
      <c r="C62" s="4" t="s">
        <v>125</v>
      </c>
      <c r="D62" s="4" t="s">
        <v>257</v>
      </c>
      <c r="E62" s="4" t="s">
        <v>31</v>
      </c>
      <c r="F62" s="4" t="s">
        <v>126</v>
      </c>
      <c r="G62" s="4">
        <v>101010530</v>
      </c>
      <c r="H62" s="5">
        <v>54</v>
      </c>
      <c r="I62" s="7">
        <v>1075.4100000000001</v>
      </c>
      <c r="J62" s="7">
        <v>58072</v>
      </c>
      <c r="K62" s="7">
        <v>47597.230499999998</v>
      </c>
      <c r="L62" s="7">
        <v>10474.7695</v>
      </c>
      <c r="M62" s="8">
        <v>0.18029999999999999</v>
      </c>
      <c r="N62" s="5">
        <v>22</v>
      </c>
      <c r="O62" s="5">
        <v>14</v>
      </c>
    </row>
    <row r="63" spans="2:15">
      <c r="B63" s="4" t="s">
        <v>124</v>
      </c>
      <c r="C63" s="4" t="s">
        <v>147</v>
      </c>
      <c r="D63" s="4" t="s">
        <v>190</v>
      </c>
      <c r="E63" s="4" t="s">
        <v>167</v>
      </c>
      <c r="F63" s="4" t="s">
        <v>126</v>
      </c>
      <c r="G63" s="4">
        <v>101010070</v>
      </c>
      <c r="H63" s="5">
        <v>583</v>
      </c>
      <c r="I63" s="7">
        <v>96.95</v>
      </c>
      <c r="J63" s="7">
        <v>56519</v>
      </c>
      <c r="K63" s="7">
        <v>42417.994200000001</v>
      </c>
      <c r="L63" s="7">
        <v>14101.005800000001</v>
      </c>
      <c r="M63" s="8">
        <v>0.24940000000000001</v>
      </c>
      <c r="N63" s="5">
        <v>340</v>
      </c>
      <c r="O63" s="5">
        <v>22</v>
      </c>
    </row>
    <row r="64" spans="2:15">
      <c r="B64" s="4" t="s">
        <v>124</v>
      </c>
      <c r="C64" s="4" t="s">
        <v>125</v>
      </c>
      <c r="D64" s="4" t="s">
        <v>218</v>
      </c>
      <c r="E64" s="4" t="s">
        <v>31</v>
      </c>
      <c r="F64" s="4" t="s">
        <v>126</v>
      </c>
      <c r="G64" s="4">
        <v>101010138</v>
      </c>
      <c r="H64" s="5">
        <v>400</v>
      </c>
      <c r="I64" s="7">
        <v>139.88</v>
      </c>
      <c r="J64" s="7">
        <v>55952</v>
      </c>
      <c r="K64" s="7">
        <v>43701.390200000002</v>
      </c>
      <c r="L64" s="7">
        <v>12250.6098</v>
      </c>
      <c r="M64" s="8">
        <v>0.21890000000000001</v>
      </c>
      <c r="N64" s="5">
        <v>121</v>
      </c>
      <c r="O64" s="5">
        <v>22</v>
      </c>
    </row>
    <row r="65" spans="2:15">
      <c r="B65" s="4" t="s">
        <v>124</v>
      </c>
      <c r="C65" s="4" t="s">
        <v>127</v>
      </c>
      <c r="D65" s="4" t="s">
        <v>145</v>
      </c>
      <c r="E65" s="4" t="s">
        <v>31</v>
      </c>
      <c r="F65" s="4" t="s">
        <v>126</v>
      </c>
      <c r="G65" s="4">
        <v>101020008</v>
      </c>
      <c r="H65" s="5">
        <v>133</v>
      </c>
      <c r="I65" s="7">
        <v>418.98</v>
      </c>
      <c r="J65" s="7">
        <v>55724</v>
      </c>
      <c r="K65" s="7">
        <v>41122.201399999998</v>
      </c>
      <c r="L65" s="7">
        <v>14601.7986</v>
      </c>
      <c r="M65" s="8">
        <v>0.26200000000000001</v>
      </c>
      <c r="N65" s="5">
        <v>76</v>
      </c>
      <c r="O65" s="5">
        <v>19</v>
      </c>
    </row>
    <row r="66" spans="2:15">
      <c r="B66" s="4" t="s">
        <v>124</v>
      </c>
      <c r="C66" s="4" t="s">
        <v>125</v>
      </c>
      <c r="D66" s="4" t="s">
        <v>144</v>
      </c>
      <c r="E66" s="4" t="s">
        <v>31</v>
      </c>
      <c r="F66" s="4" t="s">
        <v>126</v>
      </c>
      <c r="G66" s="4">
        <v>101010495</v>
      </c>
      <c r="H66" s="5">
        <v>159</v>
      </c>
      <c r="I66" s="7">
        <v>343.53</v>
      </c>
      <c r="J66" s="7">
        <v>54621</v>
      </c>
      <c r="K66" s="7">
        <v>44520</v>
      </c>
      <c r="L66" s="7">
        <v>10101</v>
      </c>
      <c r="M66" s="8">
        <v>0.18490000000000001</v>
      </c>
      <c r="N66" s="5">
        <v>81</v>
      </c>
      <c r="O66" s="5">
        <v>20</v>
      </c>
    </row>
    <row r="67" spans="2:15">
      <c r="B67" s="4" t="s">
        <v>124</v>
      </c>
      <c r="C67" s="4" t="s">
        <v>236</v>
      </c>
      <c r="D67" s="4" t="s">
        <v>237</v>
      </c>
      <c r="E67" s="4" t="s">
        <v>31</v>
      </c>
      <c r="F67" s="4" t="s">
        <v>126</v>
      </c>
      <c r="G67" s="4">
        <v>101010212</v>
      </c>
      <c r="H67" s="5">
        <v>1512</v>
      </c>
      <c r="I67" s="7">
        <v>33.74</v>
      </c>
      <c r="J67" s="7">
        <v>51018</v>
      </c>
      <c r="K67" s="7">
        <v>43847.9859</v>
      </c>
      <c r="L67" s="7">
        <v>7170.0141000000003</v>
      </c>
      <c r="M67" s="8">
        <v>0.14050000000000001</v>
      </c>
      <c r="N67" s="5">
        <v>383</v>
      </c>
      <c r="O67" s="5">
        <v>20</v>
      </c>
    </row>
    <row r="68" spans="2:15">
      <c r="B68" s="4" t="s">
        <v>124</v>
      </c>
      <c r="C68" s="4" t="s">
        <v>236</v>
      </c>
      <c r="D68" s="4" t="s">
        <v>600</v>
      </c>
      <c r="E68" s="4" t="s">
        <v>31</v>
      </c>
      <c r="F68" s="4" t="s">
        <v>126</v>
      </c>
      <c r="G68" s="4">
        <v>101010480</v>
      </c>
      <c r="H68" s="5">
        <v>482</v>
      </c>
      <c r="I68" s="7">
        <v>100.68</v>
      </c>
      <c r="J68" s="7">
        <v>48528</v>
      </c>
      <c r="K68" s="7">
        <v>32949.595699999998</v>
      </c>
      <c r="L68" s="7">
        <v>15578.4043</v>
      </c>
      <c r="M68" s="8">
        <v>0.32100000000000001</v>
      </c>
      <c r="N68" s="5">
        <v>227</v>
      </c>
      <c r="O68" s="5">
        <v>22</v>
      </c>
    </row>
    <row r="69" spans="2:15">
      <c r="B69" s="4" t="s">
        <v>124</v>
      </c>
      <c r="C69" s="4" t="s">
        <v>125</v>
      </c>
      <c r="D69" s="4" t="s">
        <v>245</v>
      </c>
      <c r="E69" s="4" t="s">
        <v>246</v>
      </c>
      <c r="F69" s="4" t="s">
        <v>126</v>
      </c>
      <c r="G69" s="4">
        <v>101010405</v>
      </c>
      <c r="H69" s="5">
        <v>539</v>
      </c>
      <c r="I69" s="7">
        <v>89.18</v>
      </c>
      <c r="J69" s="7">
        <v>48070</v>
      </c>
      <c r="K69" s="7">
        <v>31755.4872</v>
      </c>
      <c r="L69" s="7">
        <v>16314.5128</v>
      </c>
      <c r="M69" s="8">
        <v>0.33929999999999999</v>
      </c>
      <c r="N69" s="5">
        <v>308</v>
      </c>
      <c r="O69" s="5">
        <v>22</v>
      </c>
    </row>
    <row r="70" spans="2:15">
      <c r="B70" s="4" t="s">
        <v>124</v>
      </c>
      <c r="C70" s="4" t="s">
        <v>236</v>
      </c>
      <c r="D70" s="4" t="s">
        <v>601</v>
      </c>
      <c r="E70" s="4" t="s">
        <v>123</v>
      </c>
      <c r="F70" s="4" t="s">
        <v>126</v>
      </c>
      <c r="G70" s="4">
        <v>101050003</v>
      </c>
      <c r="H70" s="5">
        <v>459</v>
      </c>
      <c r="I70" s="7">
        <v>104.17</v>
      </c>
      <c r="J70" s="7">
        <v>47815</v>
      </c>
      <c r="K70" s="7">
        <v>35705.998399999997</v>
      </c>
      <c r="L70" s="7">
        <v>12109.0016</v>
      </c>
      <c r="M70" s="8">
        <v>0.25319999999999998</v>
      </c>
      <c r="N70" s="5">
        <v>213</v>
      </c>
      <c r="O70" s="5">
        <v>22</v>
      </c>
    </row>
    <row r="71" spans="2:15">
      <c r="B71" s="4" t="s">
        <v>124</v>
      </c>
      <c r="C71" s="4" t="s">
        <v>127</v>
      </c>
      <c r="D71" s="4" t="s">
        <v>602</v>
      </c>
      <c r="E71" s="4" t="s">
        <v>31</v>
      </c>
      <c r="F71" s="4" t="s">
        <v>126</v>
      </c>
      <c r="G71" s="4">
        <v>101020104</v>
      </c>
      <c r="H71" s="5">
        <v>157</v>
      </c>
      <c r="I71" s="7">
        <v>287.72000000000003</v>
      </c>
      <c r="J71" s="7">
        <v>45172</v>
      </c>
      <c r="K71" s="7">
        <v>30366.258099999999</v>
      </c>
      <c r="L71" s="7">
        <v>14805.741900000001</v>
      </c>
      <c r="M71" s="8">
        <v>0.32769999999999999</v>
      </c>
      <c r="N71" s="5">
        <v>71</v>
      </c>
      <c r="O71" s="5">
        <v>18</v>
      </c>
    </row>
    <row r="72" spans="2:15">
      <c r="B72" s="4" t="s">
        <v>124</v>
      </c>
      <c r="C72" s="4" t="s">
        <v>125</v>
      </c>
      <c r="D72" s="4" t="s">
        <v>603</v>
      </c>
      <c r="E72" s="4" t="s">
        <v>123</v>
      </c>
      <c r="F72" s="4" t="s">
        <v>126</v>
      </c>
      <c r="G72" s="4">
        <v>101010507</v>
      </c>
      <c r="H72" s="5">
        <v>273</v>
      </c>
      <c r="I72" s="7">
        <v>162.77000000000001</v>
      </c>
      <c r="J72" s="7">
        <v>44436</v>
      </c>
      <c r="K72" s="7">
        <v>29446.896799999999</v>
      </c>
      <c r="L72" s="7">
        <v>14989.1032</v>
      </c>
      <c r="M72" s="8">
        <v>0.33729999999999999</v>
      </c>
      <c r="N72" s="5">
        <v>139</v>
      </c>
      <c r="O72" s="5">
        <v>22</v>
      </c>
    </row>
    <row r="73" spans="2:15">
      <c r="B73" s="4" t="s">
        <v>124</v>
      </c>
      <c r="C73" s="4" t="s">
        <v>125</v>
      </c>
      <c r="D73" s="4" t="s">
        <v>247</v>
      </c>
      <c r="E73" s="4" t="s">
        <v>31</v>
      </c>
      <c r="F73" s="4" t="s">
        <v>126</v>
      </c>
      <c r="G73" s="4">
        <v>101010475</v>
      </c>
      <c r="H73" s="5">
        <v>393</v>
      </c>
      <c r="I73" s="7">
        <v>99.45</v>
      </c>
      <c r="J73" s="7">
        <v>39084</v>
      </c>
      <c r="K73" s="7">
        <v>24264.807799999999</v>
      </c>
      <c r="L73" s="7">
        <v>14819.1922</v>
      </c>
      <c r="M73" s="8">
        <v>0.37909999999999999</v>
      </c>
      <c r="N73" s="5">
        <v>125</v>
      </c>
      <c r="O73" s="5">
        <v>21</v>
      </c>
    </row>
    <row r="74" spans="2:15">
      <c r="B74" s="4" t="s">
        <v>124</v>
      </c>
      <c r="C74" s="4" t="s">
        <v>127</v>
      </c>
      <c r="D74" s="4" t="s">
        <v>222</v>
      </c>
      <c r="E74" s="4" t="s">
        <v>31</v>
      </c>
      <c r="F74" s="4" t="s">
        <v>126</v>
      </c>
      <c r="G74" s="4">
        <v>101020041</v>
      </c>
      <c r="H74" s="5">
        <v>18</v>
      </c>
      <c r="I74" s="7">
        <v>2111</v>
      </c>
      <c r="J74" s="7">
        <v>37998</v>
      </c>
      <c r="K74" s="7">
        <v>21742.664100000002</v>
      </c>
      <c r="L74" s="7">
        <v>16255.3359</v>
      </c>
      <c r="M74" s="8">
        <v>0.42770000000000002</v>
      </c>
      <c r="N74" s="5">
        <v>2</v>
      </c>
      <c r="O74" s="5">
        <v>1</v>
      </c>
    </row>
    <row r="75" spans="2:15">
      <c r="B75" s="4" t="s">
        <v>124</v>
      </c>
      <c r="C75" s="4" t="s">
        <v>125</v>
      </c>
      <c r="D75" s="4" t="s">
        <v>186</v>
      </c>
      <c r="E75" s="4" t="s">
        <v>31</v>
      </c>
      <c r="F75" s="4" t="s">
        <v>126</v>
      </c>
      <c r="G75" s="4">
        <v>101010465</v>
      </c>
      <c r="H75" s="5">
        <v>224</v>
      </c>
      <c r="I75" s="7">
        <v>159.80000000000001</v>
      </c>
      <c r="J75" s="7">
        <v>35796</v>
      </c>
      <c r="K75" s="7">
        <v>20982.877</v>
      </c>
      <c r="L75" s="7">
        <v>14813.123</v>
      </c>
      <c r="M75" s="8">
        <v>0.4138</v>
      </c>
      <c r="N75" s="5">
        <v>113</v>
      </c>
      <c r="O75" s="5">
        <v>21</v>
      </c>
    </row>
    <row r="76" spans="2:15">
      <c r="B76" s="4" t="s">
        <v>124</v>
      </c>
      <c r="C76" s="4" t="s">
        <v>220</v>
      </c>
      <c r="D76" s="4" t="s">
        <v>226</v>
      </c>
      <c r="E76" s="4" t="s">
        <v>31</v>
      </c>
      <c r="F76" s="4" t="s">
        <v>126</v>
      </c>
      <c r="G76" s="4">
        <v>101010203</v>
      </c>
      <c r="H76" s="5">
        <v>258</v>
      </c>
      <c r="I76" s="7">
        <v>136.4</v>
      </c>
      <c r="J76" s="7">
        <v>35190</v>
      </c>
      <c r="K76" s="7">
        <v>26382.3963</v>
      </c>
      <c r="L76" s="7">
        <v>8807.6036999999997</v>
      </c>
      <c r="M76" s="8">
        <v>0.25019999999999998</v>
      </c>
      <c r="N76" s="5">
        <v>138</v>
      </c>
      <c r="O76" s="5">
        <v>22</v>
      </c>
    </row>
    <row r="77" spans="2:15">
      <c r="B77" s="4" t="s">
        <v>124</v>
      </c>
      <c r="C77" s="4" t="s">
        <v>125</v>
      </c>
      <c r="D77" s="4" t="s">
        <v>319</v>
      </c>
      <c r="E77" s="4" t="s">
        <v>320</v>
      </c>
      <c r="F77" s="4" t="s">
        <v>126</v>
      </c>
      <c r="G77" s="4">
        <v>101010449</v>
      </c>
      <c r="H77" s="5">
        <v>1626</v>
      </c>
      <c r="I77" s="7">
        <v>19.75</v>
      </c>
      <c r="J77" s="7">
        <v>32106</v>
      </c>
      <c r="K77" s="7">
        <v>21109.3822</v>
      </c>
      <c r="L77" s="7">
        <v>10996.6178</v>
      </c>
      <c r="M77" s="8">
        <v>0.34250000000000003</v>
      </c>
      <c r="N77" s="5">
        <v>876</v>
      </c>
      <c r="O77" s="5">
        <v>22</v>
      </c>
    </row>
    <row r="78" spans="2:15">
      <c r="B78" s="4" t="s">
        <v>124</v>
      </c>
      <c r="C78" s="4" t="s">
        <v>125</v>
      </c>
      <c r="D78" s="4" t="s">
        <v>258</v>
      </c>
      <c r="E78" s="4" t="s">
        <v>176</v>
      </c>
      <c r="F78" s="4" t="s">
        <v>126</v>
      </c>
      <c r="G78" s="4">
        <v>101030011</v>
      </c>
      <c r="H78" s="5">
        <v>2140</v>
      </c>
      <c r="I78" s="7">
        <v>14.9</v>
      </c>
      <c r="J78" s="7">
        <v>31889.1</v>
      </c>
      <c r="K78" s="7">
        <v>22378.006000000001</v>
      </c>
      <c r="L78" s="7">
        <v>9511.0939999999991</v>
      </c>
      <c r="M78" s="8">
        <v>0.29820000000000002</v>
      </c>
      <c r="N78" s="5">
        <v>1309</v>
      </c>
      <c r="O78" s="5">
        <v>23</v>
      </c>
    </row>
    <row r="79" spans="2:15">
      <c r="B79" s="4" t="s">
        <v>124</v>
      </c>
      <c r="C79" s="4" t="s">
        <v>127</v>
      </c>
      <c r="D79" s="4" t="s">
        <v>269</v>
      </c>
      <c r="E79" s="4" t="s">
        <v>31</v>
      </c>
      <c r="F79" s="4" t="s">
        <v>126</v>
      </c>
      <c r="G79" s="4">
        <v>101020053</v>
      </c>
      <c r="H79" s="5">
        <v>43</v>
      </c>
      <c r="I79" s="7">
        <v>736.79</v>
      </c>
      <c r="J79" s="7">
        <v>31682</v>
      </c>
      <c r="K79" s="7">
        <v>23141.1872</v>
      </c>
      <c r="L79" s="7">
        <v>8540.8127999999997</v>
      </c>
      <c r="M79" s="8">
        <v>0.26950000000000002</v>
      </c>
      <c r="N79" s="5">
        <v>14</v>
      </c>
      <c r="O79" s="5">
        <v>10</v>
      </c>
    </row>
    <row r="80" spans="2:15">
      <c r="B80" s="4" t="s">
        <v>124</v>
      </c>
      <c r="C80" s="4" t="s">
        <v>130</v>
      </c>
      <c r="D80" s="4" t="s">
        <v>604</v>
      </c>
      <c r="E80" s="4" t="s">
        <v>31</v>
      </c>
      <c r="F80" s="4" t="s">
        <v>126</v>
      </c>
      <c r="G80" s="4">
        <v>101990022</v>
      </c>
      <c r="H80" s="5">
        <v>70</v>
      </c>
      <c r="I80" s="7">
        <v>451.49</v>
      </c>
      <c r="J80" s="7">
        <v>31604</v>
      </c>
      <c r="K80" s="7">
        <v>24950.3442</v>
      </c>
      <c r="L80" s="7">
        <v>6653.6558000000005</v>
      </c>
      <c r="M80" s="8">
        <v>0.21049999999999999</v>
      </c>
      <c r="N80" s="5">
        <v>27</v>
      </c>
      <c r="O80" s="5">
        <v>14</v>
      </c>
    </row>
    <row r="81" spans="2:15">
      <c r="B81" s="4" t="s">
        <v>124</v>
      </c>
      <c r="C81" s="4" t="s">
        <v>125</v>
      </c>
      <c r="D81" s="4" t="s">
        <v>308</v>
      </c>
      <c r="E81" s="4" t="s">
        <v>228</v>
      </c>
      <c r="F81" s="4" t="s">
        <v>137</v>
      </c>
      <c r="G81" s="4">
        <v>101010524</v>
      </c>
      <c r="H81" s="5">
        <v>27</v>
      </c>
      <c r="I81" s="7">
        <v>1150.74</v>
      </c>
      <c r="J81" s="7">
        <v>31070</v>
      </c>
      <c r="K81" s="7">
        <v>16158.974399999999</v>
      </c>
      <c r="L81" s="7">
        <v>14911.025600000001</v>
      </c>
      <c r="M81" s="8">
        <v>0.47989999999999999</v>
      </c>
      <c r="N81" s="5">
        <v>21</v>
      </c>
      <c r="O81" s="5">
        <v>15</v>
      </c>
    </row>
    <row r="82" spans="2:15">
      <c r="B82" s="4" t="s">
        <v>124</v>
      </c>
      <c r="C82" s="4" t="s">
        <v>147</v>
      </c>
      <c r="D82" s="4" t="s">
        <v>544</v>
      </c>
      <c r="E82" s="4" t="s">
        <v>31</v>
      </c>
      <c r="F82" s="4" t="s">
        <v>126</v>
      </c>
      <c r="G82" s="4">
        <v>101030021</v>
      </c>
      <c r="H82" s="5">
        <v>510</v>
      </c>
      <c r="I82" s="7">
        <v>59.82</v>
      </c>
      <c r="J82" s="7">
        <v>30506</v>
      </c>
      <c r="K82" s="7">
        <v>17785.9846</v>
      </c>
      <c r="L82" s="7">
        <v>12720.0154</v>
      </c>
      <c r="M82" s="8">
        <v>0.41689999999999999</v>
      </c>
      <c r="N82" s="5">
        <v>210</v>
      </c>
      <c r="O82" s="5">
        <v>22</v>
      </c>
    </row>
    <row r="83" spans="2:15">
      <c r="B83" s="4" t="s">
        <v>124</v>
      </c>
      <c r="C83" s="4" t="s">
        <v>125</v>
      </c>
      <c r="D83" s="4" t="s">
        <v>69</v>
      </c>
      <c r="E83" s="4" t="s">
        <v>123</v>
      </c>
      <c r="F83" s="4" t="s">
        <v>126</v>
      </c>
      <c r="G83" s="4">
        <v>101020063</v>
      </c>
      <c r="H83" s="5">
        <v>11</v>
      </c>
      <c r="I83" s="7">
        <v>2772.73</v>
      </c>
      <c r="J83" s="7">
        <v>30500</v>
      </c>
      <c r="K83" s="7">
        <v>22900.02</v>
      </c>
      <c r="L83" s="7">
        <v>7599.98</v>
      </c>
      <c r="M83" s="8">
        <v>0.24909999999999999</v>
      </c>
      <c r="N83" s="5">
        <v>8</v>
      </c>
      <c r="O83" s="5">
        <v>5</v>
      </c>
    </row>
    <row r="84" spans="2:15">
      <c r="B84" s="4" t="s">
        <v>124</v>
      </c>
      <c r="C84" s="4" t="s">
        <v>147</v>
      </c>
      <c r="D84" s="4" t="s">
        <v>540</v>
      </c>
      <c r="E84" s="4" t="s">
        <v>31</v>
      </c>
      <c r="F84" s="4" t="s">
        <v>126</v>
      </c>
      <c r="G84" s="4">
        <v>101030020</v>
      </c>
      <c r="H84" s="5">
        <v>1217</v>
      </c>
      <c r="I84" s="7">
        <v>24.9</v>
      </c>
      <c r="J84" s="7">
        <v>30309</v>
      </c>
      <c r="K84" s="7">
        <v>18169.362000000001</v>
      </c>
      <c r="L84" s="7">
        <v>12139.638000000001</v>
      </c>
      <c r="M84" s="8">
        <v>0.40050000000000002</v>
      </c>
      <c r="N84" s="5">
        <v>294</v>
      </c>
      <c r="O84" s="5">
        <v>22</v>
      </c>
    </row>
    <row r="85" spans="2:15">
      <c r="B85" s="4" t="s">
        <v>124</v>
      </c>
      <c r="C85" s="4" t="s">
        <v>236</v>
      </c>
      <c r="D85" s="4" t="s">
        <v>605</v>
      </c>
      <c r="E85" s="4" t="s">
        <v>31</v>
      </c>
      <c r="F85" s="4" t="s">
        <v>126</v>
      </c>
      <c r="G85" s="4">
        <v>101050013</v>
      </c>
      <c r="H85" s="5">
        <v>101</v>
      </c>
      <c r="I85" s="7">
        <v>285.82</v>
      </c>
      <c r="J85" s="7">
        <v>28868</v>
      </c>
      <c r="K85" s="7">
        <v>26260</v>
      </c>
      <c r="L85" s="7">
        <v>2608</v>
      </c>
      <c r="M85" s="8">
        <v>9.0300000000000005E-2</v>
      </c>
      <c r="N85" s="5">
        <v>31</v>
      </c>
      <c r="O85" s="5">
        <v>15</v>
      </c>
    </row>
    <row r="86" spans="2:15">
      <c r="B86" s="4" t="s">
        <v>124</v>
      </c>
      <c r="C86" s="4" t="s">
        <v>147</v>
      </c>
      <c r="D86" s="4" t="s">
        <v>205</v>
      </c>
      <c r="E86" s="4" t="s">
        <v>176</v>
      </c>
      <c r="F86" s="4" t="s">
        <v>126</v>
      </c>
      <c r="G86" s="4">
        <v>101010169</v>
      </c>
      <c r="H86" s="5">
        <v>987</v>
      </c>
      <c r="I86" s="7">
        <v>29.04</v>
      </c>
      <c r="J86" s="7">
        <v>28659</v>
      </c>
      <c r="K86" s="7">
        <v>24635.237400000002</v>
      </c>
      <c r="L86" s="7">
        <v>4023.7626</v>
      </c>
      <c r="M86" s="8">
        <v>0.1404</v>
      </c>
      <c r="N86" s="5">
        <v>608</v>
      </c>
      <c r="O86" s="5">
        <v>22</v>
      </c>
    </row>
    <row r="87" spans="2:15">
      <c r="B87" s="4" t="s">
        <v>124</v>
      </c>
      <c r="C87" s="4" t="s">
        <v>236</v>
      </c>
      <c r="D87" s="4" t="s">
        <v>606</v>
      </c>
      <c r="E87" s="4" t="s">
        <v>31</v>
      </c>
      <c r="F87" s="4" t="s">
        <v>126</v>
      </c>
      <c r="G87" s="4">
        <v>101050012</v>
      </c>
      <c r="H87" s="5">
        <v>154</v>
      </c>
      <c r="I87" s="7">
        <v>166.99</v>
      </c>
      <c r="J87" s="7">
        <v>25716</v>
      </c>
      <c r="K87" s="7">
        <v>22330</v>
      </c>
      <c r="L87" s="7">
        <v>3386</v>
      </c>
      <c r="M87" s="8">
        <v>0.13159999999999999</v>
      </c>
      <c r="N87" s="5">
        <v>99</v>
      </c>
      <c r="O87" s="5">
        <v>18</v>
      </c>
    </row>
    <row r="88" spans="2:15">
      <c r="B88" s="4" t="s">
        <v>124</v>
      </c>
      <c r="C88" s="4" t="s">
        <v>125</v>
      </c>
      <c r="D88" s="4" t="s">
        <v>259</v>
      </c>
      <c r="E88" s="4" t="s">
        <v>176</v>
      </c>
      <c r="F88" s="4" t="s">
        <v>126</v>
      </c>
      <c r="G88" s="4">
        <v>101010454</v>
      </c>
      <c r="H88" s="5">
        <v>540</v>
      </c>
      <c r="I88" s="7">
        <v>47.23</v>
      </c>
      <c r="J88" s="7">
        <v>25506</v>
      </c>
      <c r="K88" s="7">
        <v>12923.9684</v>
      </c>
      <c r="L88" s="7">
        <v>12582.0316</v>
      </c>
      <c r="M88" s="8">
        <v>0.49320000000000003</v>
      </c>
      <c r="N88" s="5">
        <v>333</v>
      </c>
      <c r="O88" s="5">
        <v>22</v>
      </c>
    </row>
    <row r="89" spans="2:15">
      <c r="B89" s="4" t="s">
        <v>124</v>
      </c>
      <c r="C89" s="4" t="s">
        <v>125</v>
      </c>
      <c r="D89" s="4" t="s">
        <v>58</v>
      </c>
      <c r="E89" s="4" t="s">
        <v>123</v>
      </c>
      <c r="F89" s="4" t="s">
        <v>126</v>
      </c>
      <c r="G89" s="4">
        <v>101010521</v>
      </c>
      <c r="H89" s="5">
        <v>26</v>
      </c>
      <c r="I89" s="7">
        <v>967</v>
      </c>
      <c r="J89" s="7">
        <v>25142</v>
      </c>
      <c r="K89" s="7">
        <v>19240</v>
      </c>
      <c r="L89" s="7">
        <v>5902</v>
      </c>
      <c r="M89" s="8">
        <v>0.23469999999999999</v>
      </c>
      <c r="N89" s="5">
        <v>14</v>
      </c>
      <c r="O89" s="5">
        <v>10</v>
      </c>
    </row>
    <row r="90" spans="2:15">
      <c r="B90" s="4" t="s">
        <v>124</v>
      </c>
      <c r="C90" s="4" t="s">
        <v>125</v>
      </c>
      <c r="D90" s="4" t="s">
        <v>211</v>
      </c>
      <c r="E90" s="4" t="s">
        <v>176</v>
      </c>
      <c r="F90" s="4" t="s">
        <v>126</v>
      </c>
      <c r="G90" s="4">
        <v>101010097</v>
      </c>
      <c r="H90" s="5">
        <v>324</v>
      </c>
      <c r="I90" s="7">
        <v>77.3</v>
      </c>
      <c r="J90" s="7">
        <v>25046</v>
      </c>
      <c r="K90" s="7">
        <v>18731.972699999998</v>
      </c>
      <c r="L90" s="7">
        <v>6314.0272999999997</v>
      </c>
      <c r="M90" s="8">
        <v>0.252</v>
      </c>
      <c r="N90" s="5">
        <v>195</v>
      </c>
      <c r="O90" s="5">
        <v>22</v>
      </c>
    </row>
    <row r="91" spans="2:15">
      <c r="B91" s="4" t="s">
        <v>124</v>
      </c>
      <c r="C91" s="4" t="s">
        <v>125</v>
      </c>
      <c r="D91" s="4" t="s">
        <v>54</v>
      </c>
      <c r="E91" s="4" t="s">
        <v>55</v>
      </c>
      <c r="F91" s="4" t="s">
        <v>126</v>
      </c>
      <c r="G91" s="4">
        <v>101010501</v>
      </c>
      <c r="H91" s="5">
        <v>1361</v>
      </c>
      <c r="I91" s="7">
        <v>17.75</v>
      </c>
      <c r="J91" s="7">
        <v>24153</v>
      </c>
      <c r="K91" s="7">
        <v>14909.424300000001</v>
      </c>
      <c r="L91" s="7">
        <v>9243.5756999999994</v>
      </c>
      <c r="M91" s="8">
        <v>0.38269999999999998</v>
      </c>
      <c r="N91" s="5">
        <v>548</v>
      </c>
      <c r="O91" s="5">
        <v>22</v>
      </c>
    </row>
    <row r="92" spans="2:15">
      <c r="B92" s="4" t="s">
        <v>124</v>
      </c>
      <c r="C92" s="4" t="s">
        <v>125</v>
      </c>
      <c r="D92" s="4" t="s">
        <v>256</v>
      </c>
      <c r="E92" s="4" t="s">
        <v>31</v>
      </c>
      <c r="F92" s="4" t="s">
        <v>126</v>
      </c>
      <c r="G92" s="4">
        <v>101010456</v>
      </c>
      <c r="H92" s="5">
        <v>753</v>
      </c>
      <c r="I92" s="7">
        <v>31.78</v>
      </c>
      <c r="J92" s="7">
        <v>23928</v>
      </c>
      <c r="K92" s="7">
        <v>14404.3045</v>
      </c>
      <c r="L92" s="7">
        <v>9523.6954999999998</v>
      </c>
      <c r="M92" s="8">
        <v>0.39800000000000002</v>
      </c>
      <c r="N92" s="5">
        <v>228</v>
      </c>
      <c r="O92" s="5">
        <v>21</v>
      </c>
    </row>
    <row r="93" spans="2:15">
      <c r="B93" s="4" t="s">
        <v>124</v>
      </c>
      <c r="C93" s="4" t="s">
        <v>125</v>
      </c>
      <c r="D93" s="4" t="s">
        <v>253</v>
      </c>
      <c r="E93" s="4" t="s">
        <v>31</v>
      </c>
      <c r="F93" s="4" t="s">
        <v>126</v>
      </c>
      <c r="G93" s="4">
        <v>101010100</v>
      </c>
      <c r="H93" s="5">
        <v>607</v>
      </c>
      <c r="I93" s="7">
        <v>38.47</v>
      </c>
      <c r="J93" s="7">
        <v>23353</v>
      </c>
      <c r="K93" s="7">
        <v>10895.227199999999</v>
      </c>
      <c r="L93" s="7">
        <v>12457.772800000001</v>
      </c>
      <c r="M93" s="8">
        <v>0.53339999999999999</v>
      </c>
      <c r="N93" s="5">
        <v>353</v>
      </c>
      <c r="O93" s="5">
        <v>21</v>
      </c>
    </row>
    <row r="94" spans="2:15">
      <c r="B94" s="4" t="s">
        <v>124</v>
      </c>
      <c r="C94" s="4" t="s">
        <v>130</v>
      </c>
      <c r="D94" s="4" t="s">
        <v>281</v>
      </c>
      <c r="E94" s="4" t="s">
        <v>167</v>
      </c>
      <c r="F94" s="4" t="s">
        <v>126</v>
      </c>
      <c r="G94" s="4">
        <v>101990006</v>
      </c>
      <c r="H94" s="5">
        <v>417</v>
      </c>
      <c r="I94" s="7">
        <v>51.46</v>
      </c>
      <c r="J94" s="7">
        <v>21459</v>
      </c>
      <c r="K94" s="7">
        <v>15741.1965</v>
      </c>
      <c r="L94" s="7">
        <v>5717.8035</v>
      </c>
      <c r="M94" s="8">
        <v>0.26640000000000003</v>
      </c>
      <c r="N94" s="5">
        <v>280</v>
      </c>
      <c r="O94" s="5">
        <v>22</v>
      </c>
    </row>
    <row r="95" spans="2:15">
      <c r="B95" s="4" t="s">
        <v>124</v>
      </c>
      <c r="C95" s="4" t="s">
        <v>125</v>
      </c>
      <c r="D95" s="4" t="s">
        <v>265</v>
      </c>
      <c r="E95" s="4" t="s">
        <v>31</v>
      </c>
      <c r="F95" s="4" t="s">
        <v>126</v>
      </c>
      <c r="G95" s="4">
        <v>101010486</v>
      </c>
      <c r="H95" s="5">
        <v>111</v>
      </c>
      <c r="I95" s="7">
        <v>188</v>
      </c>
      <c r="J95" s="7">
        <v>20868</v>
      </c>
      <c r="K95" s="7">
        <v>10527.906999999999</v>
      </c>
      <c r="L95" s="7">
        <v>10340.093000000001</v>
      </c>
      <c r="M95" s="8">
        <v>0.49540000000000001</v>
      </c>
      <c r="N95" s="5">
        <v>83</v>
      </c>
      <c r="O95" s="5">
        <v>20</v>
      </c>
    </row>
    <row r="96" spans="2:15">
      <c r="B96" s="4" t="s">
        <v>124</v>
      </c>
      <c r="C96" s="4" t="s">
        <v>125</v>
      </c>
      <c r="D96" s="4" t="s">
        <v>322</v>
      </c>
      <c r="E96" s="4" t="s">
        <v>323</v>
      </c>
      <c r="F96" s="4" t="s">
        <v>137</v>
      </c>
      <c r="G96" s="4">
        <v>101020004</v>
      </c>
      <c r="H96" s="5">
        <v>33</v>
      </c>
      <c r="I96" s="7">
        <v>623.03</v>
      </c>
      <c r="J96" s="7">
        <v>20560</v>
      </c>
      <c r="K96" s="7">
        <v>13562.1821</v>
      </c>
      <c r="L96" s="7">
        <v>6997.8179</v>
      </c>
      <c r="M96" s="8">
        <v>0.34029999999999999</v>
      </c>
      <c r="N96" s="5">
        <v>26</v>
      </c>
      <c r="O96" s="5">
        <v>10</v>
      </c>
    </row>
    <row r="97" spans="2:15">
      <c r="B97" s="4" t="s">
        <v>124</v>
      </c>
      <c r="C97" s="4" t="s">
        <v>147</v>
      </c>
      <c r="D97" s="4" t="s">
        <v>229</v>
      </c>
      <c r="E97" s="4" t="s">
        <v>167</v>
      </c>
      <c r="F97" s="4" t="s">
        <v>126</v>
      </c>
      <c r="G97" s="4">
        <v>101010117</v>
      </c>
      <c r="H97" s="5">
        <v>145</v>
      </c>
      <c r="I97" s="7">
        <v>139</v>
      </c>
      <c r="J97" s="7">
        <v>20155</v>
      </c>
      <c r="K97" s="7">
        <v>12264.543299999999</v>
      </c>
      <c r="L97" s="7">
        <v>7890.4566999999997</v>
      </c>
      <c r="M97" s="8">
        <v>0.39140000000000003</v>
      </c>
      <c r="N97" s="5">
        <v>88</v>
      </c>
      <c r="O97" s="5">
        <v>20</v>
      </c>
    </row>
    <row r="98" spans="2:15">
      <c r="B98" s="4" t="s">
        <v>124</v>
      </c>
      <c r="C98" s="4" t="s">
        <v>220</v>
      </c>
      <c r="D98" s="4" t="s">
        <v>221</v>
      </c>
      <c r="E98" s="4" t="s">
        <v>31</v>
      </c>
      <c r="F98" s="4" t="s">
        <v>126</v>
      </c>
      <c r="G98" s="4">
        <v>101010162</v>
      </c>
      <c r="H98" s="5">
        <v>242</v>
      </c>
      <c r="I98" s="7">
        <v>82.96</v>
      </c>
      <c r="J98" s="7">
        <v>20076</v>
      </c>
      <c r="K98" s="7">
        <v>13450.1188</v>
      </c>
      <c r="L98" s="7">
        <v>6625.8811999999998</v>
      </c>
      <c r="M98" s="8">
        <v>0.33</v>
      </c>
      <c r="N98" s="5">
        <v>158</v>
      </c>
      <c r="O98" s="5">
        <v>22</v>
      </c>
    </row>
    <row r="99" spans="2:15">
      <c r="B99" s="4" t="s">
        <v>124</v>
      </c>
      <c r="C99" s="4" t="s">
        <v>125</v>
      </c>
      <c r="D99" s="4" t="s">
        <v>315</v>
      </c>
      <c r="E99" s="4" t="s">
        <v>176</v>
      </c>
      <c r="F99" s="4" t="s">
        <v>126</v>
      </c>
      <c r="G99" s="4">
        <v>101010259</v>
      </c>
      <c r="H99" s="5">
        <v>105</v>
      </c>
      <c r="I99" s="7">
        <v>184.3</v>
      </c>
      <c r="J99" s="7">
        <v>19352</v>
      </c>
      <c r="K99" s="7">
        <v>14417.937599999999</v>
      </c>
      <c r="L99" s="7">
        <v>4934.0623999999998</v>
      </c>
      <c r="M99" s="8">
        <v>0.25490000000000002</v>
      </c>
      <c r="N99" s="5">
        <v>67</v>
      </c>
      <c r="O99" s="5">
        <v>16</v>
      </c>
    </row>
    <row r="100" spans="2:15">
      <c r="B100" s="4" t="s">
        <v>124</v>
      </c>
      <c r="C100" s="4" t="s">
        <v>147</v>
      </c>
      <c r="D100" s="4" t="s">
        <v>248</v>
      </c>
      <c r="E100" s="4" t="s">
        <v>249</v>
      </c>
      <c r="F100" s="4" t="s">
        <v>126</v>
      </c>
      <c r="G100" s="4">
        <v>101010093</v>
      </c>
      <c r="H100" s="5">
        <v>257</v>
      </c>
      <c r="I100" s="7">
        <v>72.739999999999995</v>
      </c>
      <c r="J100" s="7">
        <v>18695</v>
      </c>
      <c r="K100" s="7">
        <v>11784.8148</v>
      </c>
      <c r="L100" s="7">
        <v>6910.1851999999999</v>
      </c>
      <c r="M100" s="8">
        <v>0.36959999999999998</v>
      </c>
      <c r="N100" s="5">
        <v>178</v>
      </c>
      <c r="O100" s="5">
        <v>22</v>
      </c>
    </row>
    <row r="101" spans="2:15">
      <c r="B101" s="4" t="s">
        <v>124</v>
      </c>
      <c r="C101" s="4" t="s">
        <v>125</v>
      </c>
      <c r="D101" s="4" t="s">
        <v>239</v>
      </c>
      <c r="E101" s="4" t="s">
        <v>31</v>
      </c>
      <c r="F101" s="4" t="s">
        <v>126</v>
      </c>
      <c r="G101" s="4">
        <v>101010472</v>
      </c>
      <c r="H101" s="5">
        <v>457</v>
      </c>
      <c r="I101" s="7">
        <v>39.65</v>
      </c>
      <c r="J101" s="7">
        <v>18120</v>
      </c>
      <c r="K101" s="7">
        <v>9567.2775999999994</v>
      </c>
      <c r="L101" s="7">
        <v>8552.7224000000006</v>
      </c>
      <c r="M101" s="8">
        <v>0.47199999999999998</v>
      </c>
      <c r="N101" s="5">
        <v>176</v>
      </c>
      <c r="O101" s="5">
        <v>22</v>
      </c>
    </row>
    <row r="102" spans="2:15">
      <c r="B102" s="4" t="s">
        <v>124</v>
      </c>
      <c r="C102" s="4" t="s">
        <v>125</v>
      </c>
      <c r="D102" s="4" t="s">
        <v>151</v>
      </c>
      <c r="E102" s="4" t="s">
        <v>152</v>
      </c>
      <c r="F102" s="4" t="s">
        <v>126</v>
      </c>
      <c r="G102" s="4">
        <v>101010085</v>
      </c>
      <c r="H102" s="5">
        <v>171</v>
      </c>
      <c r="I102" s="7">
        <v>105.14</v>
      </c>
      <c r="J102" s="7">
        <v>17979</v>
      </c>
      <c r="K102" s="7">
        <v>15297.9845</v>
      </c>
      <c r="L102" s="7">
        <v>2681.0155</v>
      </c>
      <c r="M102" s="8">
        <v>0.14910000000000001</v>
      </c>
      <c r="N102" s="5">
        <v>47</v>
      </c>
      <c r="O102" s="5">
        <v>17</v>
      </c>
    </row>
    <row r="103" spans="2:15">
      <c r="B103" s="4" t="s">
        <v>124</v>
      </c>
      <c r="C103" s="4" t="s">
        <v>236</v>
      </c>
      <c r="D103" s="4" t="s">
        <v>607</v>
      </c>
      <c r="E103" s="4" t="s">
        <v>608</v>
      </c>
      <c r="F103" s="4" t="s">
        <v>126</v>
      </c>
      <c r="G103" s="4">
        <v>101050004</v>
      </c>
      <c r="H103" s="5">
        <v>706</v>
      </c>
      <c r="I103" s="7">
        <v>24.95</v>
      </c>
      <c r="J103" s="7">
        <v>17617</v>
      </c>
      <c r="K103" s="7">
        <v>12611.089099999999</v>
      </c>
      <c r="L103" s="7">
        <v>5005.9108999999999</v>
      </c>
      <c r="M103" s="8">
        <v>0.28410000000000002</v>
      </c>
      <c r="N103" s="5">
        <v>432</v>
      </c>
      <c r="O103" s="5">
        <v>22</v>
      </c>
    </row>
    <row r="104" spans="2:15">
      <c r="B104" s="4" t="s">
        <v>124</v>
      </c>
      <c r="C104" s="4" t="s">
        <v>147</v>
      </c>
      <c r="D104" s="4" t="s">
        <v>303</v>
      </c>
      <c r="E104" s="4" t="s">
        <v>31</v>
      </c>
      <c r="F104" s="4" t="s">
        <v>126</v>
      </c>
      <c r="G104" s="4">
        <v>101010075</v>
      </c>
      <c r="H104" s="5">
        <v>183</v>
      </c>
      <c r="I104" s="7">
        <v>93.85</v>
      </c>
      <c r="J104" s="7">
        <v>17175</v>
      </c>
      <c r="K104" s="7">
        <v>10950.804099999999</v>
      </c>
      <c r="L104" s="7">
        <v>6224.1958999999997</v>
      </c>
      <c r="M104" s="8">
        <v>0.36230000000000001</v>
      </c>
      <c r="N104" s="5">
        <v>106</v>
      </c>
      <c r="O104" s="5">
        <v>20</v>
      </c>
    </row>
    <row r="105" spans="2:15">
      <c r="B105" s="4" t="s">
        <v>124</v>
      </c>
      <c r="C105" s="4" t="s">
        <v>125</v>
      </c>
      <c r="D105" s="4" t="s">
        <v>230</v>
      </c>
      <c r="E105" s="4" t="s">
        <v>86</v>
      </c>
      <c r="F105" s="4" t="s">
        <v>126</v>
      </c>
      <c r="G105" s="4">
        <v>101010009</v>
      </c>
      <c r="H105" s="5">
        <v>170</v>
      </c>
      <c r="I105" s="7">
        <v>97.94</v>
      </c>
      <c r="J105" s="7">
        <v>16650</v>
      </c>
      <c r="K105" s="7">
        <v>10016.1551</v>
      </c>
      <c r="L105" s="7">
        <v>6633.8449000000001</v>
      </c>
      <c r="M105" s="8">
        <v>0.39839999999999998</v>
      </c>
      <c r="N105" s="5">
        <v>110</v>
      </c>
      <c r="O105" s="5">
        <v>21</v>
      </c>
    </row>
    <row r="106" spans="2:15">
      <c r="B106" s="4" t="s">
        <v>124</v>
      </c>
      <c r="C106" s="4" t="s">
        <v>125</v>
      </c>
      <c r="D106" s="4" t="s">
        <v>255</v>
      </c>
      <c r="E106" s="4" t="s">
        <v>31</v>
      </c>
      <c r="F106" s="4" t="s">
        <v>126</v>
      </c>
      <c r="G106" s="4">
        <v>101010108</v>
      </c>
      <c r="H106" s="5">
        <v>355</v>
      </c>
      <c r="I106" s="7">
        <v>46.37</v>
      </c>
      <c r="J106" s="7">
        <v>16463</v>
      </c>
      <c r="K106" s="7">
        <v>13539.417100000001</v>
      </c>
      <c r="L106" s="7">
        <v>2923.5828999999999</v>
      </c>
      <c r="M106" s="8">
        <v>0.17749999999999999</v>
      </c>
      <c r="N106" s="5">
        <v>184</v>
      </c>
      <c r="O106" s="5">
        <v>21</v>
      </c>
    </row>
    <row r="107" spans="2:15">
      <c r="B107" s="4" t="s">
        <v>124</v>
      </c>
      <c r="C107" s="4" t="s">
        <v>127</v>
      </c>
      <c r="D107" s="4" t="s">
        <v>380</v>
      </c>
      <c r="E107" s="4" t="s">
        <v>31</v>
      </c>
      <c r="F107" s="4" t="s">
        <v>126</v>
      </c>
      <c r="G107" s="4">
        <v>101020039</v>
      </c>
      <c r="H107" s="5">
        <v>268</v>
      </c>
      <c r="I107" s="7">
        <v>60.07</v>
      </c>
      <c r="J107" s="7">
        <v>16098</v>
      </c>
      <c r="K107" s="7">
        <v>9342.4218000000001</v>
      </c>
      <c r="L107" s="7">
        <v>6755.5781999999999</v>
      </c>
      <c r="M107" s="8">
        <v>0.41959999999999997</v>
      </c>
      <c r="N107" s="5">
        <v>38</v>
      </c>
      <c r="O107" s="5">
        <v>11</v>
      </c>
    </row>
    <row r="108" spans="2:15">
      <c r="B108" s="4" t="s">
        <v>124</v>
      </c>
      <c r="C108" s="4" t="s">
        <v>147</v>
      </c>
      <c r="D108" s="4" t="s">
        <v>267</v>
      </c>
      <c r="E108" s="4" t="s">
        <v>31</v>
      </c>
      <c r="F108" s="4" t="s">
        <v>126</v>
      </c>
      <c r="G108" s="4">
        <v>101010094</v>
      </c>
      <c r="H108" s="5">
        <v>245</v>
      </c>
      <c r="I108" s="7">
        <v>64.89</v>
      </c>
      <c r="J108" s="7">
        <v>15899</v>
      </c>
      <c r="K108" s="7">
        <v>9277.6857999999993</v>
      </c>
      <c r="L108" s="7">
        <v>6621.3141999999998</v>
      </c>
      <c r="M108" s="8">
        <v>0.41639999999999999</v>
      </c>
      <c r="N108" s="5">
        <v>177</v>
      </c>
      <c r="O108" s="5">
        <v>22</v>
      </c>
    </row>
    <row r="109" spans="2:15">
      <c r="B109" s="4" t="s">
        <v>124</v>
      </c>
      <c r="C109" s="4" t="s">
        <v>220</v>
      </c>
      <c r="D109" s="4" t="s">
        <v>274</v>
      </c>
      <c r="E109" s="4" t="s">
        <v>215</v>
      </c>
      <c r="F109" s="4" t="s">
        <v>126</v>
      </c>
      <c r="G109" s="4">
        <v>101040001</v>
      </c>
      <c r="H109" s="5">
        <v>799</v>
      </c>
      <c r="I109" s="7">
        <v>19.87</v>
      </c>
      <c r="J109" s="7">
        <v>15873</v>
      </c>
      <c r="K109" s="7">
        <v>10735.861999999999</v>
      </c>
      <c r="L109" s="7">
        <v>5137.1379999999999</v>
      </c>
      <c r="M109" s="8">
        <v>0.3236</v>
      </c>
      <c r="N109" s="5">
        <v>412</v>
      </c>
      <c r="O109" s="5">
        <v>22</v>
      </c>
    </row>
    <row r="110" spans="2:15">
      <c r="B110" s="4" t="s">
        <v>124</v>
      </c>
      <c r="C110" s="4" t="s">
        <v>127</v>
      </c>
      <c r="D110" s="4" t="s">
        <v>196</v>
      </c>
      <c r="E110" s="4" t="s">
        <v>31</v>
      </c>
      <c r="F110" s="4" t="s">
        <v>126</v>
      </c>
      <c r="G110" s="4">
        <v>101010474</v>
      </c>
      <c r="H110" s="5">
        <v>36</v>
      </c>
      <c r="I110" s="7">
        <v>413.69</v>
      </c>
      <c r="J110" s="7">
        <v>14893</v>
      </c>
      <c r="K110" s="7">
        <v>7176.0684000000001</v>
      </c>
      <c r="L110" s="7">
        <v>7716.9315999999999</v>
      </c>
      <c r="M110" s="8">
        <v>0.5181</v>
      </c>
      <c r="N110" s="5">
        <v>22</v>
      </c>
      <c r="O110" s="5">
        <v>8</v>
      </c>
    </row>
    <row r="111" spans="2:15">
      <c r="B111" s="4" t="s">
        <v>124</v>
      </c>
      <c r="C111" s="4" t="s">
        <v>125</v>
      </c>
      <c r="D111" s="4" t="s">
        <v>64</v>
      </c>
      <c r="E111" s="4" t="s">
        <v>65</v>
      </c>
      <c r="F111" s="4" t="s">
        <v>126</v>
      </c>
      <c r="G111" s="4">
        <v>101020055</v>
      </c>
      <c r="H111" s="5">
        <v>31</v>
      </c>
      <c r="I111" s="7">
        <v>437.1</v>
      </c>
      <c r="J111" s="7">
        <v>13550</v>
      </c>
      <c r="K111" s="7">
        <v>8243.8631999999998</v>
      </c>
      <c r="L111" s="7">
        <v>5306.1368000000002</v>
      </c>
      <c r="M111" s="8">
        <v>0.39150000000000001</v>
      </c>
      <c r="N111" s="5">
        <v>16</v>
      </c>
      <c r="O111" s="5">
        <v>10</v>
      </c>
    </row>
    <row r="112" spans="2:15">
      <c r="B112" s="4" t="s">
        <v>124</v>
      </c>
      <c r="C112" s="4" t="s">
        <v>125</v>
      </c>
      <c r="D112" s="4" t="s">
        <v>609</v>
      </c>
      <c r="E112" s="4" t="s">
        <v>123</v>
      </c>
      <c r="F112" s="4" t="s">
        <v>126</v>
      </c>
      <c r="G112" s="4">
        <v>101010517</v>
      </c>
      <c r="H112" s="5">
        <v>41</v>
      </c>
      <c r="I112" s="7">
        <v>298</v>
      </c>
      <c r="J112" s="7">
        <v>12218</v>
      </c>
      <c r="K112" s="7">
        <v>8792.9488000000001</v>
      </c>
      <c r="L112" s="7">
        <v>3425.0511999999999</v>
      </c>
      <c r="M112" s="8">
        <v>0.28029999999999999</v>
      </c>
      <c r="N112" s="5">
        <v>25</v>
      </c>
      <c r="O112" s="5">
        <v>15</v>
      </c>
    </row>
    <row r="113" spans="2:15">
      <c r="B113" s="4" t="s">
        <v>124</v>
      </c>
      <c r="C113" s="4" t="s">
        <v>125</v>
      </c>
      <c r="D113" s="4" t="s">
        <v>610</v>
      </c>
      <c r="E113" s="4" t="s">
        <v>123</v>
      </c>
      <c r="F113" s="4" t="s">
        <v>126</v>
      </c>
      <c r="G113" s="4">
        <v>101010516</v>
      </c>
      <c r="H113" s="5">
        <v>62</v>
      </c>
      <c r="I113" s="7">
        <v>195.29</v>
      </c>
      <c r="J113" s="7">
        <v>12108</v>
      </c>
      <c r="K113" s="7">
        <v>8032.2223999999997</v>
      </c>
      <c r="L113" s="7">
        <v>4075.7775999999999</v>
      </c>
      <c r="M113" s="8">
        <v>0.33660000000000001</v>
      </c>
      <c r="N113" s="5">
        <v>32</v>
      </c>
      <c r="O113" s="5">
        <v>16</v>
      </c>
    </row>
    <row r="114" spans="2:15">
      <c r="B114" s="4" t="s">
        <v>124</v>
      </c>
      <c r="C114" s="4" t="s">
        <v>125</v>
      </c>
      <c r="D114" s="4" t="s">
        <v>288</v>
      </c>
      <c r="E114" s="4" t="s">
        <v>31</v>
      </c>
      <c r="F114" s="4" t="s">
        <v>126</v>
      </c>
      <c r="G114" s="4">
        <v>101020020</v>
      </c>
      <c r="H114" s="5">
        <v>116</v>
      </c>
      <c r="I114" s="7">
        <v>99</v>
      </c>
      <c r="J114" s="7">
        <v>11484</v>
      </c>
      <c r="K114" s="7">
        <v>7867.0102999999999</v>
      </c>
      <c r="L114" s="7">
        <v>3616.9897000000001</v>
      </c>
      <c r="M114" s="8">
        <v>0.31490000000000001</v>
      </c>
      <c r="N114" s="5">
        <v>77</v>
      </c>
      <c r="O114" s="5">
        <v>19</v>
      </c>
    </row>
    <row r="115" spans="2:15">
      <c r="B115" s="4" t="s">
        <v>124</v>
      </c>
      <c r="C115" s="4" t="s">
        <v>147</v>
      </c>
      <c r="D115" s="4" t="s">
        <v>301</v>
      </c>
      <c r="E115" s="4" t="s">
        <v>302</v>
      </c>
      <c r="F115" s="4" t="s">
        <v>126</v>
      </c>
      <c r="G115" s="4">
        <v>101030010</v>
      </c>
      <c r="H115" s="5">
        <v>695</v>
      </c>
      <c r="I115" s="7">
        <v>16.05</v>
      </c>
      <c r="J115" s="7">
        <v>11158</v>
      </c>
      <c r="K115" s="7">
        <v>8130.3321999999998</v>
      </c>
      <c r="L115" s="7">
        <v>3027.6678000000002</v>
      </c>
      <c r="M115" s="8">
        <v>0.27129999999999999</v>
      </c>
      <c r="N115" s="5">
        <v>520</v>
      </c>
      <c r="O115" s="5">
        <v>21</v>
      </c>
    </row>
    <row r="116" spans="2:15">
      <c r="B116" s="4" t="s">
        <v>124</v>
      </c>
      <c r="C116" s="4" t="s">
        <v>125</v>
      </c>
      <c r="D116" s="4" t="s">
        <v>278</v>
      </c>
      <c r="E116" s="4" t="s">
        <v>31</v>
      </c>
      <c r="F116" s="4" t="s">
        <v>126</v>
      </c>
      <c r="G116" s="4">
        <v>101010109</v>
      </c>
      <c r="H116" s="5">
        <v>156</v>
      </c>
      <c r="I116" s="7">
        <v>69</v>
      </c>
      <c r="J116" s="7">
        <v>10764</v>
      </c>
      <c r="K116" s="7">
        <v>9331.8528000000006</v>
      </c>
      <c r="L116" s="7">
        <v>1432.1472000000001</v>
      </c>
      <c r="M116" s="8">
        <v>0.13300000000000001</v>
      </c>
      <c r="N116" s="5">
        <v>102</v>
      </c>
      <c r="O116" s="5">
        <v>17</v>
      </c>
    </row>
    <row r="117" spans="2:15">
      <c r="B117" s="4" t="s">
        <v>124</v>
      </c>
      <c r="C117" s="4" t="s">
        <v>147</v>
      </c>
      <c r="D117" s="4" t="s">
        <v>283</v>
      </c>
      <c r="E117" s="4" t="s">
        <v>284</v>
      </c>
      <c r="F117" s="4" t="s">
        <v>137</v>
      </c>
      <c r="G117" s="4">
        <v>101010072</v>
      </c>
      <c r="H117" s="5">
        <v>185</v>
      </c>
      <c r="I117" s="7">
        <v>58.05</v>
      </c>
      <c r="J117" s="7">
        <v>10740</v>
      </c>
      <c r="K117" s="7">
        <v>6451.1614</v>
      </c>
      <c r="L117" s="7">
        <v>4288.8386</v>
      </c>
      <c r="M117" s="8">
        <v>0.39929999999999999</v>
      </c>
      <c r="N117" s="5">
        <v>131</v>
      </c>
      <c r="O117" s="5">
        <v>22</v>
      </c>
    </row>
    <row r="118" spans="2:15">
      <c r="B118" s="4" t="s">
        <v>124</v>
      </c>
      <c r="C118" s="4" t="s">
        <v>125</v>
      </c>
      <c r="D118" s="4" t="s">
        <v>306</v>
      </c>
      <c r="E118" s="4" t="s">
        <v>31</v>
      </c>
      <c r="F118" s="4" t="s">
        <v>126</v>
      </c>
      <c r="G118" s="4">
        <v>101010494</v>
      </c>
      <c r="H118" s="5">
        <v>40</v>
      </c>
      <c r="I118" s="7">
        <v>268</v>
      </c>
      <c r="J118" s="7">
        <v>10720</v>
      </c>
      <c r="K118" s="7">
        <v>7463.3407999999999</v>
      </c>
      <c r="L118" s="7">
        <v>3256.6592000000001</v>
      </c>
      <c r="M118" s="8">
        <v>0.30370000000000003</v>
      </c>
      <c r="N118" s="5">
        <v>28</v>
      </c>
      <c r="O118" s="5">
        <v>13</v>
      </c>
    </row>
    <row r="119" spans="2:15">
      <c r="B119" s="4" t="s">
        <v>124</v>
      </c>
      <c r="C119" s="4" t="s">
        <v>236</v>
      </c>
      <c r="D119" s="4" t="s">
        <v>611</v>
      </c>
      <c r="E119" s="4" t="s">
        <v>31</v>
      </c>
      <c r="F119" s="4" t="s">
        <v>126</v>
      </c>
      <c r="G119" s="4">
        <v>101050015</v>
      </c>
      <c r="H119" s="5">
        <v>68</v>
      </c>
      <c r="I119" s="7">
        <v>152.72</v>
      </c>
      <c r="J119" s="7">
        <v>10385</v>
      </c>
      <c r="K119" s="7">
        <v>8024</v>
      </c>
      <c r="L119" s="7">
        <v>2361</v>
      </c>
      <c r="M119" s="8">
        <v>0.2273</v>
      </c>
      <c r="N119" s="5">
        <v>39</v>
      </c>
      <c r="O119" s="5">
        <v>17</v>
      </c>
    </row>
    <row r="120" spans="2:15">
      <c r="B120" s="4" t="s">
        <v>124</v>
      </c>
      <c r="C120" s="4" t="s">
        <v>236</v>
      </c>
      <c r="D120" s="4" t="s">
        <v>612</v>
      </c>
      <c r="E120" s="4" t="s">
        <v>31</v>
      </c>
      <c r="F120" s="4" t="s">
        <v>126</v>
      </c>
      <c r="G120" s="4">
        <v>101050011</v>
      </c>
      <c r="H120" s="5">
        <v>83</v>
      </c>
      <c r="I120" s="7">
        <v>122.23</v>
      </c>
      <c r="J120" s="7">
        <v>10145</v>
      </c>
      <c r="K120" s="7">
        <v>7421.4560000000001</v>
      </c>
      <c r="L120" s="7">
        <v>2723.5439999999999</v>
      </c>
      <c r="M120" s="8">
        <v>0.26840000000000003</v>
      </c>
      <c r="N120" s="5">
        <v>31</v>
      </c>
      <c r="O120" s="5">
        <v>16</v>
      </c>
    </row>
    <row r="121" spans="2:15">
      <c r="B121" s="4" t="s">
        <v>124</v>
      </c>
      <c r="C121" s="4" t="s">
        <v>147</v>
      </c>
      <c r="D121" s="4" t="s">
        <v>474</v>
      </c>
      <c r="E121" s="4" t="s">
        <v>89</v>
      </c>
      <c r="F121" s="4" t="s">
        <v>126</v>
      </c>
      <c r="G121" s="4">
        <v>101010321</v>
      </c>
      <c r="H121" s="5">
        <v>36</v>
      </c>
      <c r="I121" s="7">
        <v>280</v>
      </c>
      <c r="J121" s="7">
        <v>10080</v>
      </c>
      <c r="K121" s="7">
        <v>7560</v>
      </c>
      <c r="L121" s="7">
        <v>2520</v>
      </c>
      <c r="M121" s="8">
        <v>0.25</v>
      </c>
      <c r="N121" s="5">
        <v>1</v>
      </c>
      <c r="O121" s="5">
        <v>1</v>
      </c>
    </row>
    <row r="122" spans="2:15">
      <c r="B122" s="4" t="s">
        <v>124</v>
      </c>
      <c r="C122" s="4" t="s">
        <v>147</v>
      </c>
      <c r="D122" s="4" t="s">
        <v>481</v>
      </c>
      <c r="E122" s="4" t="s">
        <v>123</v>
      </c>
      <c r="F122" s="4" t="s">
        <v>126</v>
      </c>
      <c r="G122" s="4">
        <v>101030036</v>
      </c>
      <c r="H122" s="5">
        <v>351</v>
      </c>
      <c r="I122" s="7">
        <v>28.02</v>
      </c>
      <c r="J122" s="7">
        <v>9834</v>
      </c>
      <c r="K122" s="7">
        <v>5478.4580999999998</v>
      </c>
      <c r="L122" s="7">
        <v>4355.5419000000002</v>
      </c>
      <c r="M122" s="8">
        <v>0.44290000000000002</v>
      </c>
      <c r="N122" s="5">
        <v>211</v>
      </c>
      <c r="O122" s="5">
        <v>20</v>
      </c>
    </row>
    <row r="123" spans="2:15">
      <c r="B123" s="4" t="s">
        <v>124</v>
      </c>
      <c r="C123" s="4" t="s">
        <v>236</v>
      </c>
      <c r="D123" s="4" t="s">
        <v>613</v>
      </c>
      <c r="E123" s="4" t="s">
        <v>31</v>
      </c>
      <c r="F123" s="4" t="s">
        <v>126</v>
      </c>
      <c r="G123" s="4">
        <v>101050005</v>
      </c>
      <c r="H123" s="5">
        <v>55</v>
      </c>
      <c r="I123" s="7">
        <v>178</v>
      </c>
      <c r="J123" s="7">
        <v>9790</v>
      </c>
      <c r="K123" s="7">
        <v>6999.4757</v>
      </c>
      <c r="L123" s="7">
        <v>2790.5243</v>
      </c>
      <c r="M123" s="8">
        <v>0.28499999999999998</v>
      </c>
      <c r="N123" s="5">
        <v>41</v>
      </c>
      <c r="O123" s="5">
        <v>17</v>
      </c>
    </row>
    <row r="124" spans="2:15">
      <c r="B124" s="4" t="s">
        <v>124</v>
      </c>
      <c r="C124" s="4" t="s">
        <v>236</v>
      </c>
      <c r="D124" s="4" t="s">
        <v>614</v>
      </c>
      <c r="E124" s="4" t="s">
        <v>31</v>
      </c>
      <c r="F124" s="4" t="s">
        <v>126</v>
      </c>
      <c r="G124" s="4">
        <v>101050009</v>
      </c>
      <c r="H124" s="5">
        <v>52</v>
      </c>
      <c r="I124" s="7">
        <v>188</v>
      </c>
      <c r="J124" s="7">
        <v>9776</v>
      </c>
      <c r="K124" s="7">
        <v>6810.5109000000002</v>
      </c>
      <c r="L124" s="7">
        <v>2965.4890999999998</v>
      </c>
      <c r="M124" s="8">
        <v>0.30330000000000001</v>
      </c>
      <c r="N124" s="5">
        <v>41</v>
      </c>
      <c r="O124" s="5">
        <v>16</v>
      </c>
    </row>
    <row r="125" spans="2:15">
      <c r="B125" s="4" t="s">
        <v>124</v>
      </c>
      <c r="C125" s="4" t="s">
        <v>127</v>
      </c>
      <c r="D125" s="4" t="s">
        <v>379</v>
      </c>
      <c r="E125" s="4" t="s">
        <v>31</v>
      </c>
      <c r="F125" s="4" t="s">
        <v>126</v>
      </c>
      <c r="G125" s="4">
        <v>101020111</v>
      </c>
      <c r="H125" s="5">
        <v>36</v>
      </c>
      <c r="I125" s="7">
        <v>269</v>
      </c>
      <c r="J125" s="7">
        <v>9684</v>
      </c>
      <c r="K125" s="7">
        <v>3672</v>
      </c>
      <c r="L125" s="7">
        <v>6012</v>
      </c>
      <c r="M125" s="8">
        <v>0.62080000000000002</v>
      </c>
      <c r="N125" s="5">
        <v>26</v>
      </c>
      <c r="O125" s="5">
        <v>18</v>
      </c>
    </row>
    <row r="126" spans="2:15">
      <c r="B126" s="4" t="s">
        <v>124</v>
      </c>
      <c r="C126" s="4" t="s">
        <v>220</v>
      </c>
      <c r="D126" s="4" t="s">
        <v>242</v>
      </c>
      <c r="E126" s="4" t="s">
        <v>31</v>
      </c>
      <c r="F126" s="4" t="s">
        <v>126</v>
      </c>
      <c r="G126" s="4">
        <v>101010037</v>
      </c>
      <c r="H126" s="5">
        <v>148</v>
      </c>
      <c r="I126" s="7">
        <v>65</v>
      </c>
      <c r="J126" s="7">
        <v>9620</v>
      </c>
      <c r="K126" s="7">
        <v>5796.7698</v>
      </c>
      <c r="L126" s="7">
        <v>3823.2302</v>
      </c>
      <c r="M126" s="8">
        <v>0.39739999999999998</v>
      </c>
      <c r="N126" s="5">
        <v>102</v>
      </c>
      <c r="O126" s="5">
        <v>17</v>
      </c>
    </row>
    <row r="127" spans="2:15">
      <c r="B127" s="4" t="s">
        <v>124</v>
      </c>
      <c r="C127" s="4" t="s">
        <v>236</v>
      </c>
      <c r="D127" s="4" t="s">
        <v>615</v>
      </c>
      <c r="E127" s="4" t="s">
        <v>616</v>
      </c>
      <c r="F127" s="4" t="s">
        <v>126</v>
      </c>
      <c r="G127" s="4">
        <v>101050010</v>
      </c>
      <c r="H127" s="5">
        <v>275</v>
      </c>
      <c r="I127" s="7">
        <v>34.590000000000003</v>
      </c>
      <c r="J127" s="7">
        <v>9513</v>
      </c>
      <c r="K127" s="7">
        <v>6546.4625999999998</v>
      </c>
      <c r="L127" s="7">
        <v>2966.5374000000002</v>
      </c>
      <c r="M127" s="8">
        <v>0.31180000000000002</v>
      </c>
      <c r="N127" s="5">
        <v>133</v>
      </c>
      <c r="O127" s="5">
        <v>20</v>
      </c>
    </row>
    <row r="128" spans="2:15">
      <c r="B128" s="4" t="s">
        <v>124</v>
      </c>
      <c r="C128" s="4" t="s">
        <v>125</v>
      </c>
      <c r="D128" s="4" t="s">
        <v>309</v>
      </c>
      <c r="E128" s="4" t="s">
        <v>31</v>
      </c>
      <c r="F128" s="4" t="s">
        <v>126</v>
      </c>
      <c r="G128" s="4">
        <v>101010084</v>
      </c>
      <c r="H128" s="5">
        <v>214</v>
      </c>
      <c r="I128" s="7">
        <v>42</v>
      </c>
      <c r="J128" s="7">
        <v>8988</v>
      </c>
      <c r="K128" s="7">
        <v>5860.0673999999999</v>
      </c>
      <c r="L128" s="7">
        <v>3127.9326000000001</v>
      </c>
      <c r="M128" s="8">
        <v>0.34799999999999998</v>
      </c>
      <c r="N128" s="5">
        <v>163</v>
      </c>
      <c r="O128" s="5">
        <v>20</v>
      </c>
    </row>
    <row r="129" spans="2:15">
      <c r="B129" s="4" t="s">
        <v>124</v>
      </c>
      <c r="C129" s="4" t="s">
        <v>147</v>
      </c>
      <c r="D129" s="4" t="s">
        <v>276</v>
      </c>
      <c r="E129" s="4" t="s">
        <v>277</v>
      </c>
      <c r="F129" s="4" t="s">
        <v>126</v>
      </c>
      <c r="G129" s="4">
        <v>101010156</v>
      </c>
      <c r="H129" s="5">
        <v>1503</v>
      </c>
      <c r="I129" s="7">
        <v>5.9</v>
      </c>
      <c r="J129" s="7">
        <v>8867.2999999999993</v>
      </c>
      <c r="K129" s="7">
        <v>5690.5024999999996</v>
      </c>
      <c r="L129" s="7">
        <v>3176.7975000000001</v>
      </c>
      <c r="M129" s="8">
        <v>0.35820000000000002</v>
      </c>
      <c r="N129" s="5">
        <v>541</v>
      </c>
      <c r="O129" s="5">
        <v>22</v>
      </c>
    </row>
    <row r="130" spans="2:15">
      <c r="B130" s="4" t="s">
        <v>124</v>
      </c>
      <c r="C130" s="4" t="s">
        <v>147</v>
      </c>
      <c r="D130" s="4" t="s">
        <v>516</v>
      </c>
      <c r="E130" s="4" t="s">
        <v>176</v>
      </c>
      <c r="F130" s="4" t="s">
        <v>126</v>
      </c>
      <c r="G130" s="4">
        <v>101030045</v>
      </c>
      <c r="H130" s="5">
        <v>353</v>
      </c>
      <c r="I130" s="7">
        <v>24.03</v>
      </c>
      <c r="J130" s="7">
        <v>8484</v>
      </c>
      <c r="K130" s="7">
        <v>5433.491</v>
      </c>
      <c r="L130" s="7">
        <v>3050.509</v>
      </c>
      <c r="M130" s="8">
        <v>0.35949999999999999</v>
      </c>
      <c r="N130" s="5">
        <v>217</v>
      </c>
      <c r="O130" s="5">
        <v>22</v>
      </c>
    </row>
    <row r="131" spans="2:15">
      <c r="B131" s="4" t="s">
        <v>124</v>
      </c>
      <c r="C131" s="4" t="s">
        <v>125</v>
      </c>
      <c r="D131" s="4" t="s">
        <v>296</v>
      </c>
      <c r="E131" s="4" t="s">
        <v>31</v>
      </c>
      <c r="F131" s="4" t="s">
        <v>126</v>
      </c>
      <c r="G131" s="4">
        <v>101010466</v>
      </c>
      <c r="H131" s="5">
        <v>37</v>
      </c>
      <c r="I131" s="7">
        <v>224.76</v>
      </c>
      <c r="J131" s="7">
        <v>8316</v>
      </c>
      <c r="K131" s="7">
        <v>5656.8267999999998</v>
      </c>
      <c r="L131" s="7">
        <v>2659.1732000000002</v>
      </c>
      <c r="M131" s="8">
        <v>0.31969999999999998</v>
      </c>
      <c r="N131" s="5">
        <v>23</v>
      </c>
      <c r="O131" s="5">
        <v>13</v>
      </c>
    </row>
    <row r="132" spans="2:15">
      <c r="B132" s="4" t="s">
        <v>124</v>
      </c>
      <c r="C132" s="4" t="s">
        <v>236</v>
      </c>
      <c r="D132" s="4" t="s">
        <v>617</v>
      </c>
      <c r="E132" s="4" t="s">
        <v>31</v>
      </c>
      <c r="F132" s="4" t="s">
        <v>126</v>
      </c>
      <c r="G132" s="4">
        <v>101050008</v>
      </c>
      <c r="H132" s="5">
        <v>28</v>
      </c>
      <c r="I132" s="7">
        <v>294.14</v>
      </c>
      <c r="J132" s="7">
        <v>8236</v>
      </c>
      <c r="K132" s="7">
        <v>6533.415</v>
      </c>
      <c r="L132" s="7">
        <v>1702.585</v>
      </c>
      <c r="M132" s="8">
        <v>0.20669999999999999</v>
      </c>
      <c r="N132" s="5">
        <v>17</v>
      </c>
      <c r="O132" s="5">
        <v>11</v>
      </c>
    </row>
    <row r="133" spans="2:15">
      <c r="B133" s="4" t="s">
        <v>124</v>
      </c>
      <c r="C133" s="4" t="s">
        <v>125</v>
      </c>
      <c r="D133" s="4" t="s">
        <v>184</v>
      </c>
      <c r="E133" s="4" t="s">
        <v>31</v>
      </c>
      <c r="F133" s="4" t="s">
        <v>126</v>
      </c>
      <c r="G133" s="4">
        <v>101010008</v>
      </c>
      <c r="H133" s="5">
        <v>15</v>
      </c>
      <c r="I133" s="7">
        <v>516</v>
      </c>
      <c r="J133" s="7">
        <v>7740</v>
      </c>
      <c r="K133" s="7">
        <v>5152.3217000000004</v>
      </c>
      <c r="L133" s="7">
        <v>2587.6783</v>
      </c>
      <c r="M133" s="8">
        <v>0.33429999999999999</v>
      </c>
      <c r="N133" s="5">
        <v>5</v>
      </c>
      <c r="O133" s="5">
        <v>3</v>
      </c>
    </row>
    <row r="134" spans="2:15">
      <c r="B134" s="4" t="s">
        <v>124</v>
      </c>
      <c r="C134" s="4" t="s">
        <v>125</v>
      </c>
      <c r="D134" s="4" t="s">
        <v>334</v>
      </c>
      <c r="E134" s="4" t="s">
        <v>335</v>
      </c>
      <c r="F134" s="4" t="s">
        <v>126</v>
      </c>
      <c r="G134" s="4">
        <v>101010450</v>
      </c>
      <c r="H134" s="5">
        <v>1409</v>
      </c>
      <c r="I134" s="7">
        <v>5.34</v>
      </c>
      <c r="J134" s="7">
        <v>7519</v>
      </c>
      <c r="K134" s="7">
        <v>5773.3860999999997</v>
      </c>
      <c r="L134" s="7">
        <v>1745.6139000000001</v>
      </c>
      <c r="M134" s="8">
        <v>0.2321</v>
      </c>
      <c r="N134" s="5">
        <v>444</v>
      </c>
      <c r="O134" s="5">
        <v>22</v>
      </c>
    </row>
    <row r="135" spans="2:15">
      <c r="B135" s="4" t="s">
        <v>124</v>
      </c>
      <c r="C135" s="4" t="s">
        <v>236</v>
      </c>
      <c r="D135" s="4" t="s">
        <v>618</v>
      </c>
      <c r="E135" s="4" t="s">
        <v>31</v>
      </c>
      <c r="F135" s="4" t="s">
        <v>126</v>
      </c>
      <c r="G135" s="4">
        <v>101050007</v>
      </c>
      <c r="H135" s="5">
        <v>92</v>
      </c>
      <c r="I135" s="7">
        <v>57.89</v>
      </c>
      <c r="J135" s="7">
        <v>5326</v>
      </c>
      <c r="K135" s="7">
        <v>4113.7592000000004</v>
      </c>
      <c r="L135" s="7">
        <v>1212.2408</v>
      </c>
      <c r="M135" s="8">
        <v>0.2276</v>
      </c>
      <c r="N135" s="5">
        <v>55</v>
      </c>
      <c r="O135" s="5">
        <v>16</v>
      </c>
    </row>
    <row r="136" spans="2:15">
      <c r="B136" s="4" t="s">
        <v>124</v>
      </c>
      <c r="C136" s="4" t="s">
        <v>127</v>
      </c>
      <c r="D136" s="4" t="s">
        <v>326</v>
      </c>
      <c r="E136" s="4" t="s">
        <v>31</v>
      </c>
      <c r="F136" s="4" t="s">
        <v>126</v>
      </c>
      <c r="G136" s="4">
        <v>101020125</v>
      </c>
      <c r="H136" s="5">
        <v>12</v>
      </c>
      <c r="I136" s="7">
        <v>388</v>
      </c>
      <c r="J136" s="7">
        <v>4656</v>
      </c>
      <c r="K136" s="7">
        <v>2496</v>
      </c>
      <c r="L136" s="7">
        <v>2160</v>
      </c>
      <c r="M136" s="8">
        <v>0.46389999999999998</v>
      </c>
      <c r="N136" s="5">
        <v>9</v>
      </c>
      <c r="O136" s="5">
        <v>8</v>
      </c>
    </row>
    <row r="137" spans="2:15">
      <c r="B137" s="4" t="s">
        <v>124</v>
      </c>
      <c r="C137" s="4" t="s">
        <v>236</v>
      </c>
      <c r="D137" s="4" t="s">
        <v>619</v>
      </c>
      <c r="E137" s="4" t="s">
        <v>31</v>
      </c>
      <c r="F137" s="4" t="s">
        <v>126</v>
      </c>
      <c r="G137" s="4">
        <v>101050016</v>
      </c>
      <c r="H137" s="5">
        <v>16</v>
      </c>
      <c r="I137" s="7">
        <v>288</v>
      </c>
      <c r="J137" s="7">
        <v>4608</v>
      </c>
      <c r="K137" s="7">
        <v>3264</v>
      </c>
      <c r="L137" s="7">
        <v>1344</v>
      </c>
      <c r="M137" s="8">
        <v>0.29160000000000003</v>
      </c>
      <c r="N137" s="5">
        <v>12</v>
      </c>
      <c r="O137" s="5">
        <v>10</v>
      </c>
    </row>
    <row r="138" spans="2:15">
      <c r="B138" s="4" t="s">
        <v>124</v>
      </c>
      <c r="C138" s="4" t="s">
        <v>147</v>
      </c>
      <c r="D138" s="4" t="s">
        <v>381</v>
      </c>
      <c r="E138" s="4" t="s">
        <v>176</v>
      </c>
      <c r="F138" s="4" t="s">
        <v>126</v>
      </c>
      <c r="G138" s="4">
        <v>101010146</v>
      </c>
      <c r="H138" s="5">
        <v>291</v>
      </c>
      <c r="I138" s="7">
        <v>14</v>
      </c>
      <c r="J138" s="7">
        <v>4074</v>
      </c>
      <c r="K138" s="7">
        <v>3343.2611999999999</v>
      </c>
      <c r="L138" s="7">
        <v>730.73879999999997</v>
      </c>
      <c r="M138" s="8">
        <v>0.17929999999999999</v>
      </c>
      <c r="N138" s="5">
        <v>155</v>
      </c>
      <c r="O138" s="5">
        <v>20</v>
      </c>
    </row>
    <row r="139" spans="2:15">
      <c r="B139" s="4" t="s">
        <v>124</v>
      </c>
      <c r="C139" s="4" t="s">
        <v>125</v>
      </c>
      <c r="D139" s="4" t="s">
        <v>402</v>
      </c>
      <c r="E139" s="4" t="s">
        <v>176</v>
      </c>
      <c r="F139" s="4" t="s">
        <v>126</v>
      </c>
      <c r="G139" s="4">
        <v>101010451</v>
      </c>
      <c r="H139" s="5">
        <v>228</v>
      </c>
      <c r="I139" s="7">
        <v>14.98</v>
      </c>
      <c r="J139" s="7">
        <v>3415</v>
      </c>
      <c r="K139" s="7">
        <v>1775.8090999999999</v>
      </c>
      <c r="L139" s="7">
        <v>1639.1909000000001</v>
      </c>
      <c r="M139" s="8">
        <v>0.47989999999999999</v>
      </c>
      <c r="N139" s="5">
        <v>141</v>
      </c>
      <c r="O139" s="5">
        <v>21</v>
      </c>
    </row>
    <row r="140" spans="2:15">
      <c r="B140" s="4" t="s">
        <v>124</v>
      </c>
      <c r="C140" s="4" t="s">
        <v>418</v>
      </c>
      <c r="D140" s="4" t="s">
        <v>419</v>
      </c>
      <c r="E140" s="4" t="s">
        <v>284</v>
      </c>
      <c r="F140" s="4" t="s">
        <v>126</v>
      </c>
      <c r="G140" s="4">
        <v>101010228</v>
      </c>
      <c r="H140" s="5">
        <v>90</v>
      </c>
      <c r="I140" s="7">
        <v>28.84</v>
      </c>
      <c r="J140" s="7">
        <v>2596</v>
      </c>
      <c r="K140" s="7">
        <v>3108.0176000000001</v>
      </c>
      <c r="L140" s="7">
        <v>-512.01760000000002</v>
      </c>
      <c r="M140" s="8">
        <v>-0.19719999999999999</v>
      </c>
      <c r="N140" s="5">
        <v>32</v>
      </c>
      <c r="O140" s="5">
        <v>18</v>
      </c>
    </row>
    <row r="141" spans="2:15">
      <c r="B141" s="4" t="s">
        <v>124</v>
      </c>
      <c r="C141" s="4" t="s">
        <v>127</v>
      </c>
      <c r="D141" s="4" t="s">
        <v>354</v>
      </c>
      <c r="E141" s="4" t="s">
        <v>31</v>
      </c>
      <c r="F141" s="4" t="s">
        <v>126</v>
      </c>
      <c r="G141" s="4">
        <v>101020038</v>
      </c>
      <c r="H141" s="5">
        <v>19</v>
      </c>
      <c r="I141" s="7">
        <v>131.84</v>
      </c>
      <c r="J141" s="7">
        <v>2505</v>
      </c>
      <c r="K141" s="7">
        <v>1040.7672</v>
      </c>
      <c r="L141" s="7">
        <v>1464.2328</v>
      </c>
      <c r="M141" s="8">
        <v>0.58450000000000002</v>
      </c>
      <c r="N141" s="5">
        <v>15</v>
      </c>
      <c r="O141" s="5">
        <v>7</v>
      </c>
    </row>
    <row r="142" spans="2:15">
      <c r="B142" s="4" t="s">
        <v>124</v>
      </c>
      <c r="C142" s="4" t="s">
        <v>236</v>
      </c>
      <c r="D142" s="4" t="s">
        <v>620</v>
      </c>
      <c r="E142" s="4" t="s">
        <v>31</v>
      </c>
      <c r="F142" s="4" t="s">
        <v>126</v>
      </c>
      <c r="G142" s="4">
        <v>101050006</v>
      </c>
      <c r="H142" s="5">
        <v>14</v>
      </c>
      <c r="I142" s="7">
        <v>168</v>
      </c>
      <c r="J142" s="7">
        <v>2352</v>
      </c>
      <c r="K142" s="7">
        <v>1915.4870000000001</v>
      </c>
      <c r="L142" s="7">
        <v>436.51299999999998</v>
      </c>
      <c r="M142" s="8">
        <v>0.1855</v>
      </c>
      <c r="N142" s="5">
        <v>11</v>
      </c>
      <c r="O142" s="5">
        <v>9</v>
      </c>
    </row>
    <row r="143" spans="2:15">
      <c r="B143" s="4" t="s">
        <v>124</v>
      </c>
      <c r="C143" s="4" t="s">
        <v>127</v>
      </c>
      <c r="D143" s="4" t="s">
        <v>405</v>
      </c>
      <c r="E143" s="4" t="s">
        <v>31</v>
      </c>
      <c r="F143" s="4" t="s">
        <v>126</v>
      </c>
      <c r="G143" s="4">
        <v>101020112</v>
      </c>
      <c r="H143" s="5">
        <v>5</v>
      </c>
      <c r="I143" s="7">
        <v>369</v>
      </c>
      <c r="J143" s="7">
        <v>1845</v>
      </c>
      <c r="K143" s="7">
        <v>675</v>
      </c>
      <c r="L143" s="7">
        <v>1170</v>
      </c>
      <c r="M143" s="8">
        <v>0.6341</v>
      </c>
      <c r="N143" s="5">
        <v>4</v>
      </c>
      <c r="O143" s="5">
        <v>3</v>
      </c>
    </row>
    <row r="144" spans="2:15">
      <c r="B144" s="4" t="s">
        <v>124</v>
      </c>
      <c r="C144" s="4" t="s">
        <v>125</v>
      </c>
      <c r="D144" s="4" t="s">
        <v>289</v>
      </c>
      <c r="E144" s="4" t="s">
        <v>290</v>
      </c>
      <c r="F144" s="4" t="s">
        <v>126</v>
      </c>
      <c r="G144" s="4">
        <v>101010445</v>
      </c>
      <c r="H144" s="5">
        <v>20</v>
      </c>
      <c r="I144" s="7">
        <v>68</v>
      </c>
      <c r="J144" s="7">
        <v>1360</v>
      </c>
      <c r="K144" s="7">
        <v>839.98979999999995</v>
      </c>
      <c r="L144" s="7">
        <v>520.01020000000005</v>
      </c>
      <c r="M144" s="8">
        <v>0.38229999999999997</v>
      </c>
      <c r="N144" s="5">
        <v>5</v>
      </c>
      <c r="O144" s="5">
        <v>1</v>
      </c>
    </row>
    <row r="145" spans="2:15">
      <c r="B145" s="4" t="s">
        <v>124</v>
      </c>
      <c r="C145" s="4" t="s">
        <v>127</v>
      </c>
      <c r="D145" s="4" t="s">
        <v>367</v>
      </c>
      <c r="E145" s="4" t="s">
        <v>31</v>
      </c>
      <c r="F145" s="4" t="s">
        <v>126</v>
      </c>
      <c r="G145" s="4">
        <v>101020113</v>
      </c>
      <c r="H145" s="5">
        <v>2</v>
      </c>
      <c r="I145" s="7">
        <v>599</v>
      </c>
      <c r="J145" s="7">
        <v>1198</v>
      </c>
      <c r="K145" s="7">
        <v>350</v>
      </c>
      <c r="L145" s="7">
        <v>848</v>
      </c>
      <c r="M145" s="8">
        <v>0.70779999999999998</v>
      </c>
      <c r="N145" s="5">
        <v>2</v>
      </c>
      <c r="O145" s="5">
        <v>2</v>
      </c>
    </row>
    <row r="146" spans="2:15" ht="409.6" hidden="1" customHeight="1"/>
    <row r="147" spans="2:15" ht="5.0999999999999996" customHeight="1"/>
  </sheetData>
  <autoFilter ref="B2:O145" xr:uid="{00000000-0009-0000-0000-000003000000}">
    <sortState ref="B3:O145">
      <sortCondition descending="1" ref="J2"/>
    </sortState>
  </autoFilter>
  <phoneticPr fontId="35" type="noConversion"/>
  <pageMargins left="0.75" right="0.75" top="1" bottom="1" header="0.51" footer="0.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111"/>
  <sheetViews>
    <sheetView topLeftCell="A2" zoomScaleSheetLayoutView="100" workbookViewId="0">
      <selection activeCell="H3" sqref="H3"/>
    </sheetView>
  </sheetViews>
  <sheetFormatPr defaultRowHeight="13.5"/>
  <cols>
    <col min="1" max="1" width="0.125" style="1" customWidth="1"/>
    <col min="2" max="2" width="14.375" style="1" customWidth="1"/>
    <col min="3" max="3" width="22.5" style="1" customWidth="1"/>
    <col min="4" max="4" width="42.375" style="1" customWidth="1"/>
    <col min="5" max="5" width="13.5" style="1" customWidth="1"/>
    <col min="6" max="6" width="10.25" style="1" customWidth="1"/>
    <col min="7" max="13" width="13.5" style="1" customWidth="1"/>
    <col min="14" max="14" width="15.625" style="1" customWidth="1"/>
    <col min="15" max="15" width="15.5" style="1" customWidth="1"/>
    <col min="16" max="16384" width="9" style="1"/>
  </cols>
  <sheetData>
    <row r="1" spans="2:15" ht="0.4" customHeight="1"/>
    <row r="2" spans="2:15" ht="16.5">
      <c r="B2" s="2" t="s">
        <v>112</v>
      </c>
      <c r="C2" s="2" t="s">
        <v>113</v>
      </c>
      <c r="D2" s="2" t="s">
        <v>5</v>
      </c>
      <c r="E2" s="2" t="s">
        <v>6</v>
      </c>
      <c r="F2" s="2" t="s">
        <v>114</v>
      </c>
      <c r="G2" s="2" t="s">
        <v>4</v>
      </c>
      <c r="H2" s="2" t="s">
        <v>115</v>
      </c>
      <c r="I2" s="2" t="s">
        <v>116</v>
      </c>
      <c r="J2" s="2" t="s">
        <v>117</v>
      </c>
      <c r="K2" s="2" t="s">
        <v>118</v>
      </c>
      <c r="L2" s="2" t="s">
        <v>119</v>
      </c>
      <c r="M2" s="2" t="s">
        <v>120</v>
      </c>
      <c r="N2" s="2" t="s">
        <v>121</v>
      </c>
      <c r="O2" s="2" t="s">
        <v>122</v>
      </c>
    </row>
    <row r="3" spans="2:15">
      <c r="B3" s="3" t="s">
        <v>123</v>
      </c>
      <c r="C3" s="3" t="s">
        <v>123</v>
      </c>
      <c r="D3" s="3" t="s">
        <v>123</v>
      </c>
      <c r="E3" s="3" t="s">
        <v>123</v>
      </c>
      <c r="F3" s="3" t="s">
        <v>123</v>
      </c>
      <c r="G3" s="3" t="s">
        <v>123</v>
      </c>
      <c r="H3" s="3">
        <v>27695</v>
      </c>
      <c r="I3" s="6">
        <v>159.69689835133801</v>
      </c>
      <c r="J3" s="6">
        <v>4422805.5999999996</v>
      </c>
      <c r="K3" s="6">
        <v>3871153.1501000002</v>
      </c>
      <c r="L3" s="6">
        <v>551652.44990000001</v>
      </c>
      <c r="M3" s="3" t="s">
        <v>123</v>
      </c>
      <c r="N3" s="3" t="s">
        <v>123</v>
      </c>
      <c r="O3" s="3">
        <v>755</v>
      </c>
    </row>
    <row r="4" spans="2:15">
      <c r="B4" s="4" t="s">
        <v>124</v>
      </c>
      <c r="C4" s="4" t="s">
        <v>127</v>
      </c>
      <c r="D4" s="4" t="s">
        <v>128</v>
      </c>
      <c r="E4" s="4" t="s">
        <v>31</v>
      </c>
      <c r="F4" s="4" t="s">
        <v>126</v>
      </c>
      <c r="G4" s="4">
        <v>101010185</v>
      </c>
      <c r="H4" s="5">
        <v>750</v>
      </c>
      <c r="I4" s="7">
        <v>1535.8</v>
      </c>
      <c r="J4" s="7">
        <v>1151853</v>
      </c>
      <c r="K4" s="7">
        <v>1031076.0857000001</v>
      </c>
      <c r="L4" s="7">
        <v>120776.9143</v>
      </c>
      <c r="M4" s="8">
        <v>0.1048</v>
      </c>
      <c r="N4" s="5">
        <v>157</v>
      </c>
      <c r="O4" s="5">
        <v>8</v>
      </c>
    </row>
    <row r="5" spans="2:15">
      <c r="B5" s="4" t="s">
        <v>124</v>
      </c>
      <c r="C5" s="4" t="s">
        <v>125</v>
      </c>
      <c r="D5" s="4" t="s">
        <v>108</v>
      </c>
      <c r="E5" s="4" t="s">
        <v>86</v>
      </c>
      <c r="F5" s="4" t="s">
        <v>126</v>
      </c>
      <c r="G5" s="4">
        <v>101010255</v>
      </c>
      <c r="H5" s="5">
        <v>3615</v>
      </c>
      <c r="I5" s="7">
        <v>121.45</v>
      </c>
      <c r="J5" s="7">
        <v>439031</v>
      </c>
      <c r="K5" s="7">
        <v>418252.33120000002</v>
      </c>
      <c r="L5" s="7">
        <v>20778.668799999999</v>
      </c>
      <c r="M5" s="8">
        <v>4.7300000000000002E-2</v>
      </c>
      <c r="N5" s="5">
        <v>1126</v>
      </c>
      <c r="O5" s="5">
        <v>12</v>
      </c>
    </row>
    <row r="6" spans="2:15">
      <c r="B6" s="4" t="s">
        <v>124</v>
      </c>
      <c r="C6" s="4" t="s">
        <v>125</v>
      </c>
      <c r="D6" s="4" t="s">
        <v>84</v>
      </c>
      <c r="E6" s="4" t="s">
        <v>31</v>
      </c>
      <c r="F6" s="4" t="s">
        <v>126</v>
      </c>
      <c r="G6" s="4">
        <v>101010001</v>
      </c>
      <c r="H6" s="5">
        <v>470</v>
      </c>
      <c r="I6" s="7">
        <v>867.72</v>
      </c>
      <c r="J6" s="7">
        <v>407828</v>
      </c>
      <c r="K6" s="7">
        <v>384679.31559999997</v>
      </c>
      <c r="L6" s="7">
        <v>23148.684399999998</v>
      </c>
      <c r="M6" s="8">
        <v>5.67E-2</v>
      </c>
      <c r="N6" s="5">
        <v>85</v>
      </c>
      <c r="O6" s="5">
        <v>9</v>
      </c>
    </row>
    <row r="7" spans="2:15">
      <c r="B7" s="4" t="s">
        <v>124</v>
      </c>
      <c r="C7" s="4" t="s">
        <v>124</v>
      </c>
      <c r="D7" s="4" t="s">
        <v>621</v>
      </c>
      <c r="E7" s="4" t="s">
        <v>31</v>
      </c>
      <c r="F7" s="4" t="s">
        <v>126</v>
      </c>
      <c r="G7" s="4">
        <v>101020077</v>
      </c>
      <c r="H7" s="5">
        <v>762</v>
      </c>
      <c r="I7" s="7">
        <v>282.60000000000002</v>
      </c>
      <c r="J7" s="7">
        <v>215344</v>
      </c>
      <c r="K7" s="7">
        <v>198183.06649999999</v>
      </c>
      <c r="L7" s="7">
        <v>17160.933499999999</v>
      </c>
      <c r="M7" s="8">
        <v>7.9600000000000004E-2</v>
      </c>
      <c r="N7" s="5">
        <v>222</v>
      </c>
      <c r="O7" s="5">
        <v>9</v>
      </c>
    </row>
    <row r="8" spans="2:15">
      <c r="B8" s="4" t="s">
        <v>124</v>
      </c>
      <c r="C8" s="4" t="s">
        <v>125</v>
      </c>
      <c r="D8" s="4" t="s">
        <v>622</v>
      </c>
      <c r="E8" s="4" t="s">
        <v>123</v>
      </c>
      <c r="F8" s="4" t="s">
        <v>126</v>
      </c>
      <c r="G8" s="4">
        <v>101020074</v>
      </c>
      <c r="H8" s="5">
        <v>613</v>
      </c>
      <c r="I8" s="7">
        <v>289.37</v>
      </c>
      <c r="J8" s="7">
        <v>177384</v>
      </c>
      <c r="K8" s="7">
        <v>167278.16630000001</v>
      </c>
      <c r="L8" s="7">
        <v>10105.833699999999</v>
      </c>
      <c r="M8" s="8">
        <v>5.6899999999999999E-2</v>
      </c>
      <c r="N8" s="5">
        <v>178</v>
      </c>
      <c r="O8" s="5">
        <v>11</v>
      </c>
    </row>
    <row r="9" spans="2:15">
      <c r="B9" s="4" t="s">
        <v>124</v>
      </c>
      <c r="C9" s="4" t="s">
        <v>125</v>
      </c>
      <c r="D9" s="4" t="s">
        <v>129</v>
      </c>
      <c r="E9" s="4" t="s">
        <v>31</v>
      </c>
      <c r="F9" s="4" t="s">
        <v>126</v>
      </c>
      <c r="G9" s="4">
        <v>101010139</v>
      </c>
      <c r="H9" s="5">
        <v>179</v>
      </c>
      <c r="I9" s="7">
        <v>869.92</v>
      </c>
      <c r="J9" s="7">
        <v>155715</v>
      </c>
      <c r="K9" s="7">
        <v>145405.27530000001</v>
      </c>
      <c r="L9" s="7">
        <v>10309.724700000001</v>
      </c>
      <c r="M9" s="8">
        <v>6.6199999999999995E-2</v>
      </c>
      <c r="N9" s="5">
        <v>19</v>
      </c>
      <c r="O9" s="5">
        <v>7</v>
      </c>
    </row>
    <row r="10" spans="2:15">
      <c r="B10" s="4" t="s">
        <v>124</v>
      </c>
      <c r="C10" s="4" t="s">
        <v>125</v>
      </c>
      <c r="D10" s="4" t="s">
        <v>623</v>
      </c>
      <c r="E10" s="4" t="s">
        <v>123</v>
      </c>
      <c r="F10" s="4" t="s">
        <v>137</v>
      </c>
      <c r="G10" s="4">
        <v>101020071</v>
      </c>
      <c r="H10" s="5">
        <v>1510</v>
      </c>
      <c r="I10" s="7">
        <v>89.21</v>
      </c>
      <c r="J10" s="7">
        <v>134708</v>
      </c>
      <c r="K10" s="7">
        <v>122867.2353</v>
      </c>
      <c r="L10" s="7">
        <v>11840.7647</v>
      </c>
      <c r="M10" s="8">
        <v>8.7800000000000003E-2</v>
      </c>
      <c r="N10" s="5">
        <v>443</v>
      </c>
      <c r="O10" s="5">
        <v>12</v>
      </c>
    </row>
    <row r="11" spans="2:15">
      <c r="B11" s="4" t="s">
        <v>124</v>
      </c>
      <c r="C11" s="4" t="s">
        <v>125</v>
      </c>
      <c r="D11" s="4" t="s">
        <v>624</v>
      </c>
      <c r="E11" s="4" t="s">
        <v>123</v>
      </c>
      <c r="F11" s="4" t="s">
        <v>126</v>
      </c>
      <c r="G11" s="4">
        <v>101020073</v>
      </c>
      <c r="H11" s="5">
        <v>330</v>
      </c>
      <c r="I11" s="7">
        <v>393.72</v>
      </c>
      <c r="J11" s="7">
        <v>129929</v>
      </c>
      <c r="K11" s="7">
        <v>122972.2107</v>
      </c>
      <c r="L11" s="7">
        <v>6956.7893000000004</v>
      </c>
      <c r="M11" s="8">
        <v>5.3499999999999999E-2</v>
      </c>
      <c r="N11" s="5">
        <v>105</v>
      </c>
      <c r="O11" s="5">
        <v>9</v>
      </c>
    </row>
    <row r="12" spans="2:15">
      <c r="B12" s="4" t="s">
        <v>124</v>
      </c>
      <c r="C12" s="4" t="s">
        <v>125</v>
      </c>
      <c r="D12" s="4" t="s">
        <v>144</v>
      </c>
      <c r="E12" s="4" t="s">
        <v>31</v>
      </c>
      <c r="F12" s="4" t="s">
        <v>126</v>
      </c>
      <c r="G12" s="4">
        <v>101010495</v>
      </c>
      <c r="H12" s="5">
        <v>311</v>
      </c>
      <c r="I12" s="7">
        <v>317.11</v>
      </c>
      <c r="J12" s="7">
        <v>98621</v>
      </c>
      <c r="K12" s="7">
        <v>83322.827000000005</v>
      </c>
      <c r="L12" s="7">
        <v>15298.173000000001</v>
      </c>
      <c r="M12" s="8">
        <v>0.15509999999999999</v>
      </c>
      <c r="N12" s="5">
        <v>48</v>
      </c>
      <c r="O12" s="5">
        <v>8</v>
      </c>
    </row>
    <row r="13" spans="2:15">
      <c r="B13" s="4" t="s">
        <v>124</v>
      </c>
      <c r="C13" s="4" t="s">
        <v>125</v>
      </c>
      <c r="D13" s="4" t="s">
        <v>33</v>
      </c>
      <c r="E13" s="4" t="s">
        <v>31</v>
      </c>
      <c r="F13" s="4" t="s">
        <v>126</v>
      </c>
      <c r="G13" s="4">
        <v>101010099</v>
      </c>
      <c r="H13" s="5">
        <v>113</v>
      </c>
      <c r="I13" s="7">
        <v>831.88</v>
      </c>
      <c r="J13" s="7">
        <v>94002</v>
      </c>
      <c r="K13" s="7">
        <v>83302.899999999994</v>
      </c>
      <c r="L13" s="7">
        <v>10699.1</v>
      </c>
      <c r="M13" s="8">
        <v>0.1138</v>
      </c>
      <c r="N13" s="5">
        <v>19</v>
      </c>
      <c r="O13" s="5">
        <v>7</v>
      </c>
    </row>
    <row r="14" spans="2:15">
      <c r="B14" s="4" t="s">
        <v>124</v>
      </c>
      <c r="C14" s="4" t="s">
        <v>124</v>
      </c>
      <c r="D14" s="4" t="s">
        <v>625</v>
      </c>
      <c r="E14" s="4" t="s">
        <v>123</v>
      </c>
      <c r="F14" s="4" t="s">
        <v>126</v>
      </c>
      <c r="G14" s="4">
        <v>101020072</v>
      </c>
      <c r="H14" s="5">
        <v>216</v>
      </c>
      <c r="I14" s="7">
        <v>416.53</v>
      </c>
      <c r="J14" s="7">
        <v>89970</v>
      </c>
      <c r="K14" s="7">
        <v>83118.749500000005</v>
      </c>
      <c r="L14" s="7">
        <v>6851.2505000000001</v>
      </c>
      <c r="M14" s="8">
        <v>7.6100000000000001E-2</v>
      </c>
      <c r="N14" s="5">
        <v>56</v>
      </c>
      <c r="O14" s="5">
        <v>8</v>
      </c>
    </row>
    <row r="15" spans="2:15">
      <c r="B15" s="4" t="s">
        <v>124</v>
      </c>
      <c r="C15" s="4" t="s">
        <v>125</v>
      </c>
      <c r="D15" s="4" t="s">
        <v>315</v>
      </c>
      <c r="E15" s="4" t="s">
        <v>176</v>
      </c>
      <c r="F15" s="4" t="s">
        <v>126</v>
      </c>
      <c r="G15" s="4">
        <v>101010259</v>
      </c>
      <c r="H15" s="5">
        <v>499</v>
      </c>
      <c r="I15" s="7">
        <v>168</v>
      </c>
      <c r="J15" s="7">
        <v>83832</v>
      </c>
      <c r="K15" s="7">
        <v>78404.460500000001</v>
      </c>
      <c r="L15" s="7">
        <v>5427.5394999999999</v>
      </c>
      <c r="M15" s="8">
        <v>6.4699999999999994E-2</v>
      </c>
      <c r="N15" s="5">
        <v>191</v>
      </c>
      <c r="O15" s="5">
        <v>11</v>
      </c>
    </row>
    <row r="16" spans="2:15">
      <c r="B16" s="4" t="s">
        <v>124</v>
      </c>
      <c r="C16" s="4" t="s">
        <v>130</v>
      </c>
      <c r="D16" s="4" t="s">
        <v>626</v>
      </c>
      <c r="E16" s="4" t="s">
        <v>31</v>
      </c>
      <c r="F16" s="4" t="s">
        <v>126</v>
      </c>
      <c r="G16" s="4">
        <v>101990013</v>
      </c>
      <c r="H16" s="5">
        <v>149</v>
      </c>
      <c r="I16" s="7">
        <v>523.97</v>
      </c>
      <c r="J16" s="7">
        <v>78071</v>
      </c>
      <c r="K16" s="7">
        <v>72504.490399999995</v>
      </c>
      <c r="L16" s="7">
        <v>5566.5096000000003</v>
      </c>
      <c r="M16" s="8">
        <v>7.1300000000000002E-2</v>
      </c>
      <c r="N16" s="5">
        <v>45</v>
      </c>
      <c r="O16" s="5">
        <v>9</v>
      </c>
    </row>
    <row r="17" spans="2:15">
      <c r="B17" s="4" t="s">
        <v>124</v>
      </c>
      <c r="C17" s="4" t="s">
        <v>147</v>
      </c>
      <c r="D17" s="4" t="s">
        <v>544</v>
      </c>
      <c r="E17" s="4" t="s">
        <v>31</v>
      </c>
      <c r="F17" s="4" t="s">
        <v>126</v>
      </c>
      <c r="G17" s="4">
        <v>101030021</v>
      </c>
      <c r="H17" s="5">
        <v>2162</v>
      </c>
      <c r="I17" s="7">
        <v>34.89</v>
      </c>
      <c r="J17" s="7">
        <v>75435</v>
      </c>
      <c r="K17" s="7">
        <v>54050</v>
      </c>
      <c r="L17" s="7">
        <v>21385</v>
      </c>
      <c r="M17" s="8">
        <v>0.28339999999999999</v>
      </c>
      <c r="N17" s="5">
        <v>512</v>
      </c>
      <c r="O17" s="5">
        <v>12</v>
      </c>
    </row>
    <row r="18" spans="2:15">
      <c r="B18" s="4" t="s">
        <v>124</v>
      </c>
      <c r="C18" s="4" t="s">
        <v>125</v>
      </c>
      <c r="D18" s="4" t="s">
        <v>83</v>
      </c>
      <c r="E18" s="4" t="s">
        <v>31</v>
      </c>
      <c r="F18" s="4" t="s">
        <v>126</v>
      </c>
      <c r="G18" s="4">
        <v>101010002</v>
      </c>
      <c r="H18" s="5">
        <v>167</v>
      </c>
      <c r="I18" s="7">
        <v>387.87</v>
      </c>
      <c r="J18" s="7">
        <v>64774</v>
      </c>
      <c r="K18" s="7">
        <v>57323.0265</v>
      </c>
      <c r="L18" s="7">
        <v>7450.9735000000001</v>
      </c>
      <c r="M18" s="8">
        <v>0.115</v>
      </c>
      <c r="N18" s="5">
        <v>43</v>
      </c>
      <c r="O18" s="5">
        <v>6</v>
      </c>
    </row>
    <row r="19" spans="2:15">
      <c r="B19" s="4" t="s">
        <v>124</v>
      </c>
      <c r="C19" s="4" t="s">
        <v>125</v>
      </c>
      <c r="D19" s="4" t="s">
        <v>627</v>
      </c>
      <c r="E19" s="4" t="s">
        <v>628</v>
      </c>
      <c r="F19" s="4" t="s">
        <v>126</v>
      </c>
      <c r="G19" s="4">
        <v>101020083</v>
      </c>
      <c r="H19" s="5">
        <v>842</v>
      </c>
      <c r="I19" s="7">
        <v>63.07</v>
      </c>
      <c r="J19" s="7">
        <v>53108</v>
      </c>
      <c r="K19" s="7">
        <v>43660.386200000001</v>
      </c>
      <c r="L19" s="7">
        <v>9447.6137999999992</v>
      </c>
      <c r="M19" s="8">
        <v>0.17780000000000001</v>
      </c>
      <c r="N19" s="5">
        <v>335</v>
      </c>
      <c r="O19" s="5">
        <v>10</v>
      </c>
    </row>
    <row r="20" spans="2:15">
      <c r="B20" s="4" t="s">
        <v>124</v>
      </c>
      <c r="C20" s="4" t="s">
        <v>127</v>
      </c>
      <c r="D20" s="4" t="s">
        <v>629</v>
      </c>
      <c r="E20" s="4" t="s">
        <v>630</v>
      </c>
      <c r="F20" s="4" t="s">
        <v>126</v>
      </c>
      <c r="G20" s="4">
        <v>101010299</v>
      </c>
      <c r="H20" s="5">
        <v>501</v>
      </c>
      <c r="I20" s="7">
        <v>90.38</v>
      </c>
      <c r="J20" s="7">
        <v>45282</v>
      </c>
      <c r="K20" s="7">
        <v>40536.326999999997</v>
      </c>
      <c r="L20" s="7">
        <v>4745.6729999999998</v>
      </c>
      <c r="M20" s="8">
        <v>0.1048</v>
      </c>
      <c r="N20" s="5">
        <v>221</v>
      </c>
      <c r="O20" s="5">
        <v>10</v>
      </c>
    </row>
    <row r="21" spans="2:15">
      <c r="B21" s="4" t="s">
        <v>124</v>
      </c>
      <c r="C21" s="4" t="s">
        <v>125</v>
      </c>
      <c r="D21" s="4" t="s">
        <v>631</v>
      </c>
      <c r="E21" s="4" t="s">
        <v>123</v>
      </c>
      <c r="F21" s="4" t="s">
        <v>126</v>
      </c>
      <c r="G21" s="4">
        <v>101020075</v>
      </c>
      <c r="H21" s="5">
        <v>447</v>
      </c>
      <c r="I21" s="7">
        <v>93.09</v>
      </c>
      <c r="J21" s="7">
        <v>41612</v>
      </c>
      <c r="K21" s="7">
        <v>37700.479399999997</v>
      </c>
      <c r="L21" s="7">
        <v>3911.5205999999998</v>
      </c>
      <c r="M21" s="8">
        <v>9.3899999999999997E-2</v>
      </c>
      <c r="N21" s="5">
        <v>72</v>
      </c>
      <c r="O21" s="5">
        <v>8</v>
      </c>
    </row>
    <row r="22" spans="2:15">
      <c r="B22" s="4" t="s">
        <v>124</v>
      </c>
      <c r="C22" s="4" t="s">
        <v>125</v>
      </c>
      <c r="D22" s="4" t="s">
        <v>632</v>
      </c>
      <c r="E22" s="4" t="s">
        <v>31</v>
      </c>
      <c r="F22" s="4" t="s">
        <v>126</v>
      </c>
      <c r="G22" s="4">
        <v>101020128</v>
      </c>
      <c r="H22" s="5">
        <v>308</v>
      </c>
      <c r="I22" s="7">
        <v>126.86</v>
      </c>
      <c r="J22" s="7">
        <v>39072</v>
      </c>
      <c r="K22" s="7">
        <v>32648</v>
      </c>
      <c r="L22" s="7">
        <v>6424</v>
      </c>
      <c r="M22" s="8">
        <v>0.16439999999999999</v>
      </c>
      <c r="N22" s="5">
        <v>115</v>
      </c>
      <c r="O22" s="5">
        <v>9</v>
      </c>
    </row>
    <row r="23" spans="2:15">
      <c r="B23" s="4" t="s">
        <v>124</v>
      </c>
      <c r="C23" s="4" t="s">
        <v>125</v>
      </c>
      <c r="D23" s="4" t="s">
        <v>633</v>
      </c>
      <c r="E23" s="4" t="s">
        <v>249</v>
      </c>
      <c r="F23" s="4" t="s">
        <v>126</v>
      </c>
      <c r="G23" s="4">
        <v>101020082</v>
      </c>
      <c r="H23" s="5">
        <v>751</v>
      </c>
      <c r="I23" s="7">
        <v>47.62</v>
      </c>
      <c r="J23" s="7">
        <v>35762</v>
      </c>
      <c r="K23" s="7">
        <v>31451.154200000001</v>
      </c>
      <c r="L23" s="7">
        <v>4310.8458000000001</v>
      </c>
      <c r="M23" s="8">
        <v>0.1205</v>
      </c>
      <c r="N23" s="5">
        <v>460</v>
      </c>
      <c r="O23" s="5">
        <v>11</v>
      </c>
    </row>
    <row r="24" spans="2:15">
      <c r="B24" s="4" t="s">
        <v>124</v>
      </c>
      <c r="C24" s="4" t="s">
        <v>125</v>
      </c>
      <c r="D24" s="4" t="s">
        <v>261</v>
      </c>
      <c r="E24" s="4" t="s">
        <v>31</v>
      </c>
      <c r="F24" s="4" t="s">
        <v>126</v>
      </c>
      <c r="G24" s="4">
        <v>101010526</v>
      </c>
      <c r="H24" s="5">
        <v>621</v>
      </c>
      <c r="I24" s="7">
        <v>55.26</v>
      </c>
      <c r="J24" s="7">
        <v>34319</v>
      </c>
      <c r="K24" s="7">
        <v>20613.624500000002</v>
      </c>
      <c r="L24" s="7">
        <v>13705.3755</v>
      </c>
      <c r="M24" s="8">
        <v>0.39929999999999999</v>
      </c>
      <c r="N24" s="5">
        <v>128</v>
      </c>
      <c r="O24" s="5">
        <v>11</v>
      </c>
    </row>
    <row r="25" spans="2:15">
      <c r="B25" s="4" t="s">
        <v>124</v>
      </c>
      <c r="C25" s="4" t="s">
        <v>147</v>
      </c>
      <c r="D25" s="4" t="s">
        <v>170</v>
      </c>
      <c r="E25" s="4" t="s">
        <v>31</v>
      </c>
      <c r="F25" s="4" t="s">
        <v>126</v>
      </c>
      <c r="G25" s="4">
        <v>101010192</v>
      </c>
      <c r="H25" s="5">
        <v>88</v>
      </c>
      <c r="I25" s="7">
        <v>382.73</v>
      </c>
      <c r="J25" s="7">
        <v>33680</v>
      </c>
      <c r="K25" s="7">
        <v>30120.068299999999</v>
      </c>
      <c r="L25" s="7">
        <v>3559.9317000000001</v>
      </c>
      <c r="M25" s="8">
        <v>0.1056</v>
      </c>
      <c r="N25" s="5">
        <v>23</v>
      </c>
      <c r="O25" s="5">
        <v>6</v>
      </c>
    </row>
    <row r="26" spans="2:15">
      <c r="B26" s="4" t="s">
        <v>124</v>
      </c>
      <c r="C26" s="4" t="s">
        <v>125</v>
      </c>
      <c r="D26" s="4" t="s">
        <v>140</v>
      </c>
      <c r="E26" s="4" t="s">
        <v>31</v>
      </c>
      <c r="F26" s="4" t="s">
        <v>126</v>
      </c>
      <c r="G26" s="4">
        <v>101010006</v>
      </c>
      <c r="H26" s="5">
        <v>67</v>
      </c>
      <c r="I26" s="7">
        <v>473.15</v>
      </c>
      <c r="J26" s="7">
        <v>31701</v>
      </c>
      <c r="K26" s="7">
        <v>27749.681799999998</v>
      </c>
      <c r="L26" s="7">
        <v>3951.3182000000002</v>
      </c>
      <c r="M26" s="8">
        <v>0.1246</v>
      </c>
      <c r="N26" s="5">
        <v>16</v>
      </c>
      <c r="O26" s="5">
        <v>7</v>
      </c>
    </row>
    <row r="27" spans="2:15">
      <c r="B27" s="4" t="s">
        <v>124</v>
      </c>
      <c r="C27" s="4" t="s">
        <v>125</v>
      </c>
      <c r="D27" s="4" t="s">
        <v>227</v>
      </c>
      <c r="E27" s="4" t="s">
        <v>228</v>
      </c>
      <c r="F27" s="4" t="s">
        <v>137</v>
      </c>
      <c r="G27" s="4">
        <v>101010523</v>
      </c>
      <c r="H27" s="5">
        <v>29</v>
      </c>
      <c r="I27" s="7">
        <v>1068.55</v>
      </c>
      <c r="J27" s="7">
        <v>30988</v>
      </c>
      <c r="K27" s="7">
        <v>20824.6155</v>
      </c>
      <c r="L27" s="7">
        <v>10163.3845</v>
      </c>
      <c r="M27" s="8">
        <v>0.32790000000000002</v>
      </c>
      <c r="N27" s="5">
        <v>19</v>
      </c>
      <c r="O27" s="5">
        <v>6</v>
      </c>
    </row>
    <row r="28" spans="2:15">
      <c r="B28" s="4" t="s">
        <v>124</v>
      </c>
      <c r="C28" s="4" t="s">
        <v>125</v>
      </c>
      <c r="D28" s="4" t="s">
        <v>177</v>
      </c>
      <c r="E28" s="4" t="s">
        <v>31</v>
      </c>
      <c r="F28" s="4" t="s">
        <v>126</v>
      </c>
      <c r="G28" s="4">
        <v>101010421</v>
      </c>
      <c r="H28" s="5">
        <v>199</v>
      </c>
      <c r="I28" s="7">
        <v>153.22999999999999</v>
      </c>
      <c r="J28" s="7">
        <v>30492</v>
      </c>
      <c r="K28" s="7">
        <v>17826.922900000001</v>
      </c>
      <c r="L28" s="7">
        <v>12665.0771</v>
      </c>
      <c r="M28" s="8">
        <v>0.4153</v>
      </c>
      <c r="N28" s="5">
        <v>109</v>
      </c>
      <c r="O28" s="5">
        <v>8</v>
      </c>
    </row>
    <row r="29" spans="2:15">
      <c r="B29" s="4" t="s">
        <v>124</v>
      </c>
      <c r="C29" s="4" t="s">
        <v>147</v>
      </c>
      <c r="D29" s="4" t="s">
        <v>150</v>
      </c>
      <c r="E29" s="4" t="s">
        <v>31</v>
      </c>
      <c r="F29" s="4" t="s">
        <v>126</v>
      </c>
      <c r="G29" s="4">
        <v>101010068</v>
      </c>
      <c r="H29" s="5">
        <v>58</v>
      </c>
      <c r="I29" s="7">
        <v>515.30999999999995</v>
      </c>
      <c r="J29" s="7">
        <v>29888</v>
      </c>
      <c r="K29" s="7">
        <v>25812.0707</v>
      </c>
      <c r="L29" s="7">
        <v>4075.9292999999998</v>
      </c>
      <c r="M29" s="8">
        <v>0.1363</v>
      </c>
      <c r="N29" s="5">
        <v>6</v>
      </c>
      <c r="O29" s="5">
        <v>3</v>
      </c>
    </row>
    <row r="30" spans="2:15">
      <c r="B30" s="4" t="s">
        <v>124</v>
      </c>
      <c r="C30" s="4" t="s">
        <v>125</v>
      </c>
      <c r="D30" s="4" t="s">
        <v>256</v>
      </c>
      <c r="E30" s="4" t="s">
        <v>31</v>
      </c>
      <c r="F30" s="4" t="s">
        <v>126</v>
      </c>
      <c r="G30" s="4">
        <v>101010456</v>
      </c>
      <c r="H30" s="5">
        <v>981</v>
      </c>
      <c r="I30" s="7">
        <v>29.18</v>
      </c>
      <c r="J30" s="7">
        <v>28623</v>
      </c>
      <c r="K30" s="7">
        <v>19567.910500000002</v>
      </c>
      <c r="L30" s="7">
        <v>9055.0895</v>
      </c>
      <c r="M30" s="8">
        <v>0.31630000000000003</v>
      </c>
      <c r="N30" s="5">
        <v>263</v>
      </c>
      <c r="O30" s="5">
        <v>10</v>
      </c>
    </row>
    <row r="31" spans="2:15">
      <c r="B31" s="4" t="s">
        <v>124</v>
      </c>
      <c r="C31" s="4" t="s">
        <v>127</v>
      </c>
      <c r="D31" s="4" t="s">
        <v>141</v>
      </c>
      <c r="E31" s="4" t="s">
        <v>31</v>
      </c>
      <c r="F31" s="4" t="s">
        <v>126</v>
      </c>
      <c r="G31" s="4">
        <v>101010053</v>
      </c>
      <c r="H31" s="5">
        <v>85</v>
      </c>
      <c r="I31" s="7">
        <v>332.07</v>
      </c>
      <c r="J31" s="7">
        <v>28226</v>
      </c>
      <c r="K31" s="7">
        <v>23162.426800000001</v>
      </c>
      <c r="L31" s="7">
        <v>5063.5731999999998</v>
      </c>
      <c r="M31" s="8">
        <v>0.17929999999999999</v>
      </c>
      <c r="N31" s="5">
        <v>25</v>
      </c>
      <c r="O31" s="5">
        <v>6</v>
      </c>
    </row>
    <row r="32" spans="2:15">
      <c r="B32" s="4" t="s">
        <v>124</v>
      </c>
      <c r="C32" s="4" t="s">
        <v>127</v>
      </c>
      <c r="D32" s="4" t="s">
        <v>135</v>
      </c>
      <c r="E32" s="4" t="s">
        <v>31</v>
      </c>
      <c r="F32" s="4" t="s">
        <v>126</v>
      </c>
      <c r="G32" s="4">
        <v>101010290</v>
      </c>
      <c r="H32" s="5">
        <v>28</v>
      </c>
      <c r="I32" s="7">
        <v>988.5</v>
      </c>
      <c r="J32" s="7">
        <v>27678</v>
      </c>
      <c r="K32" s="7">
        <v>18701.569200000002</v>
      </c>
      <c r="L32" s="7">
        <v>8976.4308000000001</v>
      </c>
      <c r="M32" s="8">
        <v>0.32429999999999998</v>
      </c>
      <c r="N32" s="5">
        <v>11</v>
      </c>
      <c r="O32" s="5">
        <v>6</v>
      </c>
    </row>
    <row r="33" spans="2:15">
      <c r="B33" s="4" t="s">
        <v>124</v>
      </c>
      <c r="C33" s="4" t="s">
        <v>130</v>
      </c>
      <c r="D33" s="4" t="s">
        <v>158</v>
      </c>
      <c r="E33" s="4" t="s">
        <v>159</v>
      </c>
      <c r="F33" s="4" t="s">
        <v>126</v>
      </c>
      <c r="G33" s="4">
        <v>101990008</v>
      </c>
      <c r="H33" s="5">
        <v>96</v>
      </c>
      <c r="I33" s="7">
        <v>285.95999999999998</v>
      </c>
      <c r="J33" s="7">
        <v>27452</v>
      </c>
      <c r="K33" s="7">
        <v>18077.130099999998</v>
      </c>
      <c r="L33" s="7">
        <v>9374.8698999999997</v>
      </c>
      <c r="M33" s="8">
        <v>0.34150000000000003</v>
      </c>
      <c r="N33" s="5">
        <v>40</v>
      </c>
      <c r="O33" s="5">
        <v>9</v>
      </c>
    </row>
    <row r="34" spans="2:15">
      <c r="B34" s="4" t="s">
        <v>124</v>
      </c>
      <c r="C34" s="4" t="s">
        <v>147</v>
      </c>
      <c r="D34" s="4" t="s">
        <v>210</v>
      </c>
      <c r="E34" s="4" t="s">
        <v>31</v>
      </c>
      <c r="F34" s="4" t="s">
        <v>126</v>
      </c>
      <c r="G34" s="4">
        <v>101030017</v>
      </c>
      <c r="H34" s="5">
        <v>1280</v>
      </c>
      <c r="I34" s="7">
        <v>21.02</v>
      </c>
      <c r="J34" s="7">
        <v>26900</v>
      </c>
      <c r="K34" s="7">
        <v>19170.642599999999</v>
      </c>
      <c r="L34" s="7">
        <v>7729.3573999999999</v>
      </c>
      <c r="M34" s="8">
        <v>0.2873</v>
      </c>
      <c r="N34" s="5">
        <v>377</v>
      </c>
      <c r="O34" s="5">
        <v>10</v>
      </c>
    </row>
    <row r="35" spans="2:15">
      <c r="B35" s="4" t="s">
        <v>124</v>
      </c>
      <c r="C35" s="4" t="s">
        <v>127</v>
      </c>
      <c r="D35" s="4" t="s">
        <v>155</v>
      </c>
      <c r="E35" s="4" t="s">
        <v>31</v>
      </c>
      <c r="F35" s="4" t="s">
        <v>126</v>
      </c>
      <c r="G35" s="4">
        <v>101010217</v>
      </c>
      <c r="H35" s="5">
        <v>340</v>
      </c>
      <c r="I35" s="7">
        <v>76.31</v>
      </c>
      <c r="J35" s="7">
        <v>25946</v>
      </c>
      <c r="K35" s="7">
        <v>20084.3861</v>
      </c>
      <c r="L35" s="7">
        <v>5861.6139000000003</v>
      </c>
      <c r="M35" s="8">
        <v>0.22589999999999999</v>
      </c>
      <c r="N35" s="5">
        <v>113</v>
      </c>
      <c r="O35" s="5">
        <v>12</v>
      </c>
    </row>
    <row r="36" spans="2:15">
      <c r="B36" s="4" t="s">
        <v>124</v>
      </c>
      <c r="C36" s="4" t="s">
        <v>147</v>
      </c>
      <c r="D36" s="4" t="s">
        <v>148</v>
      </c>
      <c r="E36" s="4" t="s">
        <v>149</v>
      </c>
      <c r="F36" s="4" t="s">
        <v>126</v>
      </c>
      <c r="G36" s="4">
        <v>999010016</v>
      </c>
      <c r="H36" s="5">
        <v>567</v>
      </c>
      <c r="I36" s="7">
        <v>44.19</v>
      </c>
      <c r="J36" s="7">
        <v>25053</v>
      </c>
      <c r="K36" s="7">
        <v>18354.548500000001</v>
      </c>
      <c r="L36" s="7">
        <v>6698.4515000000001</v>
      </c>
      <c r="M36" s="8">
        <v>0.26729999999999998</v>
      </c>
      <c r="N36" s="5">
        <v>300</v>
      </c>
      <c r="O36" s="5">
        <v>11</v>
      </c>
    </row>
    <row r="37" spans="2:15">
      <c r="B37" s="4" t="s">
        <v>124</v>
      </c>
      <c r="C37" s="4" t="s">
        <v>125</v>
      </c>
      <c r="D37" s="4" t="s">
        <v>42</v>
      </c>
      <c r="E37" s="4" t="s">
        <v>31</v>
      </c>
      <c r="F37" s="4" t="s">
        <v>126</v>
      </c>
      <c r="G37" s="4">
        <v>101010036</v>
      </c>
      <c r="H37" s="5">
        <v>118</v>
      </c>
      <c r="I37" s="7">
        <v>209.95</v>
      </c>
      <c r="J37" s="7">
        <v>24774</v>
      </c>
      <c r="K37" s="7">
        <v>18153.233100000001</v>
      </c>
      <c r="L37" s="7">
        <v>6620.7668999999996</v>
      </c>
      <c r="M37" s="8">
        <v>0.26719999999999999</v>
      </c>
      <c r="N37" s="5">
        <v>58</v>
      </c>
      <c r="O37" s="5">
        <v>9</v>
      </c>
    </row>
    <row r="38" spans="2:15">
      <c r="B38" s="4" t="s">
        <v>124</v>
      </c>
      <c r="C38" s="4" t="s">
        <v>147</v>
      </c>
      <c r="D38" s="4" t="s">
        <v>166</v>
      </c>
      <c r="E38" s="4" t="s">
        <v>167</v>
      </c>
      <c r="F38" s="4" t="s">
        <v>126</v>
      </c>
      <c r="G38" s="4">
        <v>101010113</v>
      </c>
      <c r="H38" s="5">
        <v>96</v>
      </c>
      <c r="I38" s="7">
        <v>222.76</v>
      </c>
      <c r="J38" s="7">
        <v>21385</v>
      </c>
      <c r="K38" s="7">
        <v>15142.6839</v>
      </c>
      <c r="L38" s="7">
        <v>6242.3161</v>
      </c>
      <c r="M38" s="8">
        <v>0.29189999999999999</v>
      </c>
      <c r="N38" s="5">
        <v>25</v>
      </c>
      <c r="O38" s="5">
        <v>6</v>
      </c>
    </row>
    <row r="39" spans="2:15">
      <c r="B39" s="4" t="s">
        <v>124</v>
      </c>
      <c r="C39" s="4" t="s">
        <v>125</v>
      </c>
      <c r="D39" s="4" t="s">
        <v>153</v>
      </c>
      <c r="E39" s="4" t="s">
        <v>31</v>
      </c>
      <c r="F39" s="4" t="s">
        <v>126</v>
      </c>
      <c r="G39" s="4">
        <v>101020062</v>
      </c>
      <c r="H39" s="5">
        <v>236</v>
      </c>
      <c r="I39" s="7">
        <v>88.63</v>
      </c>
      <c r="J39" s="7">
        <v>20917</v>
      </c>
      <c r="K39" s="7">
        <v>13141.3336</v>
      </c>
      <c r="L39" s="7">
        <v>7775.6664000000001</v>
      </c>
      <c r="M39" s="8">
        <v>0.37169999999999997</v>
      </c>
      <c r="N39" s="5">
        <v>85</v>
      </c>
      <c r="O39" s="5">
        <v>10</v>
      </c>
    </row>
    <row r="40" spans="2:15">
      <c r="B40" s="4" t="s">
        <v>124</v>
      </c>
      <c r="C40" s="4" t="s">
        <v>147</v>
      </c>
      <c r="D40" s="4" t="s">
        <v>171</v>
      </c>
      <c r="E40" s="4" t="s">
        <v>167</v>
      </c>
      <c r="F40" s="4" t="s">
        <v>126</v>
      </c>
      <c r="G40" s="4">
        <v>101010071</v>
      </c>
      <c r="H40" s="5">
        <v>128</v>
      </c>
      <c r="I40" s="7">
        <v>139.06</v>
      </c>
      <c r="J40" s="7">
        <v>17800</v>
      </c>
      <c r="K40" s="7">
        <v>14034.3078</v>
      </c>
      <c r="L40" s="7">
        <v>3765.6922</v>
      </c>
      <c r="M40" s="8">
        <v>0.21149999999999999</v>
      </c>
      <c r="N40" s="5">
        <v>47</v>
      </c>
      <c r="O40" s="5">
        <v>8</v>
      </c>
    </row>
    <row r="41" spans="2:15">
      <c r="B41" s="4" t="s">
        <v>124</v>
      </c>
      <c r="C41" s="4" t="s">
        <v>125</v>
      </c>
      <c r="D41" s="4" t="s">
        <v>634</v>
      </c>
      <c r="E41" s="4" t="s">
        <v>123</v>
      </c>
      <c r="F41" s="4" t="s">
        <v>126</v>
      </c>
      <c r="G41" s="4">
        <v>101020065</v>
      </c>
      <c r="H41" s="5">
        <v>157</v>
      </c>
      <c r="I41" s="7">
        <v>113.34</v>
      </c>
      <c r="J41" s="7">
        <v>17795</v>
      </c>
      <c r="K41" s="7">
        <v>10861.367700000001</v>
      </c>
      <c r="L41" s="7">
        <v>6933.6323000000002</v>
      </c>
      <c r="M41" s="8">
        <v>0.3896</v>
      </c>
      <c r="N41" s="5">
        <v>39</v>
      </c>
      <c r="O41" s="5">
        <v>7</v>
      </c>
    </row>
    <row r="42" spans="2:15">
      <c r="B42" s="4" t="s">
        <v>124</v>
      </c>
      <c r="C42" s="4" t="s">
        <v>125</v>
      </c>
      <c r="D42" s="4" t="s">
        <v>255</v>
      </c>
      <c r="E42" s="4" t="s">
        <v>31</v>
      </c>
      <c r="F42" s="4" t="s">
        <v>126</v>
      </c>
      <c r="G42" s="4">
        <v>101010108</v>
      </c>
      <c r="H42" s="5">
        <v>379</v>
      </c>
      <c r="I42" s="7">
        <v>45.92</v>
      </c>
      <c r="J42" s="7">
        <v>17405</v>
      </c>
      <c r="K42" s="7">
        <v>14469.8061</v>
      </c>
      <c r="L42" s="7">
        <v>2935.1939000000002</v>
      </c>
      <c r="M42" s="8">
        <v>0.1686</v>
      </c>
      <c r="N42" s="5">
        <v>141</v>
      </c>
      <c r="O42" s="5">
        <v>10</v>
      </c>
    </row>
    <row r="43" spans="2:15">
      <c r="B43" s="4" t="s">
        <v>124</v>
      </c>
      <c r="C43" s="4" t="s">
        <v>147</v>
      </c>
      <c r="D43" s="4" t="s">
        <v>192</v>
      </c>
      <c r="E43" s="4" t="s">
        <v>167</v>
      </c>
      <c r="F43" s="4" t="s">
        <v>126</v>
      </c>
      <c r="G43" s="4">
        <v>101030015</v>
      </c>
      <c r="H43" s="5">
        <v>235</v>
      </c>
      <c r="I43" s="7">
        <v>66.94</v>
      </c>
      <c r="J43" s="7">
        <v>15731</v>
      </c>
      <c r="K43" s="7">
        <v>10046.934600000001</v>
      </c>
      <c r="L43" s="7">
        <v>5684.0654000000004</v>
      </c>
      <c r="M43" s="8">
        <v>0.36130000000000001</v>
      </c>
      <c r="N43" s="5">
        <v>65</v>
      </c>
      <c r="O43" s="5">
        <v>9</v>
      </c>
    </row>
    <row r="44" spans="2:15">
      <c r="B44" s="4" t="s">
        <v>124</v>
      </c>
      <c r="C44" s="4" t="s">
        <v>125</v>
      </c>
      <c r="D44" s="4" t="s">
        <v>306</v>
      </c>
      <c r="E44" s="4" t="s">
        <v>31</v>
      </c>
      <c r="F44" s="4" t="s">
        <v>126</v>
      </c>
      <c r="G44" s="4">
        <v>101010494</v>
      </c>
      <c r="H44" s="5">
        <v>58</v>
      </c>
      <c r="I44" s="7">
        <v>214.28</v>
      </c>
      <c r="J44" s="7">
        <v>12428</v>
      </c>
      <c r="K44" s="7">
        <v>10490.435100000001</v>
      </c>
      <c r="L44" s="7">
        <v>1937.5649000000001</v>
      </c>
      <c r="M44" s="8">
        <v>0.15590000000000001</v>
      </c>
      <c r="N44" s="5">
        <v>25</v>
      </c>
      <c r="O44" s="5">
        <v>8</v>
      </c>
    </row>
    <row r="45" spans="2:15">
      <c r="B45" s="4" t="s">
        <v>124</v>
      </c>
      <c r="C45" s="4" t="s">
        <v>125</v>
      </c>
      <c r="D45" s="4" t="s">
        <v>259</v>
      </c>
      <c r="E45" s="4" t="s">
        <v>176</v>
      </c>
      <c r="F45" s="4" t="s">
        <v>126</v>
      </c>
      <c r="G45" s="4">
        <v>101010454</v>
      </c>
      <c r="H45" s="5">
        <v>303</v>
      </c>
      <c r="I45" s="7">
        <v>40.630000000000003</v>
      </c>
      <c r="J45" s="7">
        <v>12311</v>
      </c>
      <c r="K45" s="7">
        <v>7441.6930000000002</v>
      </c>
      <c r="L45" s="7">
        <v>4869.3069999999998</v>
      </c>
      <c r="M45" s="8">
        <v>0.39550000000000002</v>
      </c>
      <c r="N45" s="5">
        <v>130</v>
      </c>
      <c r="O45" s="5">
        <v>9</v>
      </c>
    </row>
    <row r="46" spans="2:15">
      <c r="B46" s="4" t="s">
        <v>124</v>
      </c>
      <c r="C46" s="4" t="s">
        <v>125</v>
      </c>
      <c r="D46" s="4" t="s">
        <v>258</v>
      </c>
      <c r="E46" s="4" t="s">
        <v>176</v>
      </c>
      <c r="F46" s="4" t="s">
        <v>126</v>
      </c>
      <c r="G46" s="4">
        <v>101030011</v>
      </c>
      <c r="H46" s="5">
        <v>926</v>
      </c>
      <c r="I46" s="7">
        <v>12.89</v>
      </c>
      <c r="J46" s="7">
        <v>11939.8</v>
      </c>
      <c r="K46" s="7">
        <v>9712.8327000000008</v>
      </c>
      <c r="L46" s="7">
        <v>2226.9672999999998</v>
      </c>
      <c r="M46" s="8">
        <v>0.1865</v>
      </c>
      <c r="N46" s="5">
        <v>458</v>
      </c>
      <c r="O46" s="5">
        <v>11</v>
      </c>
    </row>
    <row r="47" spans="2:15">
      <c r="B47" s="4" t="s">
        <v>124</v>
      </c>
      <c r="C47" s="4" t="s">
        <v>125</v>
      </c>
      <c r="D47" s="4" t="s">
        <v>134</v>
      </c>
      <c r="E47" s="4" t="s">
        <v>31</v>
      </c>
      <c r="F47" s="4" t="s">
        <v>126</v>
      </c>
      <c r="G47" s="4">
        <v>101010019</v>
      </c>
      <c r="H47" s="5">
        <v>26</v>
      </c>
      <c r="I47" s="7">
        <v>421.5</v>
      </c>
      <c r="J47" s="7">
        <v>10959</v>
      </c>
      <c r="K47" s="7">
        <v>9019.9040999999997</v>
      </c>
      <c r="L47" s="7">
        <v>1939.0959</v>
      </c>
      <c r="M47" s="8">
        <v>0.1769</v>
      </c>
      <c r="N47" s="5">
        <v>12</v>
      </c>
      <c r="O47" s="5">
        <v>6</v>
      </c>
    </row>
    <row r="48" spans="2:15">
      <c r="B48" s="4" t="s">
        <v>124</v>
      </c>
      <c r="C48" s="4" t="s">
        <v>127</v>
      </c>
      <c r="D48" s="4" t="s">
        <v>162</v>
      </c>
      <c r="E48" s="4" t="s">
        <v>31</v>
      </c>
      <c r="F48" s="4" t="s">
        <v>126</v>
      </c>
      <c r="G48" s="4">
        <v>101020010</v>
      </c>
      <c r="H48" s="5">
        <v>87</v>
      </c>
      <c r="I48" s="7">
        <v>125.52</v>
      </c>
      <c r="J48" s="7">
        <v>10920</v>
      </c>
      <c r="K48" s="7">
        <v>6945.0245999999997</v>
      </c>
      <c r="L48" s="7">
        <v>3974.9753999999998</v>
      </c>
      <c r="M48" s="8">
        <v>0.36399999999999999</v>
      </c>
      <c r="N48" s="5">
        <v>42</v>
      </c>
      <c r="O48" s="5">
        <v>11</v>
      </c>
    </row>
    <row r="49" spans="2:15">
      <c r="B49" s="4" t="s">
        <v>124</v>
      </c>
      <c r="C49" s="4" t="s">
        <v>125</v>
      </c>
      <c r="D49" s="4" t="s">
        <v>334</v>
      </c>
      <c r="E49" s="4" t="s">
        <v>335</v>
      </c>
      <c r="F49" s="4" t="s">
        <v>126</v>
      </c>
      <c r="G49" s="4">
        <v>101010450</v>
      </c>
      <c r="H49" s="5">
        <v>2047</v>
      </c>
      <c r="I49" s="7">
        <v>5.27</v>
      </c>
      <c r="J49" s="7">
        <v>10782</v>
      </c>
      <c r="K49" s="7">
        <v>8533.2260999999999</v>
      </c>
      <c r="L49" s="7">
        <v>2248.7739000000001</v>
      </c>
      <c r="M49" s="8">
        <v>0.20849999999999999</v>
      </c>
      <c r="N49" s="5">
        <v>349</v>
      </c>
      <c r="O49" s="5">
        <v>12</v>
      </c>
    </row>
    <row r="50" spans="2:15">
      <c r="B50" s="4" t="s">
        <v>124</v>
      </c>
      <c r="C50" s="4" t="s">
        <v>125</v>
      </c>
      <c r="D50" s="4" t="s">
        <v>161</v>
      </c>
      <c r="E50" s="4" t="s">
        <v>31</v>
      </c>
      <c r="F50" s="4" t="s">
        <v>126</v>
      </c>
      <c r="G50" s="4">
        <v>101010422</v>
      </c>
      <c r="H50" s="5">
        <v>72</v>
      </c>
      <c r="I50" s="7">
        <v>136.5</v>
      </c>
      <c r="J50" s="7">
        <v>9828</v>
      </c>
      <c r="K50" s="7">
        <v>8147.7428</v>
      </c>
      <c r="L50" s="7">
        <v>1680.2572</v>
      </c>
      <c r="M50" s="8">
        <v>0.1709</v>
      </c>
      <c r="N50" s="5">
        <v>32</v>
      </c>
      <c r="O50" s="5">
        <v>8</v>
      </c>
    </row>
    <row r="51" spans="2:15">
      <c r="B51" s="4" t="s">
        <v>124</v>
      </c>
      <c r="C51" s="4" t="s">
        <v>125</v>
      </c>
      <c r="D51" s="4" t="s">
        <v>48</v>
      </c>
      <c r="E51" s="4" t="s">
        <v>31</v>
      </c>
      <c r="F51" s="4" t="s">
        <v>126</v>
      </c>
      <c r="G51" s="4">
        <v>101010024</v>
      </c>
      <c r="H51" s="5">
        <v>139</v>
      </c>
      <c r="I51" s="7">
        <v>61.09</v>
      </c>
      <c r="J51" s="7">
        <v>8492</v>
      </c>
      <c r="K51" s="7">
        <v>5234.7051000000001</v>
      </c>
      <c r="L51" s="7">
        <v>3257.2948999999999</v>
      </c>
      <c r="M51" s="8">
        <v>0.38350000000000001</v>
      </c>
      <c r="N51" s="5">
        <v>69</v>
      </c>
      <c r="O51" s="5">
        <v>10</v>
      </c>
    </row>
    <row r="52" spans="2:15">
      <c r="B52" s="4" t="s">
        <v>124</v>
      </c>
      <c r="C52" s="4" t="s">
        <v>127</v>
      </c>
      <c r="D52" s="4" t="s">
        <v>154</v>
      </c>
      <c r="E52" s="4" t="s">
        <v>31</v>
      </c>
      <c r="F52" s="4" t="s">
        <v>126</v>
      </c>
      <c r="G52" s="4">
        <v>101010107</v>
      </c>
      <c r="H52" s="5">
        <v>72</v>
      </c>
      <c r="I52" s="7">
        <v>116.82</v>
      </c>
      <c r="J52" s="7">
        <v>8411</v>
      </c>
      <c r="K52" s="7">
        <v>6166.2734</v>
      </c>
      <c r="L52" s="7">
        <v>2244.7266</v>
      </c>
      <c r="M52" s="8">
        <v>0.26679999999999998</v>
      </c>
      <c r="N52" s="5">
        <v>15</v>
      </c>
      <c r="O52" s="5">
        <v>6</v>
      </c>
    </row>
    <row r="53" spans="2:15">
      <c r="B53" s="4" t="s">
        <v>124</v>
      </c>
      <c r="C53" s="4" t="s">
        <v>130</v>
      </c>
      <c r="D53" s="4" t="s">
        <v>214</v>
      </c>
      <c r="E53" s="4" t="s">
        <v>215</v>
      </c>
      <c r="F53" s="4" t="s">
        <v>126</v>
      </c>
      <c r="G53" s="4">
        <v>101990007</v>
      </c>
      <c r="H53" s="5">
        <v>459</v>
      </c>
      <c r="I53" s="7">
        <v>17.940000000000001</v>
      </c>
      <c r="J53" s="7">
        <v>8236.5</v>
      </c>
      <c r="K53" s="7">
        <v>5285.2808000000005</v>
      </c>
      <c r="L53" s="7">
        <v>2951.2192</v>
      </c>
      <c r="M53" s="8">
        <v>0.35830000000000001</v>
      </c>
      <c r="N53" s="5">
        <v>193</v>
      </c>
      <c r="O53" s="5">
        <v>10</v>
      </c>
    </row>
    <row r="54" spans="2:15">
      <c r="B54" s="4" t="s">
        <v>124</v>
      </c>
      <c r="C54" s="4" t="s">
        <v>147</v>
      </c>
      <c r="D54" s="4" t="s">
        <v>205</v>
      </c>
      <c r="E54" s="4" t="s">
        <v>176</v>
      </c>
      <c r="F54" s="4" t="s">
        <v>126</v>
      </c>
      <c r="G54" s="4">
        <v>101010169</v>
      </c>
      <c r="H54" s="5">
        <v>282</v>
      </c>
      <c r="I54" s="7">
        <v>29.01</v>
      </c>
      <c r="J54" s="7">
        <v>8181</v>
      </c>
      <c r="K54" s="7">
        <v>7015.3010000000004</v>
      </c>
      <c r="L54" s="7">
        <v>1165.6990000000001</v>
      </c>
      <c r="M54" s="8">
        <v>0.1424</v>
      </c>
      <c r="N54" s="5">
        <v>173</v>
      </c>
      <c r="O54" s="5">
        <v>11</v>
      </c>
    </row>
    <row r="55" spans="2:15">
      <c r="B55" s="4" t="s">
        <v>124</v>
      </c>
      <c r="C55" s="4" t="s">
        <v>127</v>
      </c>
      <c r="D55" s="4" t="s">
        <v>146</v>
      </c>
      <c r="E55" s="4" t="s">
        <v>31</v>
      </c>
      <c r="F55" s="4" t="s">
        <v>126</v>
      </c>
      <c r="G55" s="4">
        <v>101020007</v>
      </c>
      <c r="H55" s="5">
        <v>42</v>
      </c>
      <c r="I55" s="7">
        <v>192.86</v>
      </c>
      <c r="J55" s="7">
        <v>8100</v>
      </c>
      <c r="K55" s="7">
        <v>6400.5663999999997</v>
      </c>
      <c r="L55" s="7">
        <v>1699.4336000000001</v>
      </c>
      <c r="M55" s="8">
        <v>0.20979999999999999</v>
      </c>
      <c r="N55" s="5">
        <v>19</v>
      </c>
      <c r="O55" s="5">
        <v>6</v>
      </c>
    </row>
    <row r="56" spans="2:15">
      <c r="B56" s="4" t="s">
        <v>124</v>
      </c>
      <c r="C56" s="4" t="s">
        <v>220</v>
      </c>
      <c r="D56" s="4" t="s">
        <v>635</v>
      </c>
      <c r="E56" s="4" t="s">
        <v>181</v>
      </c>
      <c r="F56" s="4" t="s">
        <v>126</v>
      </c>
      <c r="G56" s="4">
        <v>101020085</v>
      </c>
      <c r="H56" s="5">
        <v>25</v>
      </c>
      <c r="I56" s="7">
        <v>318</v>
      </c>
      <c r="J56" s="7">
        <v>7950</v>
      </c>
      <c r="K56" s="7">
        <v>6057.7861999999996</v>
      </c>
      <c r="L56" s="7">
        <v>1892.2138</v>
      </c>
      <c r="M56" s="8">
        <v>0.23799999999999999</v>
      </c>
      <c r="N56" s="5">
        <v>13</v>
      </c>
      <c r="O56" s="5">
        <v>6</v>
      </c>
    </row>
    <row r="57" spans="2:15">
      <c r="B57" s="4" t="s">
        <v>124</v>
      </c>
      <c r="C57" s="4" t="s">
        <v>125</v>
      </c>
      <c r="D57" s="4" t="s">
        <v>308</v>
      </c>
      <c r="E57" s="4" t="s">
        <v>228</v>
      </c>
      <c r="F57" s="4" t="s">
        <v>137</v>
      </c>
      <c r="G57" s="4">
        <v>101010524</v>
      </c>
      <c r="H57" s="5">
        <v>8</v>
      </c>
      <c r="I57" s="7">
        <v>969.5</v>
      </c>
      <c r="J57" s="7">
        <v>7756</v>
      </c>
      <c r="K57" s="7">
        <v>4789.7435999999998</v>
      </c>
      <c r="L57" s="7">
        <v>2966.2564000000002</v>
      </c>
      <c r="M57" s="8">
        <v>0.38240000000000002</v>
      </c>
      <c r="N57" s="5">
        <v>7</v>
      </c>
      <c r="O57" s="5">
        <v>4</v>
      </c>
    </row>
    <row r="58" spans="2:15">
      <c r="B58" s="4" t="s">
        <v>124</v>
      </c>
      <c r="C58" s="4" t="s">
        <v>125</v>
      </c>
      <c r="D58" s="4" t="s">
        <v>636</v>
      </c>
      <c r="E58" s="4" t="s">
        <v>123</v>
      </c>
      <c r="F58" s="4" t="s">
        <v>126</v>
      </c>
      <c r="G58" s="4">
        <v>101020076</v>
      </c>
      <c r="H58" s="5">
        <v>42</v>
      </c>
      <c r="I58" s="7">
        <v>176.48</v>
      </c>
      <c r="J58" s="7">
        <v>7412</v>
      </c>
      <c r="K58" s="7">
        <v>5864.3516</v>
      </c>
      <c r="L58" s="7">
        <v>1547.6484</v>
      </c>
      <c r="M58" s="8">
        <v>0.20880000000000001</v>
      </c>
      <c r="N58" s="5">
        <v>11</v>
      </c>
      <c r="O58" s="5">
        <v>7</v>
      </c>
    </row>
    <row r="59" spans="2:15">
      <c r="B59" s="4" t="s">
        <v>124</v>
      </c>
      <c r="C59" s="4" t="s">
        <v>125</v>
      </c>
      <c r="D59" s="4" t="s">
        <v>637</v>
      </c>
      <c r="E59" s="4" t="s">
        <v>123</v>
      </c>
      <c r="F59" s="4" t="s">
        <v>126</v>
      </c>
      <c r="G59" s="4">
        <v>101020066</v>
      </c>
      <c r="H59" s="5">
        <v>26</v>
      </c>
      <c r="I59" s="7">
        <v>265.85000000000002</v>
      </c>
      <c r="J59" s="7">
        <v>6912</v>
      </c>
      <c r="K59" s="7">
        <v>3599.7314000000001</v>
      </c>
      <c r="L59" s="7">
        <v>3312.2685999999999</v>
      </c>
      <c r="M59" s="8">
        <v>0.47920000000000001</v>
      </c>
      <c r="N59" s="5">
        <v>14</v>
      </c>
      <c r="O59" s="5">
        <v>5</v>
      </c>
    </row>
    <row r="60" spans="2:15">
      <c r="B60" s="4" t="s">
        <v>124</v>
      </c>
      <c r="C60" s="4" t="s">
        <v>220</v>
      </c>
      <c r="D60" s="4" t="s">
        <v>638</v>
      </c>
      <c r="E60" s="4" t="s">
        <v>249</v>
      </c>
      <c r="F60" s="4" t="s">
        <v>126</v>
      </c>
      <c r="G60" s="4">
        <v>101020084</v>
      </c>
      <c r="H60" s="5">
        <v>44</v>
      </c>
      <c r="I60" s="7">
        <v>155.55000000000001</v>
      </c>
      <c r="J60" s="7">
        <v>6844</v>
      </c>
      <c r="K60" s="7">
        <v>5035.4274999999998</v>
      </c>
      <c r="L60" s="7">
        <v>1808.5725</v>
      </c>
      <c r="M60" s="8">
        <v>0.26419999999999999</v>
      </c>
      <c r="N60" s="5">
        <v>17</v>
      </c>
      <c r="O60" s="5">
        <v>8</v>
      </c>
    </row>
    <row r="61" spans="2:15">
      <c r="B61" s="4" t="s">
        <v>124</v>
      </c>
      <c r="C61" s="4" t="s">
        <v>125</v>
      </c>
      <c r="D61" s="4" t="s">
        <v>178</v>
      </c>
      <c r="E61" s="4" t="s">
        <v>31</v>
      </c>
      <c r="F61" s="4" t="s">
        <v>126</v>
      </c>
      <c r="G61" s="4">
        <v>101010227</v>
      </c>
      <c r="H61" s="5">
        <v>51</v>
      </c>
      <c r="I61" s="7">
        <v>125.18</v>
      </c>
      <c r="J61" s="7">
        <v>6384</v>
      </c>
      <c r="K61" s="7">
        <v>5373.3842999999997</v>
      </c>
      <c r="L61" s="7">
        <v>1010.6156999999999</v>
      </c>
      <c r="M61" s="8">
        <v>0.1583</v>
      </c>
      <c r="N61" s="5">
        <v>25</v>
      </c>
      <c r="O61" s="5">
        <v>8</v>
      </c>
    </row>
    <row r="62" spans="2:15">
      <c r="B62" s="4" t="s">
        <v>124</v>
      </c>
      <c r="C62" s="4" t="s">
        <v>125</v>
      </c>
      <c r="D62" s="4" t="s">
        <v>186</v>
      </c>
      <c r="E62" s="4" t="s">
        <v>31</v>
      </c>
      <c r="F62" s="4" t="s">
        <v>126</v>
      </c>
      <c r="G62" s="4">
        <v>101010465</v>
      </c>
      <c r="H62" s="5">
        <v>37</v>
      </c>
      <c r="I62" s="7">
        <v>160.30000000000001</v>
      </c>
      <c r="J62" s="7">
        <v>5931</v>
      </c>
      <c r="K62" s="7">
        <v>3054.6837999999998</v>
      </c>
      <c r="L62" s="7">
        <v>2876.3162000000002</v>
      </c>
      <c r="M62" s="8">
        <v>0.4849</v>
      </c>
      <c r="N62" s="5">
        <v>19</v>
      </c>
      <c r="O62" s="5">
        <v>7</v>
      </c>
    </row>
    <row r="63" spans="2:15">
      <c r="B63" s="4" t="s">
        <v>124</v>
      </c>
      <c r="C63" s="4" t="s">
        <v>125</v>
      </c>
      <c r="D63" s="4" t="s">
        <v>282</v>
      </c>
      <c r="E63" s="4" t="s">
        <v>31</v>
      </c>
      <c r="F63" s="4" t="s">
        <v>126</v>
      </c>
      <c r="G63" s="4">
        <v>101010230</v>
      </c>
      <c r="H63" s="5">
        <v>31</v>
      </c>
      <c r="I63" s="7">
        <v>190.32</v>
      </c>
      <c r="J63" s="7">
        <v>5900</v>
      </c>
      <c r="K63" s="7">
        <v>4406.3680999999997</v>
      </c>
      <c r="L63" s="7">
        <v>1493.6319000000001</v>
      </c>
      <c r="M63" s="8">
        <v>0.25309999999999999</v>
      </c>
      <c r="N63" s="5">
        <v>11</v>
      </c>
      <c r="O63" s="5">
        <v>5</v>
      </c>
    </row>
    <row r="64" spans="2:15">
      <c r="B64" s="4" t="s">
        <v>124</v>
      </c>
      <c r="C64" s="4" t="s">
        <v>125</v>
      </c>
      <c r="D64" s="4" t="s">
        <v>37</v>
      </c>
      <c r="E64" s="4" t="s">
        <v>31</v>
      </c>
      <c r="F64" s="4" t="s">
        <v>126</v>
      </c>
      <c r="G64" s="4">
        <v>101010115</v>
      </c>
      <c r="H64" s="5">
        <v>22</v>
      </c>
      <c r="I64" s="7">
        <v>268</v>
      </c>
      <c r="J64" s="7">
        <v>5896</v>
      </c>
      <c r="K64" s="7">
        <v>4389.7439999999997</v>
      </c>
      <c r="L64" s="7">
        <v>1506.2560000000001</v>
      </c>
      <c r="M64" s="8">
        <v>0.25540000000000002</v>
      </c>
      <c r="N64" s="5">
        <v>10</v>
      </c>
      <c r="O64" s="5">
        <v>4</v>
      </c>
    </row>
    <row r="65" spans="2:15">
      <c r="B65" s="4" t="s">
        <v>124</v>
      </c>
      <c r="C65" s="4" t="s">
        <v>147</v>
      </c>
      <c r="D65" s="4" t="s">
        <v>198</v>
      </c>
      <c r="E65" s="4" t="s">
        <v>167</v>
      </c>
      <c r="F65" s="4" t="s">
        <v>126</v>
      </c>
      <c r="G65" s="4">
        <v>101010069</v>
      </c>
      <c r="H65" s="5">
        <v>47</v>
      </c>
      <c r="I65" s="7">
        <v>125.43</v>
      </c>
      <c r="J65" s="7">
        <v>5895</v>
      </c>
      <c r="K65" s="7">
        <v>4641.7124000000003</v>
      </c>
      <c r="L65" s="7">
        <v>1253.2876000000001</v>
      </c>
      <c r="M65" s="8">
        <v>0.21260000000000001</v>
      </c>
      <c r="N65" s="5">
        <v>12</v>
      </c>
      <c r="O65" s="5">
        <v>5</v>
      </c>
    </row>
    <row r="66" spans="2:15">
      <c r="B66" s="4" t="s">
        <v>124</v>
      </c>
      <c r="C66" s="4" t="s">
        <v>130</v>
      </c>
      <c r="D66" s="4" t="s">
        <v>307</v>
      </c>
      <c r="E66" s="4" t="s">
        <v>31</v>
      </c>
      <c r="F66" s="4" t="s">
        <v>126</v>
      </c>
      <c r="G66" s="4">
        <v>101010461</v>
      </c>
      <c r="H66" s="5">
        <v>166</v>
      </c>
      <c r="I66" s="7">
        <v>33.22</v>
      </c>
      <c r="J66" s="7">
        <v>5514</v>
      </c>
      <c r="K66" s="7">
        <v>3447.8265999999999</v>
      </c>
      <c r="L66" s="7">
        <v>2066.1734000000001</v>
      </c>
      <c r="M66" s="8">
        <v>0.37469999999999998</v>
      </c>
      <c r="N66" s="5">
        <v>60</v>
      </c>
      <c r="O66" s="5">
        <v>9</v>
      </c>
    </row>
    <row r="67" spans="2:15">
      <c r="B67" s="4" t="s">
        <v>124</v>
      </c>
      <c r="C67" s="4" t="s">
        <v>125</v>
      </c>
      <c r="D67" s="4" t="s">
        <v>265</v>
      </c>
      <c r="E67" s="4" t="s">
        <v>31</v>
      </c>
      <c r="F67" s="4" t="s">
        <v>126</v>
      </c>
      <c r="G67" s="4">
        <v>101010486</v>
      </c>
      <c r="H67" s="5">
        <v>29</v>
      </c>
      <c r="I67" s="7">
        <v>188</v>
      </c>
      <c r="J67" s="7">
        <v>5452</v>
      </c>
      <c r="K67" s="7">
        <v>2738.7606000000001</v>
      </c>
      <c r="L67" s="7">
        <v>2713.2393999999999</v>
      </c>
      <c r="M67" s="8">
        <v>0.49759999999999999</v>
      </c>
      <c r="N67" s="5">
        <v>14</v>
      </c>
      <c r="O67" s="5">
        <v>5</v>
      </c>
    </row>
    <row r="68" spans="2:15">
      <c r="B68" s="4" t="s">
        <v>124</v>
      </c>
      <c r="C68" s="4" t="s">
        <v>125</v>
      </c>
      <c r="D68" s="4" t="s">
        <v>257</v>
      </c>
      <c r="E68" s="4" t="s">
        <v>31</v>
      </c>
      <c r="F68" s="4" t="s">
        <v>126</v>
      </c>
      <c r="G68" s="4">
        <v>101010530</v>
      </c>
      <c r="H68" s="5">
        <v>4</v>
      </c>
      <c r="I68" s="7">
        <v>1324.5</v>
      </c>
      <c r="J68" s="7">
        <v>5298</v>
      </c>
      <c r="K68" s="7">
        <v>3509.7435999999998</v>
      </c>
      <c r="L68" s="7">
        <v>1788.2564</v>
      </c>
      <c r="M68" s="8">
        <v>0.33750000000000002</v>
      </c>
      <c r="N68" s="5">
        <v>2</v>
      </c>
      <c r="O68" s="5">
        <v>2</v>
      </c>
    </row>
    <row r="69" spans="2:15">
      <c r="B69" s="4" t="s">
        <v>124</v>
      </c>
      <c r="C69" s="4" t="s">
        <v>125</v>
      </c>
      <c r="D69" s="4" t="s">
        <v>639</v>
      </c>
      <c r="E69" s="4" t="s">
        <v>123</v>
      </c>
      <c r="F69" s="4" t="s">
        <v>126</v>
      </c>
      <c r="G69" s="4">
        <v>101020067</v>
      </c>
      <c r="H69" s="5">
        <v>14</v>
      </c>
      <c r="I69" s="7">
        <v>363.71</v>
      </c>
      <c r="J69" s="7">
        <v>5092</v>
      </c>
      <c r="K69" s="7">
        <v>3043.1451999999999</v>
      </c>
      <c r="L69" s="7">
        <v>2048.8548000000001</v>
      </c>
      <c r="M69" s="8">
        <v>0.40229999999999999</v>
      </c>
      <c r="N69" s="5">
        <v>5</v>
      </c>
      <c r="O69" s="5">
        <v>2</v>
      </c>
    </row>
    <row r="70" spans="2:15">
      <c r="B70" s="4" t="s">
        <v>124</v>
      </c>
      <c r="C70" s="4" t="s">
        <v>125</v>
      </c>
      <c r="D70" s="4" t="s">
        <v>239</v>
      </c>
      <c r="E70" s="4" t="s">
        <v>31</v>
      </c>
      <c r="F70" s="4" t="s">
        <v>126</v>
      </c>
      <c r="G70" s="4">
        <v>101010472</v>
      </c>
      <c r="H70" s="5">
        <v>138</v>
      </c>
      <c r="I70" s="7">
        <v>36.299999999999997</v>
      </c>
      <c r="J70" s="7">
        <v>5010</v>
      </c>
      <c r="K70" s="7">
        <v>2883.1016</v>
      </c>
      <c r="L70" s="7">
        <v>2126.8984</v>
      </c>
      <c r="M70" s="8">
        <v>0.42449999999999999</v>
      </c>
      <c r="N70" s="5">
        <v>60</v>
      </c>
      <c r="O70" s="5">
        <v>9</v>
      </c>
    </row>
    <row r="71" spans="2:15">
      <c r="B71" s="4" t="s">
        <v>124</v>
      </c>
      <c r="C71" s="4" t="s">
        <v>147</v>
      </c>
      <c r="D71" s="4" t="s">
        <v>248</v>
      </c>
      <c r="E71" s="4" t="s">
        <v>249</v>
      </c>
      <c r="F71" s="4" t="s">
        <v>126</v>
      </c>
      <c r="G71" s="4">
        <v>101010093</v>
      </c>
      <c r="H71" s="5">
        <v>63</v>
      </c>
      <c r="I71" s="7">
        <v>69.37</v>
      </c>
      <c r="J71" s="7">
        <v>4370</v>
      </c>
      <c r="K71" s="7">
        <v>2887.3764000000001</v>
      </c>
      <c r="L71" s="7">
        <v>1482.6235999999999</v>
      </c>
      <c r="M71" s="8">
        <v>0.3392</v>
      </c>
      <c r="N71" s="5">
        <v>27</v>
      </c>
      <c r="O71" s="5">
        <v>8</v>
      </c>
    </row>
    <row r="72" spans="2:15">
      <c r="B72" s="4" t="s">
        <v>124</v>
      </c>
      <c r="C72" s="4" t="s">
        <v>147</v>
      </c>
      <c r="D72" s="4" t="s">
        <v>190</v>
      </c>
      <c r="E72" s="4" t="s">
        <v>167</v>
      </c>
      <c r="F72" s="4" t="s">
        <v>126</v>
      </c>
      <c r="G72" s="4">
        <v>101010070</v>
      </c>
      <c r="H72" s="5">
        <v>41</v>
      </c>
      <c r="I72" s="7">
        <v>101.93</v>
      </c>
      <c r="J72" s="7">
        <v>4179</v>
      </c>
      <c r="K72" s="7">
        <v>2980.1608999999999</v>
      </c>
      <c r="L72" s="7">
        <v>1198.8390999999999</v>
      </c>
      <c r="M72" s="8">
        <v>0.2868</v>
      </c>
      <c r="N72" s="5">
        <v>29</v>
      </c>
      <c r="O72" s="5">
        <v>9</v>
      </c>
    </row>
    <row r="73" spans="2:15">
      <c r="B73" s="4" t="s">
        <v>124</v>
      </c>
      <c r="C73" s="4" t="s">
        <v>124</v>
      </c>
      <c r="D73" s="4" t="s">
        <v>640</v>
      </c>
      <c r="E73" s="4" t="s">
        <v>249</v>
      </c>
      <c r="F73" s="4" t="s">
        <v>126</v>
      </c>
      <c r="G73" s="4">
        <v>101020086</v>
      </c>
      <c r="H73" s="5">
        <v>68</v>
      </c>
      <c r="I73" s="7">
        <v>55.04</v>
      </c>
      <c r="J73" s="7">
        <v>3743</v>
      </c>
      <c r="K73" s="7">
        <v>2705.2984999999999</v>
      </c>
      <c r="L73" s="7">
        <v>1037.7014999999999</v>
      </c>
      <c r="M73" s="8">
        <v>0.2772</v>
      </c>
      <c r="N73" s="5">
        <v>42</v>
      </c>
      <c r="O73" s="5">
        <v>9</v>
      </c>
    </row>
    <row r="74" spans="2:15">
      <c r="B74" s="4" t="s">
        <v>124</v>
      </c>
      <c r="C74" s="4" t="s">
        <v>125</v>
      </c>
      <c r="D74" s="4" t="s">
        <v>309</v>
      </c>
      <c r="E74" s="4" t="s">
        <v>31</v>
      </c>
      <c r="F74" s="4" t="s">
        <v>126</v>
      </c>
      <c r="G74" s="4">
        <v>101010084</v>
      </c>
      <c r="H74" s="5">
        <v>84</v>
      </c>
      <c r="I74" s="7">
        <v>38.29</v>
      </c>
      <c r="J74" s="7">
        <v>3216</v>
      </c>
      <c r="K74" s="7">
        <v>2299.1257999999998</v>
      </c>
      <c r="L74" s="7">
        <v>916.87419999999997</v>
      </c>
      <c r="M74" s="8">
        <v>0.28499999999999998</v>
      </c>
      <c r="N74" s="5">
        <v>41</v>
      </c>
      <c r="O74" s="5">
        <v>6</v>
      </c>
    </row>
    <row r="75" spans="2:15">
      <c r="B75" s="4" t="s">
        <v>124</v>
      </c>
      <c r="C75" s="4" t="s">
        <v>130</v>
      </c>
      <c r="D75" s="4" t="s">
        <v>297</v>
      </c>
      <c r="E75" s="4" t="s">
        <v>298</v>
      </c>
      <c r="F75" s="4" t="s">
        <v>126</v>
      </c>
      <c r="G75" s="4">
        <v>101010147</v>
      </c>
      <c r="H75" s="5">
        <v>139</v>
      </c>
      <c r="I75" s="7">
        <v>23.02</v>
      </c>
      <c r="J75" s="7">
        <v>3199.8</v>
      </c>
      <c r="K75" s="7">
        <v>2449.6192000000001</v>
      </c>
      <c r="L75" s="7">
        <v>750.18079999999998</v>
      </c>
      <c r="M75" s="8">
        <v>0.2344</v>
      </c>
      <c r="N75" s="5">
        <v>98</v>
      </c>
      <c r="O75" s="5">
        <v>8</v>
      </c>
    </row>
    <row r="76" spans="2:15">
      <c r="B76" s="4" t="s">
        <v>124</v>
      </c>
      <c r="C76" s="4" t="s">
        <v>125</v>
      </c>
      <c r="D76" s="4" t="s">
        <v>294</v>
      </c>
      <c r="E76" s="4" t="s">
        <v>167</v>
      </c>
      <c r="F76" s="4" t="s">
        <v>126</v>
      </c>
      <c r="G76" s="4">
        <v>101010400</v>
      </c>
      <c r="H76" s="5">
        <v>58</v>
      </c>
      <c r="I76" s="7">
        <v>54.5</v>
      </c>
      <c r="J76" s="7">
        <v>3161</v>
      </c>
      <c r="K76" s="7">
        <v>1853.5385000000001</v>
      </c>
      <c r="L76" s="7">
        <v>1307.4614999999999</v>
      </c>
      <c r="M76" s="8">
        <v>0.41360000000000002</v>
      </c>
      <c r="N76" s="5">
        <v>23</v>
      </c>
      <c r="O76" s="5">
        <v>6</v>
      </c>
    </row>
    <row r="77" spans="2:15">
      <c r="B77" s="4" t="s">
        <v>124</v>
      </c>
      <c r="C77" s="4" t="s">
        <v>127</v>
      </c>
      <c r="D77" s="4" t="s">
        <v>185</v>
      </c>
      <c r="E77" s="4" t="s">
        <v>31</v>
      </c>
      <c r="F77" s="4" t="s">
        <v>126</v>
      </c>
      <c r="G77" s="4">
        <v>101020006</v>
      </c>
      <c r="H77" s="5">
        <v>38</v>
      </c>
      <c r="I77" s="7">
        <v>82.63</v>
      </c>
      <c r="J77" s="7">
        <v>3140</v>
      </c>
      <c r="K77" s="7">
        <v>2007.86</v>
      </c>
      <c r="L77" s="7">
        <v>1132.1400000000001</v>
      </c>
      <c r="M77" s="8">
        <v>0.36049999999999999</v>
      </c>
      <c r="N77" s="5">
        <v>21</v>
      </c>
      <c r="O77" s="5">
        <v>7</v>
      </c>
    </row>
    <row r="78" spans="2:15">
      <c r="B78" s="4" t="s">
        <v>124</v>
      </c>
      <c r="C78" s="4" t="s">
        <v>130</v>
      </c>
      <c r="D78" s="4" t="s">
        <v>133</v>
      </c>
      <c r="E78" s="4" t="s">
        <v>132</v>
      </c>
      <c r="F78" s="4" t="s">
        <v>126</v>
      </c>
      <c r="G78" s="4">
        <v>101010105</v>
      </c>
      <c r="H78" s="5">
        <v>30</v>
      </c>
      <c r="I78" s="7">
        <v>102.47</v>
      </c>
      <c r="J78" s="7">
        <v>3074</v>
      </c>
      <c r="K78" s="7">
        <v>2640</v>
      </c>
      <c r="L78" s="7">
        <v>434</v>
      </c>
      <c r="M78" s="8">
        <v>0.1411</v>
      </c>
      <c r="N78" s="5">
        <v>13</v>
      </c>
      <c r="O78" s="5">
        <v>7</v>
      </c>
    </row>
    <row r="79" spans="2:15">
      <c r="B79" s="4" t="s">
        <v>124</v>
      </c>
      <c r="C79" s="4" t="s">
        <v>127</v>
      </c>
      <c r="D79" s="4" t="s">
        <v>168</v>
      </c>
      <c r="E79" s="4" t="s">
        <v>169</v>
      </c>
      <c r="F79" s="4" t="s">
        <v>126</v>
      </c>
      <c r="G79" s="4">
        <v>101020107</v>
      </c>
      <c r="H79" s="5">
        <v>2</v>
      </c>
      <c r="I79" s="7">
        <v>1499</v>
      </c>
      <c r="J79" s="7">
        <v>2998</v>
      </c>
      <c r="K79" s="7">
        <v>2660</v>
      </c>
      <c r="L79" s="7">
        <v>338</v>
      </c>
      <c r="M79" s="8">
        <v>0.11269999999999999</v>
      </c>
      <c r="N79" s="5">
        <v>1</v>
      </c>
      <c r="O79" s="5">
        <v>1</v>
      </c>
    </row>
    <row r="80" spans="2:15">
      <c r="B80" s="4" t="s">
        <v>124</v>
      </c>
      <c r="C80" s="4" t="s">
        <v>127</v>
      </c>
      <c r="D80" s="4" t="s">
        <v>367</v>
      </c>
      <c r="E80" s="4" t="s">
        <v>31</v>
      </c>
      <c r="F80" s="4" t="s">
        <v>126</v>
      </c>
      <c r="G80" s="4">
        <v>101020113</v>
      </c>
      <c r="H80" s="5">
        <v>5</v>
      </c>
      <c r="I80" s="7">
        <v>599</v>
      </c>
      <c r="J80" s="7">
        <v>2995</v>
      </c>
      <c r="K80" s="7">
        <v>875</v>
      </c>
      <c r="L80" s="7">
        <v>2120</v>
      </c>
      <c r="M80" s="8">
        <v>0.70779999999999998</v>
      </c>
      <c r="N80" s="5">
        <v>3</v>
      </c>
      <c r="O80" s="5">
        <v>3</v>
      </c>
    </row>
    <row r="81" spans="2:15">
      <c r="B81" s="4" t="s">
        <v>124</v>
      </c>
      <c r="C81" s="4" t="s">
        <v>147</v>
      </c>
      <c r="D81" s="4" t="s">
        <v>292</v>
      </c>
      <c r="E81" s="4" t="s">
        <v>176</v>
      </c>
      <c r="F81" s="4" t="s">
        <v>126</v>
      </c>
      <c r="G81" s="4">
        <v>101010154</v>
      </c>
      <c r="H81" s="5">
        <v>254</v>
      </c>
      <c r="I81" s="7">
        <v>11.5</v>
      </c>
      <c r="J81" s="7">
        <v>2922</v>
      </c>
      <c r="K81" s="7">
        <v>2217.279</v>
      </c>
      <c r="L81" s="7">
        <v>704.721</v>
      </c>
      <c r="M81" s="8">
        <v>0.24110000000000001</v>
      </c>
      <c r="N81" s="5">
        <v>133</v>
      </c>
      <c r="O81" s="5">
        <v>9</v>
      </c>
    </row>
    <row r="82" spans="2:15">
      <c r="B82" s="4" t="s">
        <v>124</v>
      </c>
      <c r="C82" s="4" t="s">
        <v>147</v>
      </c>
      <c r="D82" s="4" t="s">
        <v>276</v>
      </c>
      <c r="E82" s="4" t="s">
        <v>277</v>
      </c>
      <c r="F82" s="4" t="s">
        <v>126</v>
      </c>
      <c r="G82" s="4">
        <v>101010156</v>
      </c>
      <c r="H82" s="5">
        <v>487</v>
      </c>
      <c r="I82" s="7">
        <v>5.96</v>
      </c>
      <c r="J82" s="7">
        <v>2904.7</v>
      </c>
      <c r="K82" s="7">
        <v>1842.0894000000001</v>
      </c>
      <c r="L82" s="7">
        <v>1062.6106</v>
      </c>
      <c r="M82" s="8">
        <v>0.36580000000000001</v>
      </c>
      <c r="N82" s="5">
        <v>125</v>
      </c>
      <c r="O82" s="5">
        <v>10</v>
      </c>
    </row>
    <row r="83" spans="2:15">
      <c r="B83" s="4" t="s">
        <v>124</v>
      </c>
      <c r="C83" s="4" t="s">
        <v>125</v>
      </c>
      <c r="D83" s="4" t="s">
        <v>641</v>
      </c>
      <c r="E83" s="4" t="s">
        <v>123</v>
      </c>
      <c r="F83" s="4" t="s">
        <v>126</v>
      </c>
      <c r="G83" s="4">
        <v>101020069</v>
      </c>
      <c r="H83" s="5">
        <v>107</v>
      </c>
      <c r="I83" s="7">
        <v>24.82</v>
      </c>
      <c r="J83" s="7">
        <v>2656</v>
      </c>
      <c r="K83" s="7">
        <v>2021.4695999999999</v>
      </c>
      <c r="L83" s="7">
        <v>634.53039999999999</v>
      </c>
      <c r="M83" s="8">
        <v>0.2389</v>
      </c>
      <c r="N83" s="5">
        <v>68</v>
      </c>
      <c r="O83" s="5">
        <v>7</v>
      </c>
    </row>
    <row r="84" spans="2:15">
      <c r="B84" s="4" t="s">
        <v>124</v>
      </c>
      <c r="C84" s="4" t="s">
        <v>125</v>
      </c>
      <c r="D84" s="4" t="s">
        <v>216</v>
      </c>
      <c r="E84" s="4" t="s">
        <v>31</v>
      </c>
      <c r="F84" s="4" t="s">
        <v>126</v>
      </c>
      <c r="G84" s="4">
        <v>101010114</v>
      </c>
      <c r="H84" s="5">
        <v>12</v>
      </c>
      <c r="I84" s="7">
        <v>218</v>
      </c>
      <c r="J84" s="7">
        <v>2616</v>
      </c>
      <c r="K84" s="7">
        <v>1970.1282000000001</v>
      </c>
      <c r="L84" s="7">
        <v>645.87180000000001</v>
      </c>
      <c r="M84" s="8">
        <v>0.24679999999999999</v>
      </c>
      <c r="N84" s="5">
        <v>6</v>
      </c>
      <c r="O84" s="5">
        <v>3</v>
      </c>
    </row>
    <row r="85" spans="2:15">
      <c r="B85" s="4" t="s">
        <v>124</v>
      </c>
      <c r="C85" s="4" t="s">
        <v>125</v>
      </c>
      <c r="D85" s="4" t="s">
        <v>206</v>
      </c>
      <c r="E85" s="4" t="s">
        <v>31</v>
      </c>
      <c r="F85" s="4" t="s">
        <v>126</v>
      </c>
      <c r="G85" s="4">
        <v>101010493</v>
      </c>
      <c r="H85" s="5">
        <v>28</v>
      </c>
      <c r="I85" s="7">
        <v>89.71</v>
      </c>
      <c r="J85" s="7">
        <v>2512</v>
      </c>
      <c r="K85" s="7">
        <v>888.88900000000001</v>
      </c>
      <c r="L85" s="7">
        <v>1623.1110000000001</v>
      </c>
      <c r="M85" s="8">
        <v>0.64610000000000001</v>
      </c>
      <c r="N85" s="5">
        <v>10</v>
      </c>
      <c r="O85" s="5">
        <v>6</v>
      </c>
    </row>
    <row r="86" spans="2:15">
      <c r="B86" s="4" t="s">
        <v>124</v>
      </c>
      <c r="C86" s="4" t="s">
        <v>125</v>
      </c>
      <c r="D86" s="4" t="s">
        <v>191</v>
      </c>
      <c r="E86" s="4" t="s">
        <v>31</v>
      </c>
      <c r="F86" s="4" t="s">
        <v>126</v>
      </c>
      <c r="G86" s="4">
        <v>101010441</v>
      </c>
      <c r="H86" s="5">
        <v>10</v>
      </c>
      <c r="I86" s="7">
        <v>238</v>
      </c>
      <c r="J86" s="7">
        <v>2380</v>
      </c>
      <c r="K86" s="7">
        <v>2054.614</v>
      </c>
      <c r="L86" s="7">
        <v>325.38600000000002</v>
      </c>
      <c r="M86" s="8">
        <v>0.13669999999999999</v>
      </c>
      <c r="N86" s="5">
        <v>4</v>
      </c>
      <c r="O86" s="5">
        <v>4</v>
      </c>
    </row>
    <row r="87" spans="2:15">
      <c r="B87" s="4" t="s">
        <v>124</v>
      </c>
      <c r="C87" s="4" t="s">
        <v>125</v>
      </c>
      <c r="D87" s="4" t="s">
        <v>325</v>
      </c>
      <c r="E87" s="4" t="s">
        <v>31</v>
      </c>
      <c r="F87" s="4" t="s">
        <v>126</v>
      </c>
      <c r="G87" s="4">
        <v>101010520</v>
      </c>
      <c r="H87" s="5">
        <v>9</v>
      </c>
      <c r="I87" s="7">
        <v>258</v>
      </c>
      <c r="J87" s="7">
        <v>2322</v>
      </c>
      <c r="K87" s="7">
        <v>1224</v>
      </c>
      <c r="L87" s="7">
        <v>1098</v>
      </c>
      <c r="M87" s="8">
        <v>0.4728</v>
      </c>
      <c r="N87" s="5">
        <v>5</v>
      </c>
      <c r="O87" s="5">
        <v>3</v>
      </c>
    </row>
    <row r="88" spans="2:15">
      <c r="B88" s="4" t="s">
        <v>124</v>
      </c>
      <c r="C88" s="4" t="s">
        <v>125</v>
      </c>
      <c r="D88" s="4" t="s">
        <v>327</v>
      </c>
      <c r="E88" s="4" t="s">
        <v>55</v>
      </c>
      <c r="F88" s="4" t="s">
        <v>126</v>
      </c>
      <c r="G88" s="4">
        <v>101010111</v>
      </c>
      <c r="H88" s="5">
        <v>190</v>
      </c>
      <c r="I88" s="7">
        <v>12.05</v>
      </c>
      <c r="J88" s="7">
        <v>2289</v>
      </c>
      <c r="K88" s="7">
        <v>1651.8789999999999</v>
      </c>
      <c r="L88" s="7">
        <v>637.12099999999998</v>
      </c>
      <c r="M88" s="8">
        <v>0.27829999999999999</v>
      </c>
      <c r="N88" s="5">
        <v>131</v>
      </c>
      <c r="O88" s="5">
        <v>10</v>
      </c>
    </row>
    <row r="89" spans="2:15">
      <c r="B89" s="4" t="s">
        <v>124</v>
      </c>
      <c r="C89" s="4" t="s">
        <v>147</v>
      </c>
      <c r="D89" s="4" t="s">
        <v>283</v>
      </c>
      <c r="E89" s="4" t="s">
        <v>284</v>
      </c>
      <c r="F89" s="4" t="s">
        <v>137</v>
      </c>
      <c r="G89" s="4">
        <v>101010072</v>
      </c>
      <c r="H89" s="5">
        <v>40</v>
      </c>
      <c r="I89" s="7">
        <v>56.4</v>
      </c>
      <c r="J89" s="7">
        <v>2255.8000000000002</v>
      </c>
      <c r="K89" s="7">
        <v>1393.9382000000001</v>
      </c>
      <c r="L89" s="7">
        <v>861.86180000000002</v>
      </c>
      <c r="M89" s="8">
        <v>0.38200000000000001</v>
      </c>
      <c r="N89" s="5">
        <v>23</v>
      </c>
      <c r="O89" s="5">
        <v>8</v>
      </c>
    </row>
    <row r="90" spans="2:15">
      <c r="B90" s="4" t="s">
        <v>124</v>
      </c>
      <c r="C90" s="4" t="s">
        <v>125</v>
      </c>
      <c r="D90" s="4" t="s">
        <v>642</v>
      </c>
      <c r="E90" s="4" t="s">
        <v>123</v>
      </c>
      <c r="F90" s="4" t="s">
        <v>126</v>
      </c>
      <c r="G90" s="4">
        <v>101020078</v>
      </c>
      <c r="H90" s="5">
        <v>27</v>
      </c>
      <c r="I90" s="7">
        <v>80</v>
      </c>
      <c r="J90" s="7">
        <v>2160</v>
      </c>
      <c r="K90" s="7">
        <v>1681.6239</v>
      </c>
      <c r="L90" s="7">
        <v>478.37610000000001</v>
      </c>
      <c r="M90" s="8">
        <v>0.22140000000000001</v>
      </c>
      <c r="N90" s="5">
        <v>13</v>
      </c>
      <c r="O90" s="5">
        <v>6</v>
      </c>
    </row>
    <row r="91" spans="2:15">
      <c r="B91" s="4" t="s">
        <v>124</v>
      </c>
      <c r="C91" s="4" t="s">
        <v>130</v>
      </c>
      <c r="D91" s="4" t="s">
        <v>281</v>
      </c>
      <c r="E91" s="4" t="s">
        <v>167</v>
      </c>
      <c r="F91" s="4" t="s">
        <v>126</v>
      </c>
      <c r="G91" s="4">
        <v>101990006</v>
      </c>
      <c r="H91" s="5">
        <v>39</v>
      </c>
      <c r="I91" s="7">
        <v>52</v>
      </c>
      <c r="J91" s="7">
        <v>2028</v>
      </c>
      <c r="K91" s="7">
        <v>1485.4591</v>
      </c>
      <c r="L91" s="7">
        <v>542.54089999999997</v>
      </c>
      <c r="M91" s="8">
        <v>0.26750000000000002</v>
      </c>
      <c r="N91" s="5">
        <v>29</v>
      </c>
      <c r="O91" s="5">
        <v>7</v>
      </c>
    </row>
    <row r="92" spans="2:15">
      <c r="B92" s="4" t="s">
        <v>124</v>
      </c>
      <c r="C92" s="4" t="s">
        <v>147</v>
      </c>
      <c r="D92" s="4" t="s">
        <v>187</v>
      </c>
      <c r="E92" s="4" t="s">
        <v>31</v>
      </c>
      <c r="F92" s="4" t="s">
        <v>126</v>
      </c>
      <c r="G92" s="4">
        <v>101030018</v>
      </c>
      <c r="H92" s="5">
        <v>30</v>
      </c>
      <c r="I92" s="7">
        <v>65.87</v>
      </c>
      <c r="J92" s="7">
        <v>1976</v>
      </c>
      <c r="K92" s="7">
        <v>1045.5129999999999</v>
      </c>
      <c r="L92" s="7">
        <v>930.48699999999997</v>
      </c>
      <c r="M92" s="8">
        <v>0.4708</v>
      </c>
      <c r="N92" s="5">
        <v>12</v>
      </c>
      <c r="O92" s="5">
        <v>6</v>
      </c>
    </row>
    <row r="93" spans="2:15">
      <c r="B93" s="4" t="s">
        <v>124</v>
      </c>
      <c r="C93" s="4" t="s">
        <v>147</v>
      </c>
      <c r="D93" s="4" t="s">
        <v>303</v>
      </c>
      <c r="E93" s="4" t="s">
        <v>31</v>
      </c>
      <c r="F93" s="4" t="s">
        <v>126</v>
      </c>
      <c r="G93" s="4">
        <v>101010075</v>
      </c>
      <c r="H93" s="5">
        <v>18</v>
      </c>
      <c r="I93" s="7">
        <v>95</v>
      </c>
      <c r="J93" s="7">
        <v>1710</v>
      </c>
      <c r="K93" s="7">
        <v>1068.0823</v>
      </c>
      <c r="L93" s="7">
        <v>641.91769999999997</v>
      </c>
      <c r="M93" s="8">
        <v>0.37530000000000002</v>
      </c>
      <c r="N93" s="5">
        <v>14</v>
      </c>
      <c r="O93" s="5">
        <v>7</v>
      </c>
    </row>
    <row r="94" spans="2:15">
      <c r="B94" s="4" t="s">
        <v>124</v>
      </c>
      <c r="C94" s="4" t="s">
        <v>125</v>
      </c>
      <c r="D94" s="4" t="s">
        <v>247</v>
      </c>
      <c r="E94" s="4" t="s">
        <v>31</v>
      </c>
      <c r="F94" s="4" t="s">
        <v>126</v>
      </c>
      <c r="G94" s="4">
        <v>101010475</v>
      </c>
      <c r="H94" s="5">
        <v>9</v>
      </c>
      <c r="I94" s="7">
        <v>188</v>
      </c>
      <c r="J94" s="7">
        <v>1692</v>
      </c>
      <c r="K94" s="7">
        <v>556.41030000000001</v>
      </c>
      <c r="L94" s="7">
        <v>1135.5897</v>
      </c>
      <c r="M94" s="8">
        <v>0.67110000000000003</v>
      </c>
      <c r="N94" s="5">
        <v>7</v>
      </c>
      <c r="O94" s="5">
        <v>5</v>
      </c>
    </row>
    <row r="95" spans="2:15">
      <c r="B95" s="4" t="s">
        <v>124</v>
      </c>
      <c r="C95" s="4" t="s">
        <v>125</v>
      </c>
      <c r="D95" s="4" t="s">
        <v>643</v>
      </c>
      <c r="E95" s="4" t="s">
        <v>123</v>
      </c>
      <c r="F95" s="4" t="s">
        <v>126</v>
      </c>
      <c r="G95" s="4">
        <v>101020068</v>
      </c>
      <c r="H95" s="5">
        <v>14</v>
      </c>
      <c r="I95" s="7">
        <v>118</v>
      </c>
      <c r="J95" s="7">
        <v>1652</v>
      </c>
      <c r="K95" s="7">
        <v>834.87180000000001</v>
      </c>
      <c r="L95" s="7">
        <v>817.12819999999999</v>
      </c>
      <c r="M95" s="8">
        <v>0.49459999999999998</v>
      </c>
      <c r="N95" s="5">
        <v>3</v>
      </c>
      <c r="O95" s="5">
        <v>2</v>
      </c>
    </row>
    <row r="96" spans="2:15">
      <c r="B96" s="4" t="s">
        <v>124</v>
      </c>
      <c r="C96" s="4" t="s">
        <v>125</v>
      </c>
      <c r="D96" s="4" t="s">
        <v>278</v>
      </c>
      <c r="E96" s="4" t="s">
        <v>31</v>
      </c>
      <c r="F96" s="4" t="s">
        <v>126</v>
      </c>
      <c r="G96" s="4">
        <v>101010109</v>
      </c>
      <c r="H96" s="5">
        <v>22</v>
      </c>
      <c r="I96" s="7">
        <v>74.36</v>
      </c>
      <c r="J96" s="7">
        <v>1636</v>
      </c>
      <c r="K96" s="7">
        <v>1314.4754</v>
      </c>
      <c r="L96" s="7">
        <v>321.52460000000002</v>
      </c>
      <c r="M96" s="8">
        <v>0.19650000000000001</v>
      </c>
      <c r="N96" s="5">
        <v>9</v>
      </c>
      <c r="O96" s="5">
        <v>5</v>
      </c>
    </row>
    <row r="97" spans="2:15">
      <c r="B97" s="4" t="s">
        <v>124</v>
      </c>
      <c r="C97" s="4" t="s">
        <v>127</v>
      </c>
      <c r="D97" s="4" t="s">
        <v>326</v>
      </c>
      <c r="E97" s="4" t="s">
        <v>31</v>
      </c>
      <c r="F97" s="4" t="s">
        <v>126</v>
      </c>
      <c r="G97" s="4">
        <v>101020125</v>
      </c>
      <c r="H97" s="5">
        <v>4</v>
      </c>
      <c r="I97" s="7">
        <v>388</v>
      </c>
      <c r="J97" s="7">
        <v>1552</v>
      </c>
      <c r="K97" s="7">
        <v>832</v>
      </c>
      <c r="L97" s="7">
        <v>720</v>
      </c>
      <c r="M97" s="8">
        <v>0.46389999999999998</v>
      </c>
      <c r="N97" s="5">
        <v>3</v>
      </c>
      <c r="O97" s="5">
        <v>2</v>
      </c>
    </row>
    <row r="98" spans="2:15">
      <c r="B98" s="4" t="s">
        <v>124</v>
      </c>
      <c r="C98" s="4" t="s">
        <v>147</v>
      </c>
      <c r="D98" s="4" t="s">
        <v>267</v>
      </c>
      <c r="E98" s="4" t="s">
        <v>31</v>
      </c>
      <c r="F98" s="4" t="s">
        <v>126</v>
      </c>
      <c r="G98" s="4">
        <v>101010094</v>
      </c>
      <c r="H98" s="5">
        <v>23</v>
      </c>
      <c r="I98" s="7">
        <v>65.7</v>
      </c>
      <c r="J98" s="7">
        <v>1511</v>
      </c>
      <c r="K98" s="7">
        <v>868.29570000000001</v>
      </c>
      <c r="L98" s="7">
        <v>642.70429999999999</v>
      </c>
      <c r="M98" s="8">
        <v>0.42530000000000001</v>
      </c>
      <c r="N98" s="5">
        <v>12</v>
      </c>
      <c r="O98" s="5">
        <v>7</v>
      </c>
    </row>
    <row r="99" spans="2:15">
      <c r="B99" s="4" t="s">
        <v>124</v>
      </c>
      <c r="C99" s="4" t="s">
        <v>127</v>
      </c>
      <c r="D99" s="4" t="s">
        <v>196</v>
      </c>
      <c r="E99" s="4" t="s">
        <v>31</v>
      </c>
      <c r="F99" s="4" t="s">
        <v>126</v>
      </c>
      <c r="G99" s="4">
        <v>101010474</v>
      </c>
      <c r="H99" s="5">
        <v>3</v>
      </c>
      <c r="I99" s="7">
        <v>469.33</v>
      </c>
      <c r="J99" s="7">
        <v>1408</v>
      </c>
      <c r="K99" s="7">
        <v>598.29060000000004</v>
      </c>
      <c r="L99" s="7">
        <v>809.70939999999996</v>
      </c>
      <c r="M99" s="8">
        <v>0.57499999999999996</v>
      </c>
      <c r="N99" s="5">
        <v>2</v>
      </c>
      <c r="O99" s="5">
        <v>2</v>
      </c>
    </row>
    <row r="100" spans="2:15">
      <c r="B100" s="4" t="s">
        <v>124</v>
      </c>
      <c r="C100" s="4" t="s">
        <v>130</v>
      </c>
      <c r="D100" s="4" t="s">
        <v>131</v>
      </c>
      <c r="E100" s="4" t="s">
        <v>132</v>
      </c>
      <c r="F100" s="4" t="s">
        <v>126</v>
      </c>
      <c r="G100" s="4">
        <v>101010104</v>
      </c>
      <c r="H100" s="5">
        <v>6</v>
      </c>
      <c r="I100" s="7">
        <v>200</v>
      </c>
      <c r="J100" s="7">
        <v>1200</v>
      </c>
      <c r="K100" s="7">
        <v>978</v>
      </c>
      <c r="L100" s="7">
        <v>222</v>
      </c>
      <c r="M100" s="8">
        <v>0.185</v>
      </c>
      <c r="N100" s="5">
        <v>1</v>
      </c>
      <c r="O100" s="5">
        <v>1</v>
      </c>
    </row>
    <row r="101" spans="2:15">
      <c r="B101" s="4" t="s">
        <v>124</v>
      </c>
      <c r="C101" s="4" t="s">
        <v>147</v>
      </c>
      <c r="D101" s="4" t="s">
        <v>301</v>
      </c>
      <c r="E101" s="4" t="s">
        <v>302</v>
      </c>
      <c r="F101" s="4" t="s">
        <v>126</v>
      </c>
      <c r="G101" s="4">
        <v>101030010</v>
      </c>
      <c r="H101" s="5">
        <v>56</v>
      </c>
      <c r="I101" s="7">
        <v>16.07</v>
      </c>
      <c r="J101" s="7">
        <v>900</v>
      </c>
      <c r="K101" s="7">
        <v>653.18050000000005</v>
      </c>
      <c r="L101" s="7">
        <v>246.81950000000001</v>
      </c>
      <c r="M101" s="8">
        <v>0.2742</v>
      </c>
      <c r="N101" s="5">
        <v>49</v>
      </c>
      <c r="O101" s="5">
        <v>7</v>
      </c>
    </row>
    <row r="102" spans="2:15">
      <c r="B102" s="4" t="s">
        <v>124</v>
      </c>
      <c r="C102" s="4" t="s">
        <v>147</v>
      </c>
      <c r="D102" s="4" t="s">
        <v>279</v>
      </c>
      <c r="E102" s="4" t="s">
        <v>176</v>
      </c>
      <c r="F102" s="4" t="s">
        <v>126</v>
      </c>
      <c r="G102" s="4">
        <v>101030016</v>
      </c>
      <c r="H102" s="5">
        <v>12</v>
      </c>
      <c r="I102" s="7">
        <v>68</v>
      </c>
      <c r="J102" s="7">
        <v>816</v>
      </c>
      <c r="K102" s="7">
        <v>464.66669999999999</v>
      </c>
      <c r="L102" s="7">
        <v>351.33330000000001</v>
      </c>
      <c r="M102" s="8">
        <v>0.43049999999999999</v>
      </c>
      <c r="N102" s="5">
        <v>9</v>
      </c>
      <c r="O102" s="5">
        <v>6</v>
      </c>
    </row>
    <row r="103" spans="2:15">
      <c r="B103" s="4" t="s">
        <v>124</v>
      </c>
      <c r="C103" s="4" t="s">
        <v>125</v>
      </c>
      <c r="D103" s="4" t="s">
        <v>644</v>
      </c>
      <c r="E103" s="4" t="s">
        <v>123</v>
      </c>
      <c r="F103" s="4" t="s">
        <v>126</v>
      </c>
      <c r="G103" s="4">
        <v>101020070</v>
      </c>
      <c r="H103" s="5">
        <v>40</v>
      </c>
      <c r="I103" s="7">
        <v>20</v>
      </c>
      <c r="J103" s="7">
        <v>800</v>
      </c>
      <c r="K103" s="7">
        <v>556.40930000000003</v>
      </c>
      <c r="L103" s="7">
        <v>243.5907</v>
      </c>
      <c r="M103" s="8">
        <v>0.3044</v>
      </c>
      <c r="N103" s="5">
        <v>37</v>
      </c>
      <c r="O103" s="5">
        <v>7</v>
      </c>
    </row>
    <row r="104" spans="2:15">
      <c r="B104" s="4" t="s">
        <v>124</v>
      </c>
      <c r="C104" s="4" t="s">
        <v>147</v>
      </c>
      <c r="D104" s="4" t="s">
        <v>238</v>
      </c>
      <c r="E104" s="4" t="s">
        <v>31</v>
      </c>
      <c r="F104" s="4" t="s">
        <v>126</v>
      </c>
      <c r="G104" s="4">
        <v>101030024</v>
      </c>
      <c r="H104" s="5">
        <v>11</v>
      </c>
      <c r="I104" s="7">
        <v>70.91</v>
      </c>
      <c r="J104" s="7">
        <v>780</v>
      </c>
      <c r="K104" s="7">
        <v>550</v>
      </c>
      <c r="L104" s="7">
        <v>230</v>
      </c>
      <c r="M104" s="8">
        <v>0.29480000000000001</v>
      </c>
      <c r="N104" s="5">
        <v>4</v>
      </c>
      <c r="O104" s="5">
        <v>4</v>
      </c>
    </row>
    <row r="105" spans="2:15" ht="24">
      <c r="B105" s="4" t="s">
        <v>124</v>
      </c>
      <c r="C105" s="4" t="s">
        <v>130</v>
      </c>
      <c r="D105" s="4" t="s">
        <v>143</v>
      </c>
      <c r="E105" s="4" t="s">
        <v>139</v>
      </c>
      <c r="F105" s="4" t="s">
        <v>126</v>
      </c>
      <c r="G105" s="4">
        <v>101990011</v>
      </c>
      <c r="H105" s="5">
        <v>8</v>
      </c>
      <c r="I105" s="7">
        <v>85</v>
      </c>
      <c r="J105" s="7">
        <v>680</v>
      </c>
      <c r="K105" s="7">
        <v>480</v>
      </c>
      <c r="L105" s="7">
        <v>200</v>
      </c>
      <c r="M105" s="8">
        <v>0.29409999999999997</v>
      </c>
      <c r="N105" s="5">
        <v>6</v>
      </c>
      <c r="O105" s="5">
        <v>4</v>
      </c>
    </row>
    <row r="106" spans="2:15">
      <c r="B106" s="4" t="s">
        <v>124</v>
      </c>
      <c r="C106" s="4" t="s">
        <v>125</v>
      </c>
      <c r="D106" s="4" t="s">
        <v>355</v>
      </c>
      <c r="E106" s="4" t="s">
        <v>31</v>
      </c>
      <c r="F106" s="4" t="s">
        <v>126</v>
      </c>
      <c r="G106" s="4">
        <v>101010504</v>
      </c>
      <c r="H106" s="5">
        <v>21</v>
      </c>
      <c r="I106" s="7">
        <v>25</v>
      </c>
      <c r="J106" s="7">
        <v>525</v>
      </c>
      <c r="K106" s="7">
        <v>250.3586</v>
      </c>
      <c r="L106" s="7">
        <v>274.64139999999998</v>
      </c>
      <c r="M106" s="8">
        <v>0.52310000000000001</v>
      </c>
      <c r="N106" s="5">
        <v>17</v>
      </c>
      <c r="O106" s="5">
        <v>5</v>
      </c>
    </row>
    <row r="107" spans="2:15">
      <c r="B107" s="4" t="s">
        <v>124</v>
      </c>
      <c r="C107" s="4" t="s">
        <v>127</v>
      </c>
      <c r="D107" s="4" t="s">
        <v>380</v>
      </c>
      <c r="E107" s="4" t="s">
        <v>31</v>
      </c>
      <c r="F107" s="4" t="s">
        <v>126</v>
      </c>
      <c r="G107" s="4">
        <v>101020039</v>
      </c>
      <c r="H107" s="5">
        <v>6</v>
      </c>
      <c r="I107" s="7">
        <v>78</v>
      </c>
      <c r="J107" s="7">
        <v>468</v>
      </c>
      <c r="K107" s="7">
        <v>210</v>
      </c>
      <c r="L107" s="7">
        <v>258</v>
      </c>
      <c r="M107" s="8">
        <v>0.55120000000000002</v>
      </c>
      <c r="N107" s="5">
        <v>1</v>
      </c>
      <c r="O107" s="5">
        <v>1</v>
      </c>
    </row>
    <row r="108" spans="2:15">
      <c r="B108" s="4" t="s">
        <v>124</v>
      </c>
      <c r="C108" s="4" t="s">
        <v>125</v>
      </c>
      <c r="D108" s="4" t="s">
        <v>383</v>
      </c>
      <c r="E108" s="4" t="s">
        <v>31</v>
      </c>
      <c r="F108" s="4" t="s">
        <v>126</v>
      </c>
      <c r="G108" s="4">
        <v>101010519</v>
      </c>
      <c r="H108" s="5">
        <v>1</v>
      </c>
      <c r="I108" s="7">
        <v>458</v>
      </c>
      <c r="J108" s="7">
        <v>458</v>
      </c>
      <c r="K108" s="7">
        <v>223</v>
      </c>
      <c r="L108" s="7">
        <v>235</v>
      </c>
      <c r="M108" s="8">
        <v>0.5131</v>
      </c>
      <c r="N108" s="5">
        <v>1</v>
      </c>
      <c r="O108" s="5">
        <v>1</v>
      </c>
    </row>
    <row r="109" spans="2:15">
      <c r="B109" s="4" t="s">
        <v>124</v>
      </c>
      <c r="C109" s="4" t="s">
        <v>130</v>
      </c>
      <c r="D109" s="4" t="s">
        <v>352</v>
      </c>
      <c r="E109" s="4" t="s">
        <v>246</v>
      </c>
      <c r="F109" s="4" t="s">
        <v>126</v>
      </c>
      <c r="G109" s="4">
        <v>101010459</v>
      </c>
      <c r="H109" s="5">
        <v>0</v>
      </c>
      <c r="I109" s="7">
        <v>0</v>
      </c>
      <c r="J109" s="7">
        <v>0</v>
      </c>
      <c r="K109" s="7">
        <v>0</v>
      </c>
      <c r="L109" s="7">
        <v>0</v>
      </c>
      <c r="M109" s="8">
        <v>0</v>
      </c>
      <c r="N109" s="5">
        <v>1</v>
      </c>
      <c r="O109" s="5">
        <v>1</v>
      </c>
    </row>
    <row r="110" spans="2:15">
      <c r="B110" s="4" t="s">
        <v>124</v>
      </c>
      <c r="C110" s="4" t="s">
        <v>127</v>
      </c>
      <c r="D110" s="4" t="s">
        <v>354</v>
      </c>
      <c r="E110" s="4" t="s">
        <v>31</v>
      </c>
      <c r="F110" s="4" t="s">
        <v>126</v>
      </c>
      <c r="G110" s="4">
        <v>101020038</v>
      </c>
      <c r="H110" s="5">
        <v>0</v>
      </c>
      <c r="I110" s="7">
        <v>0</v>
      </c>
      <c r="J110" s="7">
        <v>0</v>
      </c>
      <c r="K110" s="7">
        <v>0</v>
      </c>
      <c r="L110" s="7">
        <v>0</v>
      </c>
      <c r="M110" s="8">
        <v>0</v>
      </c>
      <c r="N110" s="5">
        <v>1</v>
      </c>
      <c r="O110" s="5">
        <v>1</v>
      </c>
    </row>
    <row r="111" spans="2:15" ht="5.0999999999999996" customHeight="1"/>
  </sheetData>
  <autoFilter ref="B2:O110" xr:uid="{00000000-0009-0000-0000-000004000000}">
    <sortState ref="B3:O110">
      <sortCondition descending="1" ref="J2"/>
    </sortState>
  </autoFilter>
  <phoneticPr fontId="35" type="noConversion"/>
  <pageMargins left="0.75" right="0.75" top="1" bottom="1" header="0.51" footer="0.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4"/>
  <sheetViews>
    <sheetView workbookViewId="0"/>
  </sheetViews>
  <sheetFormatPr defaultColWidth="9" defaultRowHeight="12"/>
  <cols>
    <col min="1" max="1" width="8" style="307" bestFit="1" customWidth="1"/>
    <col min="2" max="2" width="9.375" style="308" bestFit="1" customWidth="1"/>
    <col min="3" max="3" width="30.5" style="307" bestFit="1" customWidth="1"/>
    <col min="4" max="4" width="7.5" style="308" bestFit="1" customWidth="1"/>
    <col min="5" max="5" width="8.75" style="289" bestFit="1" customWidth="1"/>
    <col min="6" max="6" width="14.375" style="289" bestFit="1" customWidth="1"/>
    <col min="7" max="7" width="16.875" style="289" bestFit="1" customWidth="1"/>
    <col min="8" max="8" width="8.75" style="289" bestFit="1" customWidth="1"/>
    <col min="9" max="9" width="10.5" style="289" bestFit="1" customWidth="1"/>
    <col min="10" max="10" width="13" style="289" bestFit="1" customWidth="1"/>
    <col min="11" max="11" width="9.625" style="289" bestFit="1" customWidth="1"/>
    <col min="12" max="12" width="13" style="289" bestFit="1" customWidth="1"/>
    <col min="13" max="13" width="9.625" style="289" bestFit="1" customWidth="1"/>
    <col min="14" max="14" width="13" style="289" bestFit="1" customWidth="1"/>
    <col min="15" max="15" width="4.75" style="289" bestFit="1" customWidth="1"/>
    <col min="16" max="16384" width="9" style="293"/>
  </cols>
  <sheetData>
    <row r="1" spans="1:15">
      <c r="A1" s="290" t="s">
        <v>3</v>
      </c>
      <c r="B1" s="291" t="s">
        <v>4</v>
      </c>
      <c r="C1" s="317" t="s">
        <v>5</v>
      </c>
      <c r="D1" s="292" t="s">
        <v>6</v>
      </c>
      <c r="E1" s="309" t="s">
        <v>7</v>
      </c>
      <c r="F1" s="309" t="s">
        <v>8</v>
      </c>
      <c r="G1" s="309" t="s">
        <v>9</v>
      </c>
      <c r="H1" s="309" t="s">
        <v>10</v>
      </c>
      <c r="I1" s="289" t="s">
        <v>16</v>
      </c>
      <c r="J1" s="310" t="s">
        <v>675</v>
      </c>
      <c r="K1" s="289" t="s">
        <v>16</v>
      </c>
      <c r="L1" s="310" t="s">
        <v>686</v>
      </c>
      <c r="M1" s="289" t="s">
        <v>16</v>
      </c>
      <c r="N1" s="310" t="s">
        <v>676</v>
      </c>
      <c r="O1" s="289" t="s">
        <v>666</v>
      </c>
    </row>
    <row r="2" spans="1:15">
      <c r="A2" s="294">
        <v>2</v>
      </c>
      <c r="B2" s="295">
        <v>101010099</v>
      </c>
      <c r="C2" s="318" t="s">
        <v>33</v>
      </c>
      <c r="D2" s="296" t="s">
        <v>31</v>
      </c>
      <c r="E2" s="311">
        <v>740</v>
      </c>
      <c r="F2" s="311">
        <v>15600</v>
      </c>
      <c r="G2" s="311">
        <v>11544000</v>
      </c>
      <c r="H2" s="311">
        <v>830.06</v>
      </c>
      <c r="I2" s="312">
        <v>13122</v>
      </c>
      <c r="J2" s="312">
        <v>10892047.319999998</v>
      </c>
      <c r="K2" s="311">
        <v>5289</v>
      </c>
      <c r="L2" s="311">
        <v>4390187.34</v>
      </c>
      <c r="M2" s="312">
        <v>4995</v>
      </c>
      <c r="N2" s="312">
        <v>4146149.7</v>
      </c>
      <c r="O2" s="289" t="s">
        <v>668</v>
      </c>
    </row>
    <row r="3" spans="1:15">
      <c r="A3" s="294">
        <v>3</v>
      </c>
      <c r="B3" s="297">
        <v>101010114</v>
      </c>
      <c r="C3" s="318" t="s">
        <v>35</v>
      </c>
      <c r="D3" s="296" t="s">
        <v>31</v>
      </c>
      <c r="E3" s="311">
        <v>165</v>
      </c>
      <c r="F3" s="311">
        <v>7812</v>
      </c>
      <c r="G3" s="311">
        <v>1288980</v>
      </c>
      <c r="H3" s="311">
        <v>210.82</v>
      </c>
      <c r="I3" s="312">
        <v>2770</v>
      </c>
      <c r="J3" s="312">
        <v>583971.4</v>
      </c>
      <c r="K3" s="311">
        <v>1131</v>
      </c>
      <c r="L3" s="311">
        <v>238437.42</v>
      </c>
      <c r="M3" s="312">
        <v>1269</v>
      </c>
      <c r="N3" s="312">
        <v>267530.58</v>
      </c>
      <c r="O3" s="289" t="s">
        <v>668</v>
      </c>
    </row>
    <row r="4" spans="1:15">
      <c r="A4" s="294">
        <v>4</v>
      </c>
      <c r="B4" s="297">
        <v>101010115</v>
      </c>
      <c r="C4" s="318" t="s">
        <v>37</v>
      </c>
      <c r="D4" s="296" t="s">
        <v>31</v>
      </c>
      <c r="E4" s="311">
        <v>200</v>
      </c>
      <c r="F4" s="311">
        <v>15612</v>
      </c>
      <c r="G4" s="311">
        <v>3122400</v>
      </c>
      <c r="H4" s="311">
        <v>264.02</v>
      </c>
      <c r="I4" s="312">
        <v>5498</v>
      </c>
      <c r="J4" s="312">
        <v>1451581.96</v>
      </c>
      <c r="K4" s="311">
        <v>2544</v>
      </c>
      <c r="L4" s="311">
        <v>671666.88</v>
      </c>
      <c r="M4" s="312">
        <v>2334</v>
      </c>
      <c r="N4" s="312">
        <v>616222.67999999993</v>
      </c>
      <c r="O4" s="289" t="s">
        <v>668</v>
      </c>
    </row>
    <row r="5" spans="1:15">
      <c r="A5" s="294">
        <v>7</v>
      </c>
      <c r="B5" s="295">
        <v>101010036</v>
      </c>
      <c r="C5" s="318" t="s">
        <v>42</v>
      </c>
      <c r="D5" s="296" t="s">
        <v>31</v>
      </c>
      <c r="E5" s="311">
        <v>168</v>
      </c>
      <c r="F5" s="311">
        <v>85020</v>
      </c>
      <c r="G5" s="311">
        <v>14283360</v>
      </c>
      <c r="H5" s="311">
        <v>203.03</v>
      </c>
      <c r="I5" s="312">
        <v>46072</v>
      </c>
      <c r="J5" s="312">
        <v>9353998.1600000001</v>
      </c>
      <c r="K5" s="312">
        <v>21635</v>
      </c>
      <c r="L5" s="311">
        <v>4392554.05</v>
      </c>
      <c r="M5" s="312">
        <v>21280</v>
      </c>
      <c r="N5" s="312">
        <v>4320478.4000000004</v>
      </c>
      <c r="O5" s="289" t="s">
        <v>668</v>
      </c>
    </row>
    <row r="6" spans="1:15">
      <c r="A6" s="294">
        <v>8</v>
      </c>
      <c r="B6" s="295">
        <v>101010024</v>
      </c>
      <c r="C6" s="318" t="s">
        <v>48</v>
      </c>
      <c r="D6" s="296" t="s">
        <v>31</v>
      </c>
      <c r="E6" s="311">
        <v>37.869999999999997</v>
      </c>
      <c r="F6" s="311">
        <v>39000</v>
      </c>
      <c r="G6" s="311">
        <v>1476930</v>
      </c>
      <c r="H6" s="311">
        <v>60.09</v>
      </c>
      <c r="I6" s="312">
        <v>21460</v>
      </c>
      <c r="J6" s="312">
        <v>1289531.4000000001</v>
      </c>
      <c r="K6" s="312">
        <v>7817</v>
      </c>
      <c r="L6" s="311">
        <v>469723.53</v>
      </c>
      <c r="M6" s="312">
        <v>9236</v>
      </c>
      <c r="N6" s="312">
        <v>554991.24</v>
      </c>
      <c r="O6" s="289" t="s">
        <v>668</v>
      </c>
    </row>
    <row r="7" spans="1:15">
      <c r="A7" s="294">
        <v>9</v>
      </c>
      <c r="B7" s="297">
        <v>101010503</v>
      </c>
      <c r="C7" s="318" t="s">
        <v>50</v>
      </c>
      <c r="D7" s="296" t="s">
        <v>31</v>
      </c>
      <c r="E7" s="311">
        <v>75</v>
      </c>
      <c r="F7" s="311">
        <v>7962</v>
      </c>
      <c r="G7" s="311">
        <v>597150</v>
      </c>
      <c r="H7" s="311">
        <v>144.86000000000001</v>
      </c>
      <c r="I7" s="312">
        <v>2772</v>
      </c>
      <c r="J7" s="312">
        <v>401551.92000000004</v>
      </c>
      <c r="K7" s="312">
        <v>1804</v>
      </c>
      <c r="L7" s="311">
        <v>261327.44000000003</v>
      </c>
      <c r="M7" s="312">
        <v>1505</v>
      </c>
      <c r="N7" s="312">
        <v>218014.3</v>
      </c>
      <c r="O7" s="289" t="s">
        <v>668</v>
      </c>
    </row>
    <row r="8" spans="1:15">
      <c r="A8" s="294">
        <v>10</v>
      </c>
      <c r="B8" s="297">
        <v>101010502</v>
      </c>
      <c r="C8" s="318" t="s">
        <v>52</v>
      </c>
      <c r="D8" s="296" t="s">
        <v>31</v>
      </c>
      <c r="E8" s="311">
        <v>63</v>
      </c>
      <c r="F8" s="311">
        <v>15606</v>
      </c>
      <c r="G8" s="311">
        <v>983178</v>
      </c>
      <c r="H8" s="311">
        <v>94.45</v>
      </c>
      <c r="I8" s="312">
        <v>2731</v>
      </c>
      <c r="J8" s="312">
        <v>257942.95</v>
      </c>
      <c r="K8" s="312">
        <v>718</v>
      </c>
      <c r="L8" s="311">
        <v>67815.100000000006</v>
      </c>
      <c r="M8" s="312">
        <v>1235</v>
      </c>
      <c r="N8" s="312">
        <v>116645.75</v>
      </c>
      <c r="O8" s="289" t="s">
        <v>668</v>
      </c>
    </row>
    <row r="9" spans="1:15">
      <c r="A9" s="294">
        <v>11</v>
      </c>
      <c r="B9" s="297">
        <v>101010501</v>
      </c>
      <c r="C9" s="319" t="s">
        <v>54</v>
      </c>
      <c r="D9" s="298" t="s">
        <v>55</v>
      </c>
      <c r="E9" s="311">
        <v>11</v>
      </c>
      <c r="F9" s="311">
        <v>0</v>
      </c>
      <c r="G9" s="311">
        <v>0</v>
      </c>
      <c r="H9" s="311">
        <v>11.93</v>
      </c>
      <c r="I9" s="312">
        <v>6343</v>
      </c>
      <c r="J9" s="312">
        <v>75671.990000000005</v>
      </c>
      <c r="K9" s="312">
        <v>3600</v>
      </c>
      <c r="L9" s="312">
        <v>42948</v>
      </c>
      <c r="M9" s="312">
        <v>1564</v>
      </c>
      <c r="N9" s="312">
        <v>18658.52</v>
      </c>
      <c r="O9" s="289" t="s">
        <v>668</v>
      </c>
    </row>
    <row r="10" spans="1:15">
      <c r="A10" s="294">
        <v>12</v>
      </c>
      <c r="B10" s="297">
        <v>101010504</v>
      </c>
      <c r="C10" s="319" t="s">
        <v>57</v>
      </c>
      <c r="D10" s="298" t="s">
        <v>31</v>
      </c>
      <c r="E10" s="311">
        <v>12</v>
      </c>
      <c r="F10" s="311">
        <v>0</v>
      </c>
      <c r="G10" s="311">
        <v>0</v>
      </c>
      <c r="H10" s="311">
        <v>19.93</v>
      </c>
      <c r="I10" s="312">
        <v>1986</v>
      </c>
      <c r="J10" s="312">
        <v>39580.979999999996</v>
      </c>
      <c r="K10" s="312">
        <v>743</v>
      </c>
      <c r="L10" s="312">
        <v>14807.99</v>
      </c>
      <c r="M10" s="312">
        <v>767</v>
      </c>
      <c r="N10" s="312">
        <v>15286.31</v>
      </c>
      <c r="O10" s="289" t="s">
        <v>668</v>
      </c>
    </row>
    <row r="11" spans="1:15">
      <c r="A11" s="294">
        <v>13</v>
      </c>
      <c r="B11" s="297">
        <v>101010521</v>
      </c>
      <c r="C11" s="319" t="s">
        <v>58</v>
      </c>
      <c r="D11" s="298" t="s">
        <v>31</v>
      </c>
      <c r="E11" s="311">
        <v>740</v>
      </c>
      <c r="F11" s="311">
        <v>0</v>
      </c>
      <c r="G11" s="311">
        <v>0</v>
      </c>
      <c r="H11" s="311">
        <v>928.61</v>
      </c>
      <c r="I11" s="312">
        <v>201</v>
      </c>
      <c r="J11" s="312">
        <v>186650.61</v>
      </c>
      <c r="K11" s="312"/>
      <c r="L11" s="312"/>
      <c r="M11" s="312">
        <v>82</v>
      </c>
      <c r="N11" s="312">
        <v>76146.02</v>
      </c>
      <c r="O11" s="289" t="s">
        <v>668</v>
      </c>
    </row>
    <row r="12" spans="1:15">
      <c r="A12" s="294">
        <v>14</v>
      </c>
      <c r="B12" s="297">
        <v>101010525</v>
      </c>
      <c r="C12" s="319" t="s">
        <v>59</v>
      </c>
      <c r="D12" s="298" t="s">
        <v>60</v>
      </c>
      <c r="E12" s="311">
        <v>468</v>
      </c>
      <c r="F12" s="311">
        <v>0</v>
      </c>
      <c r="G12" s="311">
        <v>0</v>
      </c>
      <c r="H12" s="311">
        <v>408.05</v>
      </c>
      <c r="I12" s="312">
        <v>112</v>
      </c>
      <c r="J12" s="312">
        <v>45701.599999999999</v>
      </c>
      <c r="K12" s="312"/>
      <c r="L12" s="312"/>
      <c r="M12" s="312">
        <v>25</v>
      </c>
      <c r="N12" s="312">
        <v>10201.25</v>
      </c>
      <c r="O12" s="289" t="s">
        <v>668</v>
      </c>
    </row>
    <row r="13" spans="1:15">
      <c r="A13" s="294">
        <v>15</v>
      </c>
      <c r="B13" s="297">
        <v>101020055</v>
      </c>
      <c r="C13" s="319" t="s">
        <v>64</v>
      </c>
      <c r="D13" s="298" t="s">
        <v>65</v>
      </c>
      <c r="E13" s="311">
        <v>268</v>
      </c>
      <c r="F13" s="311">
        <v>0</v>
      </c>
      <c r="G13" s="311">
        <v>0</v>
      </c>
      <c r="H13" s="311">
        <v>88.85</v>
      </c>
      <c r="I13" s="312">
        <v>261</v>
      </c>
      <c r="J13" s="312">
        <v>23189.85</v>
      </c>
      <c r="K13" s="312">
        <v>769</v>
      </c>
      <c r="L13" s="312">
        <v>68325.649999999994</v>
      </c>
      <c r="M13" s="312">
        <v>46</v>
      </c>
      <c r="N13" s="312">
        <v>4087.1</v>
      </c>
      <c r="O13" s="289" t="s">
        <v>668</v>
      </c>
    </row>
    <row r="14" spans="1:15">
      <c r="A14" s="294">
        <v>16</v>
      </c>
      <c r="B14" s="297">
        <v>101020063</v>
      </c>
      <c r="C14" s="319" t="s">
        <v>69</v>
      </c>
      <c r="D14" s="298" t="s">
        <v>70</v>
      </c>
      <c r="E14" s="311">
        <v>2220</v>
      </c>
      <c r="F14" s="311">
        <v>0</v>
      </c>
      <c r="G14" s="311">
        <v>0</v>
      </c>
      <c r="H14" s="311">
        <v>2536.98</v>
      </c>
      <c r="I14" s="312">
        <v>53</v>
      </c>
      <c r="J14" s="312">
        <v>134459.94</v>
      </c>
      <c r="K14" s="312"/>
      <c r="L14" s="312"/>
      <c r="M14" s="312">
        <v>49</v>
      </c>
      <c r="N14" s="312">
        <v>124312.02</v>
      </c>
      <c r="O14" s="289" t="s">
        <v>668</v>
      </c>
    </row>
    <row r="15" spans="1:15">
      <c r="A15" s="299" t="s">
        <v>82</v>
      </c>
      <c r="B15" s="295">
        <v>101010002</v>
      </c>
      <c r="C15" s="319" t="s">
        <v>83</v>
      </c>
      <c r="D15" s="298" t="s">
        <v>31</v>
      </c>
      <c r="E15" s="314"/>
      <c r="F15" s="314"/>
      <c r="G15" s="314"/>
      <c r="H15" s="311">
        <f>VLOOKUP(B15,河南!G:I,3,0)</f>
        <v>379.66</v>
      </c>
      <c r="I15" s="312">
        <v>145885</v>
      </c>
      <c r="J15" s="312">
        <f>H15*I15</f>
        <v>55386699.100000001</v>
      </c>
      <c r="K15" s="312">
        <v>64698</v>
      </c>
      <c r="L15" s="312">
        <v>24563242.680000003</v>
      </c>
      <c r="M15" s="312">
        <v>66934</v>
      </c>
      <c r="N15" s="312">
        <v>25412162.440000001</v>
      </c>
      <c r="O15" s="289" t="s">
        <v>668</v>
      </c>
    </row>
    <row r="16" spans="1:15">
      <c r="A16" s="299" t="s">
        <v>82</v>
      </c>
      <c r="B16" s="295">
        <v>101010001</v>
      </c>
      <c r="C16" s="319" t="s">
        <v>84</v>
      </c>
      <c r="D16" s="298" t="s">
        <v>31</v>
      </c>
      <c r="E16" s="314"/>
      <c r="F16" s="314"/>
      <c r="G16" s="314"/>
      <c r="H16" s="311">
        <f>VLOOKUP(B16,河南!G:I,3,0)</f>
        <v>879.83</v>
      </c>
      <c r="I16" s="312">
        <v>62803</v>
      </c>
      <c r="J16" s="312">
        <f>H16*I16</f>
        <v>55255963.490000002</v>
      </c>
      <c r="K16" s="312">
        <v>29753</v>
      </c>
      <c r="L16" s="312">
        <v>26177581.990000002</v>
      </c>
      <c r="M16" s="312">
        <v>27101</v>
      </c>
      <c r="N16" s="312">
        <v>23844272.830000002</v>
      </c>
      <c r="O16" s="289" t="s">
        <v>668</v>
      </c>
    </row>
    <row r="17" spans="1:15">
      <c r="A17" s="299" t="s">
        <v>82</v>
      </c>
      <c r="B17" s="295">
        <v>101010004</v>
      </c>
      <c r="C17" s="319" t="s">
        <v>85</v>
      </c>
      <c r="D17" s="298" t="s">
        <v>86</v>
      </c>
      <c r="E17" s="314"/>
      <c r="F17" s="314"/>
      <c r="G17" s="314"/>
      <c r="H17" s="311">
        <f>VLOOKUP(B17,河南!G:I,3,0)</f>
        <v>346.05</v>
      </c>
      <c r="I17" s="312">
        <v>15225</v>
      </c>
      <c r="J17" s="312">
        <f>H17*I17</f>
        <v>5268611.25</v>
      </c>
      <c r="K17" s="312">
        <v>6887</v>
      </c>
      <c r="L17" s="312">
        <v>2383246.35</v>
      </c>
      <c r="M17" s="312">
        <v>7096</v>
      </c>
      <c r="N17" s="312">
        <v>2455570.8000000003</v>
      </c>
      <c r="O17" s="289" t="s">
        <v>668</v>
      </c>
    </row>
    <row r="18" spans="1:15">
      <c r="A18" s="299" t="s">
        <v>82</v>
      </c>
      <c r="B18" s="298">
        <v>101010098</v>
      </c>
      <c r="C18" s="319" t="s">
        <v>87</v>
      </c>
      <c r="D18" s="298" t="s">
        <v>86</v>
      </c>
      <c r="E18" s="314"/>
      <c r="F18" s="314"/>
      <c r="G18" s="314"/>
      <c r="H18" s="311">
        <f>VLOOKUP(B18,河南!G:I,3,0)</f>
        <v>145.4</v>
      </c>
      <c r="I18" s="312">
        <v>106074</v>
      </c>
      <c r="J18" s="312">
        <f>H18*I18</f>
        <v>15423159.600000001</v>
      </c>
      <c r="K18" s="312">
        <v>50409</v>
      </c>
      <c r="L18" s="312">
        <f>H18*K18</f>
        <v>7329468.6000000006</v>
      </c>
      <c r="M18" s="315">
        <v>47800</v>
      </c>
      <c r="N18" s="312">
        <f>H18*M18</f>
        <v>6950120</v>
      </c>
      <c r="O18" s="289" t="s">
        <v>668</v>
      </c>
    </row>
    <row r="19" spans="1:15">
      <c r="A19" s="294">
        <v>1</v>
      </c>
      <c r="B19" s="300">
        <v>104020590</v>
      </c>
      <c r="C19" s="320" t="s">
        <v>88</v>
      </c>
      <c r="D19" s="301" t="s">
        <v>89</v>
      </c>
      <c r="E19" s="312">
        <v>40.909999999999997</v>
      </c>
      <c r="F19" s="312">
        <v>53298</v>
      </c>
      <c r="G19" s="312">
        <v>2398410</v>
      </c>
      <c r="H19" s="312">
        <v>90.42</v>
      </c>
      <c r="I19" s="312">
        <v>56585</v>
      </c>
      <c r="J19" s="312">
        <f>E19*I19</f>
        <v>2314892.3499999996</v>
      </c>
      <c r="K19" s="312">
        <v>3133</v>
      </c>
      <c r="L19" s="312">
        <v>283285.86</v>
      </c>
      <c r="M19" s="312">
        <v>19866</v>
      </c>
      <c r="N19" s="312">
        <v>1796283.72</v>
      </c>
      <c r="O19" s="289" t="s">
        <v>668</v>
      </c>
    </row>
    <row r="20" spans="1:15">
      <c r="A20" s="294">
        <v>2</v>
      </c>
      <c r="B20" s="300">
        <v>104020591</v>
      </c>
      <c r="C20" s="321" t="s">
        <v>90</v>
      </c>
      <c r="D20" s="302" t="s">
        <v>89</v>
      </c>
      <c r="E20" s="312">
        <v>90</v>
      </c>
      <c r="F20" s="312">
        <v>10008</v>
      </c>
      <c r="G20" s="312">
        <v>900720</v>
      </c>
      <c r="H20" s="312">
        <v>161.46</v>
      </c>
      <c r="I20" s="312">
        <v>14256</v>
      </c>
      <c r="J20" s="312">
        <f>E20*I20</f>
        <v>1283040</v>
      </c>
      <c r="K20" s="312">
        <v>1601</v>
      </c>
      <c r="L20" s="312">
        <v>258497.46000000002</v>
      </c>
      <c r="M20" s="312">
        <v>10846</v>
      </c>
      <c r="N20" s="312">
        <v>1751195.16</v>
      </c>
      <c r="O20" s="289" t="s">
        <v>668</v>
      </c>
    </row>
    <row r="21" spans="1:15">
      <c r="A21" s="294">
        <v>3</v>
      </c>
      <c r="B21" s="300">
        <v>104020592</v>
      </c>
      <c r="C21" s="321" t="s">
        <v>91</v>
      </c>
      <c r="D21" s="302" t="s">
        <v>89</v>
      </c>
      <c r="E21" s="312">
        <v>149</v>
      </c>
      <c r="F21" s="312">
        <v>7800</v>
      </c>
      <c r="G21" s="312">
        <v>1162200</v>
      </c>
      <c r="H21" s="312">
        <v>381.29</v>
      </c>
      <c r="I21" s="312">
        <v>794</v>
      </c>
      <c r="J21" s="312">
        <f>E21*I21</f>
        <v>118306</v>
      </c>
      <c r="K21" s="312">
        <v>790</v>
      </c>
      <c r="L21" s="312">
        <v>301219.10000000003</v>
      </c>
      <c r="M21" s="312">
        <v>523</v>
      </c>
      <c r="N21" s="312">
        <v>199414.67</v>
      </c>
      <c r="O21" s="289" t="s">
        <v>668</v>
      </c>
    </row>
    <row r="22" spans="1:15" ht="20.100000000000001" customHeight="1">
      <c r="A22" s="294">
        <v>1</v>
      </c>
      <c r="B22" s="295">
        <v>101010397</v>
      </c>
      <c r="C22" s="318" t="s">
        <v>30</v>
      </c>
      <c r="D22" s="296" t="s">
        <v>31</v>
      </c>
      <c r="E22" s="311">
        <v>530</v>
      </c>
      <c r="F22" s="311">
        <v>2880</v>
      </c>
      <c r="G22" s="311">
        <v>1526400</v>
      </c>
      <c r="H22" s="312">
        <v>654.03</v>
      </c>
      <c r="I22" s="312">
        <v>1628</v>
      </c>
      <c r="J22" s="312">
        <v>1064760.8399999999</v>
      </c>
      <c r="K22" s="312">
        <v>1174</v>
      </c>
      <c r="L22" s="312">
        <v>767831.22</v>
      </c>
      <c r="M22" s="312">
        <v>1121</v>
      </c>
      <c r="N22" s="312">
        <v>733167.63</v>
      </c>
      <c r="O22" s="289" t="s">
        <v>670</v>
      </c>
    </row>
    <row r="23" spans="1:15" ht="20.100000000000001" customHeight="1">
      <c r="A23" s="294">
        <v>2</v>
      </c>
      <c r="B23" s="295">
        <v>101010099</v>
      </c>
      <c r="C23" s="318" t="s">
        <v>33</v>
      </c>
      <c r="D23" s="296" t="s">
        <v>31</v>
      </c>
      <c r="E23" s="311">
        <v>740</v>
      </c>
      <c r="F23" s="311">
        <v>4890</v>
      </c>
      <c r="G23" s="311">
        <v>3618600</v>
      </c>
      <c r="H23" s="312">
        <v>824.19</v>
      </c>
      <c r="I23" s="312">
        <v>6445</v>
      </c>
      <c r="J23" s="312">
        <v>5311904.5500000007</v>
      </c>
      <c r="K23" s="312">
        <v>1976</v>
      </c>
      <c r="L23" s="312">
        <v>1628599.4400000002</v>
      </c>
      <c r="M23" s="312">
        <v>3602</v>
      </c>
      <c r="N23" s="312">
        <v>2968732.3800000004</v>
      </c>
      <c r="O23" s="289" t="s">
        <v>670</v>
      </c>
    </row>
    <row r="24" spans="1:15" ht="20.100000000000001" customHeight="1">
      <c r="A24" s="294">
        <v>3</v>
      </c>
      <c r="B24" s="295">
        <v>101010114</v>
      </c>
      <c r="C24" s="318" t="s">
        <v>35</v>
      </c>
      <c r="D24" s="296" t="s">
        <v>31</v>
      </c>
      <c r="E24" s="311">
        <v>165</v>
      </c>
      <c r="F24" s="311">
        <v>1140</v>
      </c>
      <c r="G24" s="311">
        <v>188100</v>
      </c>
      <c r="H24" s="312">
        <v>224.39</v>
      </c>
      <c r="I24" s="312">
        <v>1115</v>
      </c>
      <c r="J24" s="312">
        <v>250194.84999999998</v>
      </c>
      <c r="K24" s="312">
        <v>241</v>
      </c>
      <c r="L24" s="312">
        <v>54077.99</v>
      </c>
      <c r="M24" s="312">
        <v>656</v>
      </c>
      <c r="N24" s="312">
        <v>147199.84</v>
      </c>
      <c r="O24" s="289" t="s">
        <v>670</v>
      </c>
    </row>
    <row r="25" spans="1:15" ht="20.100000000000001" customHeight="1">
      <c r="A25" s="294">
        <v>4</v>
      </c>
      <c r="B25" s="295">
        <v>101010115</v>
      </c>
      <c r="C25" s="318" t="s">
        <v>37</v>
      </c>
      <c r="D25" s="296" t="s">
        <v>31</v>
      </c>
      <c r="E25" s="311">
        <v>200</v>
      </c>
      <c r="F25" s="311">
        <v>2640</v>
      </c>
      <c r="G25" s="311">
        <v>528000</v>
      </c>
      <c r="H25" s="312">
        <v>260.79000000000002</v>
      </c>
      <c r="I25" s="312">
        <v>2949</v>
      </c>
      <c r="J25" s="312">
        <v>769069.71000000008</v>
      </c>
      <c r="K25" s="312">
        <v>782</v>
      </c>
      <c r="L25" s="312">
        <v>203937.78000000003</v>
      </c>
      <c r="M25" s="312">
        <v>1387</v>
      </c>
      <c r="N25" s="312">
        <v>361715.73000000004</v>
      </c>
      <c r="O25" s="289" t="s">
        <v>670</v>
      </c>
    </row>
    <row r="26" spans="1:15" ht="20.100000000000001" customHeight="1">
      <c r="A26" s="294">
        <v>5</v>
      </c>
      <c r="B26" s="295">
        <v>101010294</v>
      </c>
      <c r="C26" s="318" t="s">
        <v>39</v>
      </c>
      <c r="D26" s="296" t="s">
        <v>31</v>
      </c>
      <c r="E26" s="311">
        <v>145</v>
      </c>
      <c r="F26" s="311">
        <v>780</v>
      </c>
      <c r="G26" s="311">
        <v>113100</v>
      </c>
      <c r="H26" s="312">
        <v>200.19</v>
      </c>
      <c r="I26" s="312">
        <v>616</v>
      </c>
      <c r="J26" s="312">
        <v>123317.04</v>
      </c>
      <c r="K26" s="312">
        <v>353</v>
      </c>
      <c r="L26" s="312">
        <v>70667.069999999992</v>
      </c>
      <c r="M26" s="312">
        <v>329</v>
      </c>
      <c r="N26" s="312">
        <v>65862.509999999995</v>
      </c>
      <c r="O26" s="289" t="s">
        <v>670</v>
      </c>
    </row>
    <row r="27" spans="1:15" ht="20.100000000000001" customHeight="1">
      <c r="A27" s="294">
        <v>6</v>
      </c>
      <c r="B27" s="295">
        <v>101010297</v>
      </c>
      <c r="C27" s="318" t="s">
        <v>41</v>
      </c>
      <c r="D27" s="296" t="s">
        <v>31</v>
      </c>
      <c r="E27" s="311">
        <v>180</v>
      </c>
      <c r="F27" s="311">
        <v>750</v>
      </c>
      <c r="G27" s="311">
        <v>135000</v>
      </c>
      <c r="H27" s="312">
        <v>240.7</v>
      </c>
      <c r="I27" s="312">
        <v>900</v>
      </c>
      <c r="J27" s="312">
        <v>216630</v>
      </c>
      <c r="K27" s="312">
        <v>359</v>
      </c>
      <c r="L27" s="312">
        <v>86411.3</v>
      </c>
      <c r="M27" s="312">
        <v>442</v>
      </c>
      <c r="N27" s="312">
        <v>106389.4</v>
      </c>
      <c r="O27" s="289" t="s">
        <v>670</v>
      </c>
    </row>
    <row r="28" spans="1:15" ht="20.100000000000001" customHeight="1">
      <c r="A28" s="294">
        <v>7</v>
      </c>
      <c r="B28" s="295">
        <v>101010036</v>
      </c>
      <c r="C28" s="318" t="s">
        <v>42</v>
      </c>
      <c r="D28" s="296" t="s">
        <v>31</v>
      </c>
      <c r="E28" s="311">
        <v>168</v>
      </c>
      <c r="F28" s="311">
        <v>3180</v>
      </c>
      <c r="G28" s="311">
        <v>534240</v>
      </c>
      <c r="H28" s="312">
        <v>210.81</v>
      </c>
      <c r="I28" s="312">
        <v>2451</v>
      </c>
      <c r="J28" s="312">
        <v>516695.31</v>
      </c>
      <c r="K28" s="312">
        <v>824</v>
      </c>
      <c r="L28" s="312">
        <v>173707.44</v>
      </c>
      <c r="M28" s="312">
        <v>1270</v>
      </c>
      <c r="N28" s="312">
        <v>267728.7</v>
      </c>
      <c r="O28" s="289" t="s">
        <v>670</v>
      </c>
    </row>
    <row r="29" spans="1:15" ht="20.100000000000001" customHeight="1">
      <c r="A29" s="294">
        <v>8</v>
      </c>
      <c r="B29" s="295">
        <v>101010024</v>
      </c>
      <c r="C29" s="318" t="s">
        <v>48</v>
      </c>
      <c r="D29" s="296" t="s">
        <v>31</v>
      </c>
      <c r="E29" s="311">
        <v>37.869999999999997</v>
      </c>
      <c r="F29" s="311">
        <v>1860</v>
      </c>
      <c r="G29" s="311">
        <v>70438.2</v>
      </c>
      <c r="H29" s="312">
        <v>61.43</v>
      </c>
      <c r="I29" s="312">
        <v>2092</v>
      </c>
      <c r="J29" s="312">
        <v>128511.56</v>
      </c>
      <c r="K29" s="312">
        <v>685</v>
      </c>
      <c r="L29" s="312">
        <v>42079.55</v>
      </c>
      <c r="M29" s="312">
        <v>1034</v>
      </c>
      <c r="N29" s="312">
        <v>63518.62</v>
      </c>
      <c r="O29" s="289" t="s">
        <v>670</v>
      </c>
    </row>
    <row r="30" spans="1:15" ht="20.100000000000001" customHeight="1">
      <c r="A30" s="294">
        <v>11</v>
      </c>
      <c r="B30" s="298">
        <v>101010501</v>
      </c>
      <c r="C30" s="319" t="s">
        <v>54</v>
      </c>
      <c r="D30" s="298" t="s">
        <v>55</v>
      </c>
      <c r="E30" s="311">
        <v>11</v>
      </c>
      <c r="F30" s="311">
        <v>0</v>
      </c>
      <c r="G30" s="311">
        <v>0</v>
      </c>
      <c r="H30" s="312">
        <v>23.48</v>
      </c>
      <c r="I30" s="312">
        <v>1009</v>
      </c>
      <c r="J30" s="312">
        <v>23691.32</v>
      </c>
      <c r="K30" s="312">
        <v>526</v>
      </c>
      <c r="L30" s="312">
        <v>12350.48</v>
      </c>
      <c r="M30" s="312">
        <v>446</v>
      </c>
      <c r="N30" s="312">
        <v>10472.08</v>
      </c>
      <c r="O30" s="289" t="s">
        <v>670</v>
      </c>
    </row>
    <row r="31" spans="1:15" ht="20.100000000000001" customHeight="1">
      <c r="A31" s="294">
        <v>13</v>
      </c>
      <c r="B31" s="298">
        <v>101010521</v>
      </c>
      <c r="C31" s="319" t="s">
        <v>58</v>
      </c>
      <c r="D31" s="298" t="s">
        <v>31</v>
      </c>
      <c r="E31" s="311">
        <v>740</v>
      </c>
      <c r="F31" s="311">
        <v>0</v>
      </c>
      <c r="G31" s="311">
        <v>0</v>
      </c>
      <c r="H31" s="312">
        <v>952.33</v>
      </c>
      <c r="I31" s="312">
        <v>47</v>
      </c>
      <c r="J31" s="312">
        <v>44759.51</v>
      </c>
      <c r="K31" s="312"/>
      <c r="L31" s="312"/>
      <c r="M31" s="312">
        <v>47</v>
      </c>
      <c r="N31" s="312">
        <v>44759.51</v>
      </c>
      <c r="O31" s="289" t="s">
        <v>670</v>
      </c>
    </row>
    <row r="32" spans="1:15" ht="20.100000000000001" customHeight="1">
      <c r="A32" s="294">
        <v>15</v>
      </c>
      <c r="B32" s="298">
        <v>101020055</v>
      </c>
      <c r="C32" s="319" t="s">
        <v>64</v>
      </c>
      <c r="D32" s="298" t="s">
        <v>65</v>
      </c>
      <c r="E32" s="311">
        <v>268</v>
      </c>
      <c r="F32" s="311">
        <v>0</v>
      </c>
      <c r="G32" s="311">
        <v>0</v>
      </c>
      <c r="H32" s="312">
        <v>376.39</v>
      </c>
      <c r="I32" s="312">
        <v>32</v>
      </c>
      <c r="J32" s="312">
        <v>12044.48</v>
      </c>
      <c r="K32" s="312">
        <v>241</v>
      </c>
      <c r="L32" s="312">
        <v>90709.99</v>
      </c>
      <c r="M32" s="312">
        <v>14</v>
      </c>
      <c r="N32" s="312">
        <v>5269.46</v>
      </c>
      <c r="O32" s="289" t="s">
        <v>670</v>
      </c>
    </row>
    <row r="33" spans="1:15" ht="20.100000000000001" customHeight="1">
      <c r="A33" s="294">
        <v>16</v>
      </c>
      <c r="B33" s="298">
        <v>101020063</v>
      </c>
      <c r="C33" s="319" t="s">
        <v>69</v>
      </c>
      <c r="D33" s="298" t="s">
        <v>70</v>
      </c>
      <c r="E33" s="311">
        <v>2220</v>
      </c>
      <c r="F33" s="311">
        <v>0</v>
      </c>
      <c r="G33" s="311">
        <v>0</v>
      </c>
      <c r="H33" s="312">
        <v>2918.67</v>
      </c>
      <c r="I33" s="312">
        <v>3</v>
      </c>
      <c r="J33" s="312">
        <v>8756.01</v>
      </c>
      <c r="K33" s="312"/>
      <c r="L33" s="312"/>
      <c r="M33" s="312">
        <v>3</v>
      </c>
      <c r="N33" s="312">
        <v>8756.01</v>
      </c>
      <c r="O33" s="289" t="s">
        <v>670</v>
      </c>
    </row>
    <row r="34" spans="1:15" ht="20.100000000000001" customHeight="1">
      <c r="A34" s="299" t="s">
        <v>82</v>
      </c>
      <c r="B34" s="298">
        <v>101010001</v>
      </c>
      <c r="C34" s="319" t="s">
        <v>84</v>
      </c>
      <c r="D34" s="298" t="s">
        <v>31</v>
      </c>
      <c r="E34" s="314"/>
      <c r="F34" s="314"/>
      <c r="G34" s="314"/>
      <c r="H34" s="312">
        <v>920.84</v>
      </c>
      <c r="I34" s="312">
        <v>10594</v>
      </c>
      <c r="J34" s="312">
        <v>9755378.9600000009</v>
      </c>
      <c r="K34" s="312">
        <v>3578</v>
      </c>
      <c r="L34" s="312">
        <v>3294765.52</v>
      </c>
      <c r="M34" s="312">
        <v>5622</v>
      </c>
      <c r="N34" s="312">
        <v>5176962.4800000004</v>
      </c>
      <c r="O34" s="289" t="s">
        <v>670</v>
      </c>
    </row>
    <row r="35" spans="1:15" ht="20.100000000000001" customHeight="1">
      <c r="A35" s="299" t="s">
        <v>82</v>
      </c>
      <c r="B35" s="298">
        <v>101010002</v>
      </c>
      <c r="C35" s="319" t="s">
        <v>83</v>
      </c>
      <c r="D35" s="298" t="s">
        <v>31</v>
      </c>
      <c r="E35" s="314"/>
      <c r="F35" s="314"/>
      <c r="G35" s="314"/>
      <c r="H35" s="312">
        <v>405.69</v>
      </c>
      <c r="I35" s="312">
        <v>8195</v>
      </c>
      <c r="J35" s="312">
        <v>3324629.55</v>
      </c>
      <c r="K35" s="312">
        <v>3662</v>
      </c>
      <c r="L35" s="312">
        <v>1485636.78</v>
      </c>
      <c r="M35" s="312">
        <v>4481</v>
      </c>
      <c r="N35" s="312">
        <v>1817896.89</v>
      </c>
      <c r="O35" s="289" t="s">
        <v>670</v>
      </c>
    </row>
    <row r="36" spans="1:15" ht="20.100000000000001" customHeight="1">
      <c r="A36" s="299" t="s">
        <v>82</v>
      </c>
      <c r="B36" s="298">
        <v>101010004</v>
      </c>
      <c r="C36" s="319" t="s">
        <v>85</v>
      </c>
      <c r="D36" s="298" t="s">
        <v>86</v>
      </c>
      <c r="E36" s="314"/>
      <c r="F36" s="314"/>
      <c r="G36" s="314"/>
      <c r="H36" s="312">
        <v>359</v>
      </c>
      <c r="I36" s="312">
        <v>286</v>
      </c>
      <c r="J36" s="312">
        <v>102674</v>
      </c>
      <c r="K36" s="312"/>
      <c r="L36" s="312"/>
      <c r="M36" s="312">
        <v>286</v>
      </c>
      <c r="N36" s="312">
        <v>102674</v>
      </c>
      <c r="O36" s="289" t="s">
        <v>670</v>
      </c>
    </row>
    <row r="37" spans="1:15" ht="20.100000000000001" customHeight="1">
      <c r="A37" s="303">
        <v>1</v>
      </c>
      <c r="B37" s="295">
        <v>104020590</v>
      </c>
      <c r="C37" s="318" t="s">
        <v>88</v>
      </c>
      <c r="D37" s="296" t="s">
        <v>89</v>
      </c>
      <c r="E37" s="311">
        <v>40.909999999999997</v>
      </c>
      <c r="F37" s="311">
        <v>2400</v>
      </c>
      <c r="G37" s="311">
        <v>108000</v>
      </c>
      <c r="H37" s="312">
        <v>98.98</v>
      </c>
      <c r="I37" s="312">
        <v>7708</v>
      </c>
      <c r="J37" s="312">
        <v>762937.84000000008</v>
      </c>
      <c r="K37" s="312">
        <v>200</v>
      </c>
      <c r="L37" s="312">
        <v>19796</v>
      </c>
      <c r="M37" s="315">
        <v>4509</v>
      </c>
      <c r="N37" s="312">
        <v>446300.82</v>
      </c>
      <c r="O37" s="289" t="s">
        <v>670</v>
      </c>
    </row>
    <row r="38" spans="1:15" ht="20.100000000000001" customHeight="1">
      <c r="A38" s="303">
        <v>2</v>
      </c>
      <c r="B38" s="295">
        <v>104020591</v>
      </c>
      <c r="C38" s="318" t="s">
        <v>90</v>
      </c>
      <c r="D38" s="296" t="s">
        <v>89</v>
      </c>
      <c r="E38" s="311">
        <v>90</v>
      </c>
      <c r="F38" s="311">
        <v>780</v>
      </c>
      <c r="G38" s="311">
        <v>70200</v>
      </c>
      <c r="H38" s="312">
        <v>230</v>
      </c>
      <c r="I38" s="312">
        <v>357</v>
      </c>
      <c r="J38" s="312">
        <v>82110</v>
      </c>
      <c r="K38" s="312">
        <v>15</v>
      </c>
      <c r="L38" s="312">
        <v>3450</v>
      </c>
      <c r="M38" s="315">
        <v>215</v>
      </c>
      <c r="N38" s="312">
        <v>49450</v>
      </c>
      <c r="O38" s="289" t="s">
        <v>670</v>
      </c>
    </row>
    <row r="39" spans="1:15" ht="20.100000000000001" customHeight="1">
      <c r="A39" s="303">
        <v>3</v>
      </c>
      <c r="B39" s="295">
        <v>104020592</v>
      </c>
      <c r="C39" s="318" t="s">
        <v>91</v>
      </c>
      <c r="D39" s="296" t="s">
        <v>89</v>
      </c>
      <c r="E39" s="311">
        <v>149</v>
      </c>
      <c r="F39" s="311">
        <v>480</v>
      </c>
      <c r="G39" s="311">
        <v>71520</v>
      </c>
      <c r="H39" s="312">
        <v>396.43</v>
      </c>
      <c r="I39" s="312">
        <v>114</v>
      </c>
      <c r="J39" s="312">
        <v>45193.02</v>
      </c>
      <c r="K39" s="312">
        <v>10</v>
      </c>
      <c r="L39" s="312">
        <v>3964.3</v>
      </c>
      <c r="M39" s="315">
        <v>75</v>
      </c>
      <c r="N39" s="312">
        <v>29732.25</v>
      </c>
      <c r="O39" s="289" t="s">
        <v>670</v>
      </c>
    </row>
    <row r="40" spans="1:15" ht="20.100000000000001" customHeight="1">
      <c r="A40" s="304">
        <v>2</v>
      </c>
      <c r="B40" s="295">
        <v>101010099</v>
      </c>
      <c r="C40" s="318" t="s">
        <v>33</v>
      </c>
      <c r="D40" s="296" t="s">
        <v>31</v>
      </c>
      <c r="E40" s="311">
        <v>740</v>
      </c>
      <c r="F40" s="311">
        <v>2760</v>
      </c>
      <c r="G40" s="311">
        <v>2042400</v>
      </c>
      <c r="H40" s="312">
        <v>822.69</v>
      </c>
      <c r="I40" s="312">
        <v>3297</v>
      </c>
      <c r="J40" s="311">
        <f t="shared" ref="J40:J54" si="0">H40*I40</f>
        <v>2712408.93</v>
      </c>
      <c r="K40" s="312">
        <v>713</v>
      </c>
      <c r="L40" s="311">
        <v>586577.97000000009</v>
      </c>
      <c r="M40" s="312">
        <v>1781</v>
      </c>
      <c r="N40" s="311">
        <v>1465210.89</v>
      </c>
      <c r="O40" s="289" t="s">
        <v>672</v>
      </c>
    </row>
    <row r="41" spans="1:15" ht="20.100000000000001" customHeight="1">
      <c r="A41" s="304">
        <v>3</v>
      </c>
      <c r="B41" s="295">
        <v>101010114</v>
      </c>
      <c r="C41" s="318" t="s">
        <v>35</v>
      </c>
      <c r="D41" s="296" t="s">
        <v>31</v>
      </c>
      <c r="E41" s="311">
        <v>165</v>
      </c>
      <c r="F41" s="311">
        <v>1830</v>
      </c>
      <c r="G41" s="311">
        <v>301950</v>
      </c>
      <c r="H41" s="312">
        <v>204.38</v>
      </c>
      <c r="I41" s="312">
        <v>665</v>
      </c>
      <c r="J41" s="311">
        <f t="shared" si="0"/>
        <v>135912.69999999998</v>
      </c>
      <c r="K41" s="312">
        <v>292</v>
      </c>
      <c r="L41" s="311">
        <v>59678.96</v>
      </c>
      <c r="M41" s="312">
        <v>313</v>
      </c>
      <c r="N41" s="311">
        <v>63970.939999999995</v>
      </c>
      <c r="O41" s="289" t="s">
        <v>672</v>
      </c>
    </row>
    <row r="42" spans="1:15" ht="20.100000000000001" customHeight="1">
      <c r="A42" s="304">
        <v>4</v>
      </c>
      <c r="B42" s="295">
        <v>101010115</v>
      </c>
      <c r="C42" s="318" t="s">
        <v>37</v>
      </c>
      <c r="D42" s="296" t="s">
        <v>31</v>
      </c>
      <c r="E42" s="311">
        <v>200</v>
      </c>
      <c r="F42" s="311">
        <v>1140</v>
      </c>
      <c r="G42" s="311">
        <v>228000</v>
      </c>
      <c r="H42" s="312">
        <v>273.45</v>
      </c>
      <c r="I42" s="312">
        <v>894</v>
      </c>
      <c r="J42" s="311">
        <f t="shared" si="0"/>
        <v>244464.3</v>
      </c>
      <c r="K42" s="312">
        <v>158</v>
      </c>
      <c r="L42" s="311">
        <v>43205.1</v>
      </c>
      <c r="M42" s="312">
        <v>404</v>
      </c>
      <c r="N42" s="311">
        <v>110473.79999999999</v>
      </c>
      <c r="O42" s="289" t="s">
        <v>672</v>
      </c>
    </row>
    <row r="43" spans="1:15" ht="20.100000000000001" customHeight="1">
      <c r="A43" s="304">
        <v>7</v>
      </c>
      <c r="B43" s="295">
        <v>101010036</v>
      </c>
      <c r="C43" s="318" t="s">
        <v>42</v>
      </c>
      <c r="D43" s="296" t="s">
        <v>31</v>
      </c>
      <c r="E43" s="311">
        <v>168</v>
      </c>
      <c r="F43" s="311">
        <v>1620</v>
      </c>
      <c r="G43" s="311">
        <v>272160</v>
      </c>
      <c r="H43" s="312">
        <v>200.27</v>
      </c>
      <c r="I43" s="312">
        <v>1581</v>
      </c>
      <c r="J43" s="311">
        <f t="shared" si="0"/>
        <v>316626.87</v>
      </c>
      <c r="K43" s="312">
        <v>368</v>
      </c>
      <c r="L43" s="311">
        <v>73699.360000000001</v>
      </c>
      <c r="M43" s="312">
        <v>965</v>
      </c>
      <c r="N43" s="311">
        <v>193260.55</v>
      </c>
      <c r="O43" s="289" t="s">
        <v>672</v>
      </c>
    </row>
    <row r="44" spans="1:15" ht="20.100000000000001" customHeight="1">
      <c r="A44" s="304">
        <v>8</v>
      </c>
      <c r="B44" s="295">
        <v>101010024</v>
      </c>
      <c r="C44" s="318" t="s">
        <v>48</v>
      </c>
      <c r="D44" s="296" t="s">
        <v>31</v>
      </c>
      <c r="E44" s="311">
        <v>37.869999999999997</v>
      </c>
      <c r="F44" s="311">
        <v>990</v>
      </c>
      <c r="G44" s="311">
        <v>37491.300000000003</v>
      </c>
      <c r="H44" s="312">
        <v>54.37</v>
      </c>
      <c r="I44" s="312">
        <v>1476</v>
      </c>
      <c r="J44" s="311">
        <f t="shared" si="0"/>
        <v>80250.12</v>
      </c>
      <c r="K44" s="312">
        <v>149</v>
      </c>
      <c r="L44" s="311">
        <v>8101.1299999999992</v>
      </c>
      <c r="M44" s="312">
        <v>1169</v>
      </c>
      <c r="N44" s="311">
        <v>63558.53</v>
      </c>
      <c r="O44" s="289" t="s">
        <v>672</v>
      </c>
    </row>
    <row r="45" spans="1:15" ht="20.100000000000001" customHeight="1">
      <c r="A45" s="304">
        <v>11</v>
      </c>
      <c r="B45" s="298">
        <v>101010501</v>
      </c>
      <c r="C45" s="319" t="s">
        <v>54</v>
      </c>
      <c r="D45" s="298" t="s">
        <v>55</v>
      </c>
      <c r="E45" s="311">
        <v>11</v>
      </c>
      <c r="F45" s="311">
        <v>0</v>
      </c>
      <c r="G45" s="311">
        <v>0</v>
      </c>
      <c r="H45" s="312">
        <v>17.75</v>
      </c>
      <c r="I45" s="312">
        <v>1366</v>
      </c>
      <c r="J45" s="311">
        <f t="shared" si="0"/>
        <v>24246.5</v>
      </c>
      <c r="K45" s="312">
        <v>306</v>
      </c>
      <c r="L45" s="311">
        <v>5431.5</v>
      </c>
      <c r="M45" s="312">
        <v>660</v>
      </c>
      <c r="N45" s="311">
        <v>11715</v>
      </c>
      <c r="O45" s="289" t="s">
        <v>672</v>
      </c>
    </row>
    <row r="46" spans="1:15" ht="20.100000000000001" customHeight="1">
      <c r="A46" s="304">
        <v>13</v>
      </c>
      <c r="B46" s="298">
        <v>101010521</v>
      </c>
      <c r="C46" s="319" t="s">
        <v>58</v>
      </c>
      <c r="D46" s="298" t="s">
        <v>31</v>
      </c>
      <c r="E46" s="311">
        <v>740</v>
      </c>
      <c r="F46" s="311">
        <v>0</v>
      </c>
      <c r="G46" s="311">
        <v>0</v>
      </c>
      <c r="H46" s="312">
        <v>967</v>
      </c>
      <c r="I46" s="312">
        <v>28</v>
      </c>
      <c r="J46" s="311">
        <f t="shared" si="0"/>
        <v>27076</v>
      </c>
      <c r="K46" s="312"/>
      <c r="L46" s="311">
        <v>0</v>
      </c>
      <c r="M46" s="312">
        <v>28</v>
      </c>
      <c r="N46" s="311">
        <v>27076</v>
      </c>
      <c r="O46" s="289" t="s">
        <v>672</v>
      </c>
    </row>
    <row r="47" spans="1:15" ht="20.100000000000001" customHeight="1">
      <c r="A47" s="304">
        <v>15</v>
      </c>
      <c r="B47" s="298">
        <v>101020055</v>
      </c>
      <c r="C47" s="319" t="s">
        <v>64</v>
      </c>
      <c r="D47" s="298" t="s">
        <v>65</v>
      </c>
      <c r="E47" s="311">
        <v>268</v>
      </c>
      <c r="F47" s="311">
        <v>0</v>
      </c>
      <c r="G47" s="311">
        <v>0</v>
      </c>
      <c r="H47" s="312">
        <v>437.1</v>
      </c>
      <c r="I47" s="312">
        <v>32</v>
      </c>
      <c r="J47" s="311">
        <f t="shared" si="0"/>
        <v>13987.2</v>
      </c>
      <c r="K47" s="312">
        <v>77</v>
      </c>
      <c r="L47" s="311">
        <v>33656.700000000004</v>
      </c>
      <c r="M47" s="312">
        <v>29</v>
      </c>
      <c r="N47" s="311">
        <v>12675.900000000001</v>
      </c>
      <c r="O47" s="289" t="s">
        <v>672</v>
      </c>
    </row>
    <row r="48" spans="1:15" ht="20.100000000000001" customHeight="1">
      <c r="A48" s="304">
        <v>16</v>
      </c>
      <c r="B48" s="298">
        <v>101020063</v>
      </c>
      <c r="C48" s="319" t="s">
        <v>69</v>
      </c>
      <c r="D48" s="298" t="s">
        <v>70</v>
      </c>
      <c r="E48" s="311">
        <v>2220</v>
      </c>
      <c r="F48" s="311">
        <v>0</v>
      </c>
      <c r="G48" s="311">
        <v>0</v>
      </c>
      <c r="H48" s="312">
        <v>2772.73</v>
      </c>
      <c r="I48" s="312">
        <v>11</v>
      </c>
      <c r="J48" s="311">
        <f t="shared" si="0"/>
        <v>30500.03</v>
      </c>
      <c r="K48" s="312"/>
      <c r="L48" s="311"/>
      <c r="M48" s="312">
        <v>11</v>
      </c>
      <c r="N48" s="311">
        <v>30500.03</v>
      </c>
      <c r="O48" s="289" t="s">
        <v>672</v>
      </c>
    </row>
    <row r="49" spans="1:15">
      <c r="A49" s="299" t="s">
        <v>82</v>
      </c>
      <c r="B49" s="298">
        <v>101010001</v>
      </c>
      <c r="C49" s="319" t="s">
        <v>84</v>
      </c>
      <c r="D49" s="298" t="s">
        <v>31</v>
      </c>
      <c r="E49" s="314"/>
      <c r="F49" s="314"/>
      <c r="G49" s="314"/>
      <c r="H49" s="312">
        <v>886.5</v>
      </c>
      <c r="I49" s="312">
        <v>5000</v>
      </c>
      <c r="J49" s="311">
        <f t="shared" si="0"/>
        <v>4432500</v>
      </c>
      <c r="K49" s="312">
        <v>961</v>
      </c>
      <c r="L49" s="311">
        <v>851926.5</v>
      </c>
      <c r="M49" s="312">
        <v>2603</v>
      </c>
      <c r="N49" s="311">
        <v>2307559.5</v>
      </c>
      <c r="O49" s="289" t="s">
        <v>672</v>
      </c>
    </row>
    <row r="50" spans="1:15">
      <c r="A50" s="299" t="s">
        <v>82</v>
      </c>
      <c r="B50" s="298">
        <v>101010002</v>
      </c>
      <c r="C50" s="319" t="s">
        <v>83</v>
      </c>
      <c r="D50" s="298" t="s">
        <v>31</v>
      </c>
      <c r="E50" s="314"/>
      <c r="F50" s="314"/>
      <c r="G50" s="314"/>
      <c r="H50" s="312">
        <v>382.5</v>
      </c>
      <c r="I50" s="312">
        <v>3699</v>
      </c>
      <c r="J50" s="311">
        <f t="shared" si="0"/>
        <v>1414867.5</v>
      </c>
      <c r="K50" s="312">
        <v>1089</v>
      </c>
      <c r="L50" s="311">
        <v>416542.5</v>
      </c>
      <c r="M50" s="312">
        <v>1685</v>
      </c>
      <c r="N50" s="311">
        <v>644512.5</v>
      </c>
      <c r="O50" s="289" t="s">
        <v>672</v>
      </c>
    </row>
    <row r="51" spans="1:15">
      <c r="A51" s="299" t="s">
        <v>82</v>
      </c>
      <c r="B51" s="298">
        <v>101010003</v>
      </c>
      <c r="C51" s="319" t="s">
        <v>102</v>
      </c>
      <c r="D51" s="298" t="s">
        <v>86</v>
      </c>
      <c r="E51" s="314"/>
      <c r="F51" s="314"/>
      <c r="G51" s="314"/>
      <c r="H51" s="312">
        <v>137.59</v>
      </c>
      <c r="I51" s="312">
        <v>1237</v>
      </c>
      <c r="J51" s="311">
        <f t="shared" si="0"/>
        <v>170198.83000000002</v>
      </c>
      <c r="K51" s="312">
        <v>147</v>
      </c>
      <c r="L51" s="311">
        <v>20225.73</v>
      </c>
      <c r="M51" s="312">
        <v>651</v>
      </c>
      <c r="N51" s="311">
        <v>89571.09</v>
      </c>
      <c r="O51" s="289" t="s">
        <v>672</v>
      </c>
    </row>
    <row r="52" spans="1:15">
      <c r="A52" s="303">
        <v>1</v>
      </c>
      <c r="B52" s="295">
        <v>104020590</v>
      </c>
      <c r="C52" s="318" t="s">
        <v>88</v>
      </c>
      <c r="D52" s="298" t="s">
        <v>89</v>
      </c>
      <c r="E52" s="314">
        <v>40.909999999999997</v>
      </c>
      <c r="F52" s="314">
        <v>2400</v>
      </c>
      <c r="G52" s="314">
        <v>108000</v>
      </c>
      <c r="H52" s="312">
        <v>91.83</v>
      </c>
      <c r="I52" s="312">
        <v>3923</v>
      </c>
      <c r="J52" s="311">
        <f t="shared" si="0"/>
        <v>360249.08999999997</v>
      </c>
      <c r="K52" s="312">
        <v>24</v>
      </c>
      <c r="L52" s="311">
        <v>2203.92</v>
      </c>
      <c r="M52" s="312">
        <v>2624</v>
      </c>
      <c r="N52" s="311">
        <v>240961.92000000001</v>
      </c>
      <c r="O52" s="289" t="s">
        <v>672</v>
      </c>
    </row>
    <row r="53" spans="1:15">
      <c r="A53" s="303">
        <v>2</v>
      </c>
      <c r="B53" s="295">
        <v>104020591</v>
      </c>
      <c r="C53" s="318" t="s">
        <v>90</v>
      </c>
      <c r="D53" s="298" t="s">
        <v>89</v>
      </c>
      <c r="E53" s="314">
        <v>90</v>
      </c>
      <c r="F53" s="314">
        <v>780</v>
      </c>
      <c r="G53" s="314">
        <v>70200</v>
      </c>
      <c r="H53" s="312">
        <v>147.25</v>
      </c>
      <c r="I53" s="312">
        <v>685</v>
      </c>
      <c r="J53" s="311">
        <f t="shared" si="0"/>
        <v>100866.25</v>
      </c>
      <c r="K53" s="312">
        <v>12</v>
      </c>
      <c r="L53" s="311">
        <v>1767</v>
      </c>
      <c r="M53" s="312">
        <v>583</v>
      </c>
      <c r="N53" s="311">
        <v>85846.75</v>
      </c>
      <c r="O53" s="289" t="s">
        <v>672</v>
      </c>
    </row>
    <row r="54" spans="1:15">
      <c r="A54" s="303">
        <v>3</v>
      </c>
      <c r="B54" s="295">
        <v>104020592</v>
      </c>
      <c r="C54" s="318" t="s">
        <v>91</v>
      </c>
      <c r="D54" s="298" t="s">
        <v>89</v>
      </c>
      <c r="E54" s="314">
        <v>149</v>
      </c>
      <c r="F54" s="314">
        <v>480</v>
      </c>
      <c r="G54" s="314">
        <v>71520</v>
      </c>
      <c r="H54" s="312">
        <v>329.41</v>
      </c>
      <c r="I54" s="312">
        <v>78</v>
      </c>
      <c r="J54" s="311">
        <f t="shared" si="0"/>
        <v>25693.980000000003</v>
      </c>
      <c r="K54" s="312">
        <v>8</v>
      </c>
      <c r="L54" s="311">
        <v>2635.28</v>
      </c>
      <c r="M54" s="312">
        <v>32</v>
      </c>
      <c r="N54" s="311">
        <v>10541.12</v>
      </c>
      <c r="O54" s="289" t="s">
        <v>672</v>
      </c>
    </row>
    <row r="55" spans="1:15" ht="20.100000000000001" customHeight="1">
      <c r="A55" s="294">
        <v>2</v>
      </c>
      <c r="B55" s="300">
        <v>101010099</v>
      </c>
      <c r="C55" s="321" t="s">
        <v>33</v>
      </c>
      <c r="D55" s="302" t="s">
        <v>31</v>
      </c>
      <c r="E55" s="312">
        <v>740</v>
      </c>
      <c r="F55" s="312"/>
      <c r="G55" s="312"/>
      <c r="H55" s="312">
        <v>831.88</v>
      </c>
      <c r="I55" s="312">
        <v>113</v>
      </c>
      <c r="J55" s="312">
        <f t="shared" ref="J55:J64" si="1">I55*H55</f>
        <v>94002.44</v>
      </c>
      <c r="K55" s="312"/>
      <c r="L55" s="312"/>
      <c r="M55" s="312">
        <v>75</v>
      </c>
      <c r="N55" s="312">
        <v>62391</v>
      </c>
      <c r="O55" s="289" t="s">
        <v>674</v>
      </c>
    </row>
    <row r="56" spans="1:15" ht="20.100000000000001" customHeight="1">
      <c r="A56" s="294">
        <v>3</v>
      </c>
      <c r="B56" s="300">
        <v>101010114</v>
      </c>
      <c r="C56" s="321" t="s">
        <v>35</v>
      </c>
      <c r="D56" s="302" t="s">
        <v>31</v>
      </c>
      <c r="E56" s="312">
        <v>165</v>
      </c>
      <c r="F56" s="312"/>
      <c r="G56" s="312"/>
      <c r="H56" s="312">
        <v>218</v>
      </c>
      <c r="I56" s="312">
        <v>12</v>
      </c>
      <c r="J56" s="312">
        <f t="shared" si="1"/>
        <v>2616</v>
      </c>
      <c r="K56" s="312"/>
      <c r="L56" s="312"/>
      <c r="M56" s="312">
        <v>7</v>
      </c>
      <c r="N56" s="312">
        <v>1526</v>
      </c>
      <c r="O56" s="289" t="s">
        <v>674</v>
      </c>
    </row>
    <row r="57" spans="1:15" ht="20.100000000000001" customHeight="1">
      <c r="A57" s="294">
        <v>4</v>
      </c>
      <c r="B57" s="300">
        <v>101010115</v>
      </c>
      <c r="C57" s="321" t="s">
        <v>37</v>
      </c>
      <c r="D57" s="302" t="s">
        <v>31</v>
      </c>
      <c r="E57" s="312">
        <v>200</v>
      </c>
      <c r="F57" s="312"/>
      <c r="G57" s="312"/>
      <c r="H57" s="312">
        <v>268</v>
      </c>
      <c r="I57" s="312">
        <v>28</v>
      </c>
      <c r="J57" s="312">
        <f t="shared" si="1"/>
        <v>7504</v>
      </c>
      <c r="K57" s="312"/>
      <c r="L57" s="312"/>
      <c r="M57" s="312">
        <v>12</v>
      </c>
      <c r="N57" s="312">
        <v>3216</v>
      </c>
      <c r="O57" s="289" t="s">
        <v>674</v>
      </c>
    </row>
    <row r="58" spans="1:15" ht="20.100000000000001" customHeight="1">
      <c r="A58" s="294">
        <v>7</v>
      </c>
      <c r="B58" s="300">
        <v>101010036</v>
      </c>
      <c r="C58" s="321" t="s">
        <v>42</v>
      </c>
      <c r="D58" s="302" t="s">
        <v>31</v>
      </c>
      <c r="E58" s="312">
        <v>168</v>
      </c>
      <c r="F58" s="312"/>
      <c r="G58" s="312"/>
      <c r="H58" s="312">
        <v>209.95</v>
      </c>
      <c r="I58" s="312">
        <v>126</v>
      </c>
      <c r="J58" s="312">
        <f t="shared" si="1"/>
        <v>26453.699999999997</v>
      </c>
      <c r="K58" s="312"/>
      <c r="L58" s="312"/>
      <c r="M58" s="312">
        <v>82</v>
      </c>
      <c r="N58" s="312">
        <v>17215.899999999998</v>
      </c>
      <c r="O58" s="289" t="s">
        <v>674</v>
      </c>
    </row>
    <row r="59" spans="1:15" ht="20.100000000000001" customHeight="1">
      <c r="A59" s="294">
        <v>8</v>
      </c>
      <c r="B59" s="300">
        <v>101010024</v>
      </c>
      <c r="C59" s="321" t="s">
        <v>48</v>
      </c>
      <c r="D59" s="302" t="s">
        <v>31</v>
      </c>
      <c r="E59" s="312">
        <v>37.869999999999997</v>
      </c>
      <c r="F59" s="312"/>
      <c r="G59" s="312"/>
      <c r="H59" s="312">
        <v>61.09</v>
      </c>
      <c r="I59" s="312">
        <v>144</v>
      </c>
      <c r="J59" s="312">
        <f t="shared" si="1"/>
        <v>8796.9600000000009</v>
      </c>
      <c r="K59" s="312"/>
      <c r="L59" s="312"/>
      <c r="M59" s="312">
        <v>94</v>
      </c>
      <c r="N59" s="312">
        <v>5742.46</v>
      </c>
      <c r="O59" s="289" t="s">
        <v>674</v>
      </c>
    </row>
    <row r="60" spans="1:15" ht="20.100000000000001" customHeight="1">
      <c r="A60" s="294">
        <v>12</v>
      </c>
      <c r="B60" s="305">
        <v>101010504</v>
      </c>
      <c r="C60" s="322" t="s">
        <v>57</v>
      </c>
      <c r="D60" s="305" t="s">
        <v>31</v>
      </c>
      <c r="E60" s="315">
        <v>12</v>
      </c>
      <c r="F60" s="315"/>
      <c r="G60" s="315"/>
      <c r="H60" s="312">
        <v>25</v>
      </c>
      <c r="I60" s="312">
        <v>22</v>
      </c>
      <c r="J60" s="312">
        <f t="shared" si="1"/>
        <v>550</v>
      </c>
      <c r="K60" s="312">
        <v>1</v>
      </c>
      <c r="L60" s="312">
        <v>25</v>
      </c>
      <c r="M60" s="312">
        <v>17</v>
      </c>
      <c r="N60" s="312">
        <v>425</v>
      </c>
      <c r="O60" s="289" t="s">
        <v>674</v>
      </c>
    </row>
    <row r="61" spans="1:15" ht="20.100000000000001" customHeight="1">
      <c r="A61" s="299" t="s">
        <v>82</v>
      </c>
      <c r="B61" s="305">
        <v>101010001</v>
      </c>
      <c r="C61" s="322" t="s">
        <v>84</v>
      </c>
      <c r="D61" s="305" t="s">
        <v>31</v>
      </c>
      <c r="E61" s="315"/>
      <c r="F61" s="313"/>
      <c r="G61" s="313"/>
      <c r="H61" s="312">
        <v>867.72</v>
      </c>
      <c r="I61" s="312">
        <v>494</v>
      </c>
      <c r="J61" s="312">
        <f t="shared" si="1"/>
        <v>428653.68</v>
      </c>
      <c r="K61" s="312">
        <v>8</v>
      </c>
      <c r="L61" s="312">
        <v>6941.76</v>
      </c>
      <c r="M61" s="312">
        <v>333</v>
      </c>
      <c r="N61" s="312">
        <v>288950.76</v>
      </c>
      <c r="O61" s="289" t="s">
        <v>674</v>
      </c>
    </row>
    <row r="62" spans="1:15">
      <c r="A62" s="299" t="s">
        <v>82</v>
      </c>
      <c r="B62" s="305">
        <v>101010255</v>
      </c>
      <c r="C62" s="322" t="s">
        <v>108</v>
      </c>
      <c r="D62" s="305" t="s">
        <v>86</v>
      </c>
      <c r="E62" s="315"/>
      <c r="F62" s="316"/>
      <c r="G62" s="316"/>
      <c r="H62" s="312">
        <v>121.45</v>
      </c>
      <c r="I62" s="312">
        <v>3680</v>
      </c>
      <c r="J62" s="312">
        <f t="shared" si="1"/>
        <v>446936</v>
      </c>
      <c r="K62" s="312">
        <v>2</v>
      </c>
      <c r="L62" s="312">
        <v>242.9</v>
      </c>
      <c r="M62" s="312">
        <v>2424</v>
      </c>
      <c r="N62" s="312">
        <v>294394.8</v>
      </c>
      <c r="O62" s="289" t="s">
        <v>674</v>
      </c>
    </row>
    <row r="63" spans="1:15">
      <c r="A63" s="299" t="s">
        <v>82</v>
      </c>
      <c r="B63" s="305">
        <v>101010002</v>
      </c>
      <c r="C63" s="322" t="s">
        <v>83</v>
      </c>
      <c r="D63" s="305" t="s">
        <v>31</v>
      </c>
      <c r="E63" s="315"/>
      <c r="F63" s="313"/>
      <c r="G63" s="313"/>
      <c r="H63" s="312">
        <v>387.87</v>
      </c>
      <c r="I63" s="312">
        <v>167</v>
      </c>
      <c r="J63" s="312">
        <f t="shared" si="1"/>
        <v>64774.29</v>
      </c>
      <c r="K63" s="312"/>
      <c r="L63" s="312"/>
      <c r="M63" s="312">
        <v>100</v>
      </c>
      <c r="N63" s="312">
        <v>38787</v>
      </c>
      <c r="O63" s="289" t="s">
        <v>674</v>
      </c>
    </row>
    <row r="64" spans="1:15">
      <c r="A64" s="303">
        <v>1</v>
      </c>
      <c r="B64" s="306">
        <v>104020590</v>
      </c>
      <c r="C64" s="320" t="s">
        <v>88</v>
      </c>
      <c r="D64" s="301" t="s">
        <v>89</v>
      </c>
      <c r="E64" s="312">
        <v>40.909999999999997</v>
      </c>
      <c r="F64" s="312">
        <v>2400</v>
      </c>
      <c r="G64" s="312">
        <v>108000</v>
      </c>
      <c r="H64" s="312">
        <v>98.73</v>
      </c>
      <c r="I64" s="312">
        <v>410</v>
      </c>
      <c r="J64" s="312">
        <f t="shared" si="1"/>
        <v>40479.300000000003</v>
      </c>
      <c r="K64" s="312"/>
      <c r="L64" s="312"/>
      <c r="M64" s="312">
        <v>351</v>
      </c>
      <c r="N64" s="312">
        <v>34654.230000000003</v>
      </c>
      <c r="O64" s="289" t="s">
        <v>674</v>
      </c>
    </row>
  </sheetData>
  <phoneticPr fontId="3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67"/>
  <sheetViews>
    <sheetView topLeftCell="A16" workbookViewId="0">
      <selection activeCell="C7" sqref="C7"/>
    </sheetView>
  </sheetViews>
  <sheetFormatPr defaultRowHeight="14.25"/>
  <cols>
    <col min="1" max="1" width="46.75" style="284" bestFit="1" customWidth="1"/>
    <col min="2" max="2" width="7.5" bestFit="1" customWidth="1"/>
    <col min="3" max="3" width="33.875" bestFit="1" customWidth="1"/>
    <col min="4" max="5" width="32.75" bestFit="1" customWidth="1"/>
    <col min="6" max="66" width="28.125" bestFit="1" customWidth="1"/>
    <col min="67" max="67" width="7.5" bestFit="1" customWidth="1"/>
  </cols>
  <sheetData>
    <row r="3" spans="1:5">
      <c r="A3" s="341"/>
      <c r="B3" s="345"/>
      <c r="C3" s="326" t="s">
        <v>678</v>
      </c>
      <c r="D3" s="324"/>
      <c r="E3" s="325"/>
    </row>
    <row r="4" spans="1:5">
      <c r="A4" s="342" t="s">
        <v>5</v>
      </c>
      <c r="B4" s="326" t="s">
        <v>665</v>
      </c>
      <c r="C4" s="329" t="s">
        <v>677</v>
      </c>
      <c r="D4" s="328" t="s">
        <v>688</v>
      </c>
      <c r="E4" s="330" t="s">
        <v>679</v>
      </c>
    </row>
    <row r="5" spans="1:5">
      <c r="A5" s="341" t="s">
        <v>54</v>
      </c>
      <c r="B5" s="323" t="s">
        <v>669</v>
      </c>
      <c r="C5" s="331">
        <v>23691.32</v>
      </c>
      <c r="D5" s="332">
        <v>12350.48</v>
      </c>
      <c r="E5" s="333">
        <v>10472.08</v>
      </c>
    </row>
    <row r="6" spans="1:5">
      <c r="A6" s="343" t="s">
        <v>54</v>
      </c>
      <c r="B6" s="327" t="s">
        <v>667</v>
      </c>
      <c r="C6" s="334">
        <v>75671.990000000005</v>
      </c>
      <c r="D6" s="335">
        <v>42948</v>
      </c>
      <c r="E6" s="336">
        <v>18658.52</v>
      </c>
    </row>
    <row r="7" spans="1:5">
      <c r="A7" s="343" t="s">
        <v>54</v>
      </c>
      <c r="B7" s="327" t="s">
        <v>671</v>
      </c>
      <c r="C7" s="334">
        <v>24246.5</v>
      </c>
      <c r="D7" s="335">
        <v>5431.5</v>
      </c>
      <c r="E7" s="336">
        <v>11715</v>
      </c>
    </row>
    <row r="8" spans="1:5">
      <c r="A8" s="341" t="s">
        <v>102</v>
      </c>
      <c r="B8" s="323" t="s">
        <v>671</v>
      </c>
      <c r="C8" s="331">
        <v>170198.83000000002</v>
      </c>
      <c r="D8" s="332">
        <v>20225.73</v>
      </c>
      <c r="E8" s="333">
        <v>89571.09</v>
      </c>
    </row>
    <row r="9" spans="1:5">
      <c r="A9" s="341" t="s">
        <v>35</v>
      </c>
      <c r="B9" s="323" t="s">
        <v>669</v>
      </c>
      <c r="C9" s="331">
        <v>250194.84999999998</v>
      </c>
      <c r="D9" s="332">
        <v>54077.99</v>
      </c>
      <c r="E9" s="333">
        <v>147199.84</v>
      </c>
    </row>
    <row r="10" spans="1:5">
      <c r="A10" s="343" t="s">
        <v>35</v>
      </c>
      <c r="B10" s="327" t="s">
        <v>667</v>
      </c>
      <c r="C10" s="334">
        <v>583971.4</v>
      </c>
      <c r="D10" s="335">
        <v>238437.42</v>
      </c>
      <c r="E10" s="336">
        <v>267530.58</v>
      </c>
    </row>
    <row r="11" spans="1:5">
      <c r="A11" s="343" t="s">
        <v>35</v>
      </c>
      <c r="B11" s="327" t="s">
        <v>671</v>
      </c>
      <c r="C11" s="334">
        <v>135912.69999999998</v>
      </c>
      <c r="D11" s="335">
        <v>59678.96</v>
      </c>
      <c r="E11" s="336">
        <v>63970.939999999995</v>
      </c>
    </row>
    <row r="12" spans="1:5">
      <c r="A12" s="343" t="s">
        <v>35</v>
      </c>
      <c r="B12" s="327" t="s">
        <v>673</v>
      </c>
      <c r="C12" s="334">
        <v>2616</v>
      </c>
      <c r="D12" s="335"/>
      <c r="E12" s="336">
        <v>1526</v>
      </c>
    </row>
    <row r="13" spans="1:5">
      <c r="A13" s="341" t="s">
        <v>30</v>
      </c>
      <c r="B13" s="323" t="s">
        <v>669</v>
      </c>
      <c r="C13" s="331">
        <v>1064760.8399999999</v>
      </c>
      <c r="D13" s="332">
        <v>767831.22</v>
      </c>
      <c r="E13" s="333">
        <v>733167.63</v>
      </c>
    </row>
    <row r="14" spans="1:5">
      <c r="A14" s="341" t="s">
        <v>41</v>
      </c>
      <c r="B14" s="323" t="s">
        <v>669</v>
      </c>
      <c r="C14" s="331">
        <v>216630</v>
      </c>
      <c r="D14" s="332">
        <v>86411.3</v>
      </c>
      <c r="E14" s="333">
        <v>106389.4</v>
      </c>
    </row>
    <row r="15" spans="1:5">
      <c r="A15" s="341" t="s">
        <v>39</v>
      </c>
      <c r="B15" s="323" t="s">
        <v>669</v>
      </c>
      <c r="C15" s="331">
        <v>123317.04</v>
      </c>
      <c r="D15" s="332">
        <v>70667.069999999992</v>
      </c>
      <c r="E15" s="333">
        <v>65862.509999999995</v>
      </c>
    </row>
    <row r="16" spans="1:5">
      <c r="A16" s="341" t="s">
        <v>57</v>
      </c>
      <c r="B16" s="323" t="s">
        <v>667</v>
      </c>
      <c r="C16" s="331">
        <v>39580.979999999996</v>
      </c>
      <c r="D16" s="332">
        <v>14807.99</v>
      </c>
      <c r="E16" s="333">
        <v>15286.31</v>
      </c>
    </row>
    <row r="17" spans="1:5">
      <c r="A17" s="343" t="s">
        <v>57</v>
      </c>
      <c r="B17" s="327" t="s">
        <v>673</v>
      </c>
      <c r="C17" s="334">
        <v>550</v>
      </c>
      <c r="D17" s="335">
        <v>25</v>
      </c>
      <c r="E17" s="336">
        <v>425</v>
      </c>
    </row>
    <row r="18" spans="1:5">
      <c r="A18" s="341" t="s">
        <v>108</v>
      </c>
      <c r="B18" s="323" t="s">
        <v>673</v>
      </c>
      <c r="C18" s="331">
        <v>446936</v>
      </c>
      <c r="D18" s="332">
        <v>242.9</v>
      </c>
      <c r="E18" s="333">
        <v>294394.8</v>
      </c>
    </row>
    <row r="19" spans="1:5">
      <c r="A19" s="341" t="s">
        <v>37</v>
      </c>
      <c r="B19" s="323" t="s">
        <v>669</v>
      </c>
      <c r="C19" s="331">
        <v>769069.71000000008</v>
      </c>
      <c r="D19" s="332">
        <v>203937.78000000003</v>
      </c>
      <c r="E19" s="333">
        <v>361715.73000000004</v>
      </c>
    </row>
    <row r="20" spans="1:5">
      <c r="A20" s="343" t="s">
        <v>37</v>
      </c>
      <c r="B20" s="327" t="s">
        <v>667</v>
      </c>
      <c r="C20" s="334">
        <v>1451581.96</v>
      </c>
      <c r="D20" s="335">
        <v>671666.88</v>
      </c>
      <c r="E20" s="336">
        <v>616222.67999999993</v>
      </c>
    </row>
    <row r="21" spans="1:5">
      <c r="A21" s="343" t="s">
        <v>37</v>
      </c>
      <c r="B21" s="327" t="s">
        <v>671</v>
      </c>
      <c r="C21" s="334">
        <v>244464.3</v>
      </c>
      <c r="D21" s="335">
        <v>43205.1</v>
      </c>
      <c r="E21" s="336">
        <v>110473.79999999999</v>
      </c>
    </row>
    <row r="22" spans="1:5">
      <c r="A22" s="343" t="s">
        <v>37</v>
      </c>
      <c r="B22" s="327" t="s">
        <v>673</v>
      </c>
      <c r="C22" s="334">
        <v>7504</v>
      </c>
      <c r="D22" s="335"/>
      <c r="E22" s="336">
        <v>3216</v>
      </c>
    </row>
    <row r="23" spans="1:5">
      <c r="A23" s="341" t="s">
        <v>33</v>
      </c>
      <c r="B23" s="323" t="s">
        <v>669</v>
      </c>
      <c r="C23" s="331">
        <v>5311904.5500000007</v>
      </c>
      <c r="D23" s="332">
        <v>1628599.4400000002</v>
      </c>
      <c r="E23" s="333">
        <v>2968732.3800000004</v>
      </c>
    </row>
    <row r="24" spans="1:5">
      <c r="A24" s="343" t="s">
        <v>33</v>
      </c>
      <c r="B24" s="327" t="s">
        <v>667</v>
      </c>
      <c r="C24" s="334">
        <v>10892047.319999998</v>
      </c>
      <c r="D24" s="335">
        <v>4390187.34</v>
      </c>
      <c r="E24" s="336">
        <v>4146149.7</v>
      </c>
    </row>
    <row r="25" spans="1:5">
      <c r="A25" s="343" t="s">
        <v>33</v>
      </c>
      <c r="B25" s="327" t="s">
        <v>671</v>
      </c>
      <c r="C25" s="334">
        <v>2712408.93</v>
      </c>
      <c r="D25" s="335">
        <v>586577.97000000009</v>
      </c>
      <c r="E25" s="336">
        <v>1465210.89</v>
      </c>
    </row>
    <row r="26" spans="1:5">
      <c r="A26" s="343" t="s">
        <v>33</v>
      </c>
      <c r="B26" s="327" t="s">
        <v>673</v>
      </c>
      <c r="C26" s="334">
        <v>94002.44</v>
      </c>
      <c r="D26" s="335"/>
      <c r="E26" s="336">
        <v>62391</v>
      </c>
    </row>
    <row r="27" spans="1:5">
      <c r="A27" s="341" t="s">
        <v>58</v>
      </c>
      <c r="B27" s="323" t="s">
        <v>669</v>
      </c>
      <c r="C27" s="331">
        <v>44759.51</v>
      </c>
      <c r="D27" s="332"/>
      <c r="E27" s="333">
        <v>44759.51</v>
      </c>
    </row>
    <row r="28" spans="1:5">
      <c r="A28" s="343" t="s">
        <v>58</v>
      </c>
      <c r="B28" s="327" t="s">
        <v>667</v>
      </c>
      <c r="C28" s="334">
        <v>186650.61</v>
      </c>
      <c r="D28" s="335"/>
      <c r="E28" s="336">
        <v>76146.02</v>
      </c>
    </row>
    <row r="29" spans="1:5">
      <c r="A29" s="343" t="s">
        <v>58</v>
      </c>
      <c r="B29" s="327" t="s">
        <v>671</v>
      </c>
      <c r="C29" s="334">
        <v>27076</v>
      </c>
      <c r="D29" s="335">
        <v>0</v>
      </c>
      <c r="E29" s="336">
        <v>27076</v>
      </c>
    </row>
    <row r="30" spans="1:5">
      <c r="A30" s="341" t="s">
        <v>83</v>
      </c>
      <c r="B30" s="323" t="s">
        <v>669</v>
      </c>
      <c r="C30" s="331">
        <v>3324629.55</v>
      </c>
      <c r="D30" s="332">
        <v>1485636.78</v>
      </c>
      <c r="E30" s="333">
        <v>1817896.89</v>
      </c>
    </row>
    <row r="31" spans="1:5">
      <c r="A31" s="343" t="s">
        <v>83</v>
      </c>
      <c r="B31" s="327" t="s">
        <v>667</v>
      </c>
      <c r="C31" s="334">
        <v>55386699.100000001</v>
      </c>
      <c r="D31" s="335">
        <v>24563242.680000003</v>
      </c>
      <c r="E31" s="336">
        <v>25412162.440000001</v>
      </c>
    </row>
    <row r="32" spans="1:5">
      <c r="A32" s="343" t="s">
        <v>83</v>
      </c>
      <c r="B32" s="327" t="s">
        <v>671</v>
      </c>
      <c r="C32" s="334">
        <v>1414867.5</v>
      </c>
      <c r="D32" s="335">
        <v>416542.5</v>
      </c>
      <c r="E32" s="336">
        <v>644512.5</v>
      </c>
    </row>
    <row r="33" spans="1:5">
      <c r="A33" s="343" t="s">
        <v>83</v>
      </c>
      <c r="B33" s="327" t="s">
        <v>673</v>
      </c>
      <c r="C33" s="334">
        <v>64774.29</v>
      </c>
      <c r="D33" s="335"/>
      <c r="E33" s="336">
        <v>38787</v>
      </c>
    </row>
    <row r="34" spans="1:5">
      <c r="A34" s="341" t="s">
        <v>59</v>
      </c>
      <c r="B34" s="323" t="s">
        <v>667</v>
      </c>
      <c r="C34" s="331">
        <v>45701.599999999999</v>
      </c>
      <c r="D34" s="332"/>
      <c r="E34" s="333">
        <v>10201.25</v>
      </c>
    </row>
    <row r="35" spans="1:5">
      <c r="A35" s="341" t="s">
        <v>52</v>
      </c>
      <c r="B35" s="323" t="s">
        <v>667</v>
      </c>
      <c r="C35" s="331">
        <v>257942.95</v>
      </c>
      <c r="D35" s="332">
        <v>67815.100000000006</v>
      </c>
      <c r="E35" s="333">
        <v>116645.75</v>
      </c>
    </row>
    <row r="36" spans="1:5">
      <c r="A36" s="341" t="s">
        <v>50</v>
      </c>
      <c r="B36" s="323" t="s">
        <v>667</v>
      </c>
      <c r="C36" s="331">
        <v>401551.92000000004</v>
      </c>
      <c r="D36" s="332">
        <v>261327.44000000003</v>
      </c>
      <c r="E36" s="333">
        <v>218014.3</v>
      </c>
    </row>
    <row r="37" spans="1:5">
      <c r="A37" s="341" t="s">
        <v>42</v>
      </c>
      <c r="B37" s="323" t="s">
        <v>669</v>
      </c>
      <c r="C37" s="331">
        <v>516695.31</v>
      </c>
      <c r="D37" s="332">
        <v>173707.44</v>
      </c>
      <c r="E37" s="333">
        <v>267728.7</v>
      </c>
    </row>
    <row r="38" spans="1:5">
      <c r="A38" s="343" t="s">
        <v>42</v>
      </c>
      <c r="B38" s="327" t="s">
        <v>667</v>
      </c>
      <c r="C38" s="334">
        <v>9353998.1600000001</v>
      </c>
      <c r="D38" s="335">
        <v>4392554.05</v>
      </c>
      <c r="E38" s="336">
        <v>4320478.4000000004</v>
      </c>
    </row>
    <row r="39" spans="1:5">
      <c r="A39" s="343" t="s">
        <v>42</v>
      </c>
      <c r="B39" s="327" t="s">
        <v>671</v>
      </c>
      <c r="C39" s="334">
        <v>316626.87</v>
      </c>
      <c r="D39" s="335">
        <v>73699.360000000001</v>
      </c>
      <c r="E39" s="336">
        <v>193260.55</v>
      </c>
    </row>
    <row r="40" spans="1:5">
      <c r="A40" s="343" t="s">
        <v>42</v>
      </c>
      <c r="B40" s="327" t="s">
        <v>673</v>
      </c>
      <c r="C40" s="334">
        <v>26453.699999999997</v>
      </c>
      <c r="D40" s="335"/>
      <c r="E40" s="336">
        <v>17215.899999999998</v>
      </c>
    </row>
    <row r="41" spans="1:5">
      <c r="A41" s="341" t="s">
        <v>48</v>
      </c>
      <c r="B41" s="323" t="s">
        <v>669</v>
      </c>
      <c r="C41" s="331">
        <v>128511.56</v>
      </c>
      <c r="D41" s="332">
        <v>42079.55</v>
      </c>
      <c r="E41" s="333">
        <v>63518.62</v>
      </c>
    </row>
    <row r="42" spans="1:5">
      <c r="A42" s="343" t="s">
        <v>48</v>
      </c>
      <c r="B42" s="327" t="s">
        <v>667</v>
      </c>
      <c r="C42" s="334">
        <v>1289531.4000000001</v>
      </c>
      <c r="D42" s="335">
        <v>469723.53</v>
      </c>
      <c r="E42" s="336">
        <v>554991.24</v>
      </c>
    </row>
    <row r="43" spans="1:5">
      <c r="A43" s="343" t="s">
        <v>48</v>
      </c>
      <c r="B43" s="327" t="s">
        <v>671</v>
      </c>
      <c r="C43" s="334">
        <v>80250.12</v>
      </c>
      <c r="D43" s="335">
        <v>8101.1299999999992</v>
      </c>
      <c r="E43" s="336">
        <v>63558.53</v>
      </c>
    </row>
    <row r="44" spans="1:5">
      <c r="A44" s="343" t="s">
        <v>48</v>
      </c>
      <c r="B44" s="327" t="s">
        <v>673</v>
      </c>
      <c r="C44" s="334">
        <v>8796.9600000000009</v>
      </c>
      <c r="D44" s="335"/>
      <c r="E44" s="336">
        <v>5742.46</v>
      </c>
    </row>
    <row r="45" spans="1:5">
      <c r="A45" s="341" t="s">
        <v>64</v>
      </c>
      <c r="B45" s="323" t="s">
        <v>669</v>
      </c>
      <c r="C45" s="331">
        <v>12044.48</v>
      </c>
      <c r="D45" s="332">
        <v>90709.99</v>
      </c>
      <c r="E45" s="333">
        <v>5269.46</v>
      </c>
    </row>
    <row r="46" spans="1:5">
      <c r="A46" s="343" t="s">
        <v>64</v>
      </c>
      <c r="B46" s="327" t="s">
        <v>667</v>
      </c>
      <c r="C46" s="334">
        <v>23189.85</v>
      </c>
      <c r="D46" s="335">
        <v>68325.649999999994</v>
      </c>
      <c r="E46" s="336">
        <v>4087.1</v>
      </c>
    </row>
    <row r="47" spans="1:5">
      <c r="A47" s="343" t="s">
        <v>64</v>
      </c>
      <c r="B47" s="327" t="s">
        <v>671</v>
      </c>
      <c r="C47" s="334">
        <v>13987.2</v>
      </c>
      <c r="D47" s="335">
        <v>33656.700000000004</v>
      </c>
      <c r="E47" s="336">
        <v>12675.900000000001</v>
      </c>
    </row>
    <row r="48" spans="1:5">
      <c r="A48" s="341" t="s">
        <v>84</v>
      </c>
      <c r="B48" s="323" t="s">
        <v>669</v>
      </c>
      <c r="C48" s="331">
        <v>9755378.9600000009</v>
      </c>
      <c r="D48" s="332">
        <v>3294765.52</v>
      </c>
      <c r="E48" s="333">
        <v>5176962.4800000004</v>
      </c>
    </row>
    <row r="49" spans="1:5">
      <c r="A49" s="343" t="s">
        <v>84</v>
      </c>
      <c r="B49" s="327" t="s">
        <v>667</v>
      </c>
      <c r="C49" s="334">
        <v>55255963.490000002</v>
      </c>
      <c r="D49" s="335">
        <v>26177581.990000002</v>
      </c>
      <c r="E49" s="336">
        <v>23844272.830000002</v>
      </c>
    </row>
    <row r="50" spans="1:5">
      <c r="A50" s="343" t="s">
        <v>84</v>
      </c>
      <c r="B50" s="327" t="s">
        <v>671</v>
      </c>
      <c r="C50" s="334">
        <v>4432500</v>
      </c>
      <c r="D50" s="335">
        <v>851926.5</v>
      </c>
      <c r="E50" s="336">
        <v>2307559.5</v>
      </c>
    </row>
    <row r="51" spans="1:5">
      <c r="A51" s="343" t="s">
        <v>84</v>
      </c>
      <c r="B51" s="327" t="s">
        <v>673</v>
      </c>
      <c r="C51" s="334">
        <v>428653.68</v>
      </c>
      <c r="D51" s="335">
        <v>6941.76</v>
      </c>
      <c r="E51" s="336">
        <v>288950.76</v>
      </c>
    </row>
    <row r="52" spans="1:5">
      <c r="A52" s="341" t="s">
        <v>87</v>
      </c>
      <c r="B52" s="323" t="s">
        <v>667</v>
      </c>
      <c r="C52" s="331">
        <v>15423159.600000001</v>
      </c>
      <c r="D52" s="332">
        <v>7329468.6000000006</v>
      </c>
      <c r="E52" s="333">
        <v>6950120</v>
      </c>
    </row>
    <row r="53" spans="1:5">
      <c r="A53" s="341" t="s">
        <v>85</v>
      </c>
      <c r="B53" s="323" t="s">
        <v>669</v>
      </c>
      <c r="C53" s="331">
        <v>102674</v>
      </c>
      <c r="D53" s="332"/>
      <c r="E53" s="333">
        <v>102674</v>
      </c>
    </row>
    <row r="54" spans="1:5">
      <c r="A54" s="343" t="s">
        <v>85</v>
      </c>
      <c r="B54" s="327" t="s">
        <v>667</v>
      </c>
      <c r="C54" s="334">
        <v>5268611.25</v>
      </c>
      <c r="D54" s="335">
        <v>2383246.35</v>
      </c>
      <c r="E54" s="336">
        <v>2455570.8000000003</v>
      </c>
    </row>
    <row r="55" spans="1:5">
      <c r="A55" s="341" t="s">
        <v>69</v>
      </c>
      <c r="B55" s="323" t="s">
        <v>669</v>
      </c>
      <c r="C55" s="331">
        <v>8756.01</v>
      </c>
      <c r="D55" s="332"/>
      <c r="E55" s="333">
        <v>8756.01</v>
      </c>
    </row>
    <row r="56" spans="1:5">
      <c r="A56" s="343" t="s">
        <v>69</v>
      </c>
      <c r="B56" s="327" t="s">
        <v>667</v>
      </c>
      <c r="C56" s="334">
        <v>134459.94</v>
      </c>
      <c r="D56" s="335"/>
      <c r="E56" s="336">
        <v>124312.02</v>
      </c>
    </row>
    <row r="57" spans="1:5">
      <c r="A57" s="343" t="s">
        <v>69</v>
      </c>
      <c r="B57" s="327" t="s">
        <v>671</v>
      </c>
      <c r="C57" s="334">
        <v>30500.03</v>
      </c>
      <c r="D57" s="335"/>
      <c r="E57" s="336">
        <v>30500.03</v>
      </c>
    </row>
    <row r="58" spans="1:5">
      <c r="A58" s="341" t="s">
        <v>88</v>
      </c>
      <c r="B58" s="323" t="s">
        <v>669</v>
      </c>
      <c r="C58" s="331">
        <v>762937.84000000008</v>
      </c>
      <c r="D58" s="332">
        <v>19796</v>
      </c>
      <c r="E58" s="333">
        <v>446300.82</v>
      </c>
    </row>
    <row r="59" spans="1:5">
      <c r="A59" s="343" t="s">
        <v>88</v>
      </c>
      <c r="B59" s="327" t="s">
        <v>667</v>
      </c>
      <c r="C59" s="334">
        <v>2314892.3499999996</v>
      </c>
      <c r="D59" s="335">
        <v>283285.86</v>
      </c>
      <c r="E59" s="336">
        <v>1796283.72</v>
      </c>
    </row>
    <row r="60" spans="1:5">
      <c r="A60" s="343" t="s">
        <v>88</v>
      </c>
      <c r="B60" s="327" t="s">
        <v>671</v>
      </c>
      <c r="C60" s="334">
        <v>360249.08999999997</v>
      </c>
      <c r="D60" s="335">
        <v>2203.92</v>
      </c>
      <c r="E60" s="336">
        <v>240961.92000000001</v>
      </c>
    </row>
    <row r="61" spans="1:5">
      <c r="A61" s="343" t="s">
        <v>88</v>
      </c>
      <c r="B61" s="327" t="s">
        <v>673</v>
      </c>
      <c r="C61" s="334">
        <v>40479.300000000003</v>
      </c>
      <c r="D61" s="335"/>
      <c r="E61" s="336">
        <v>34654.230000000003</v>
      </c>
    </row>
    <row r="62" spans="1:5">
      <c r="A62" s="341" t="s">
        <v>90</v>
      </c>
      <c r="B62" s="323" t="s">
        <v>669</v>
      </c>
      <c r="C62" s="331">
        <v>82110</v>
      </c>
      <c r="D62" s="332">
        <v>3450</v>
      </c>
      <c r="E62" s="333">
        <v>49450</v>
      </c>
    </row>
    <row r="63" spans="1:5">
      <c r="A63" s="343" t="s">
        <v>90</v>
      </c>
      <c r="B63" s="327" t="s">
        <v>667</v>
      </c>
      <c r="C63" s="334">
        <v>1283040</v>
      </c>
      <c r="D63" s="335">
        <v>258497.46000000002</v>
      </c>
      <c r="E63" s="336">
        <v>1751195.16</v>
      </c>
    </row>
    <row r="64" spans="1:5">
      <c r="A64" s="343" t="s">
        <v>90</v>
      </c>
      <c r="B64" s="327" t="s">
        <v>671</v>
      </c>
      <c r="C64" s="334">
        <v>100866.25</v>
      </c>
      <c r="D64" s="335">
        <v>1767</v>
      </c>
      <c r="E64" s="336">
        <v>85846.75</v>
      </c>
    </row>
    <row r="65" spans="1:5">
      <c r="A65" s="341" t="s">
        <v>91</v>
      </c>
      <c r="B65" s="323" t="s">
        <v>669</v>
      </c>
      <c r="C65" s="331">
        <v>45193.02</v>
      </c>
      <c r="D65" s="332">
        <v>3964.3</v>
      </c>
      <c r="E65" s="333">
        <v>29732.25</v>
      </c>
    </row>
    <row r="66" spans="1:5">
      <c r="A66" s="343" t="s">
        <v>91</v>
      </c>
      <c r="B66" s="327" t="s">
        <v>667</v>
      </c>
      <c r="C66" s="334">
        <v>118306</v>
      </c>
      <c r="D66" s="335">
        <v>301219.10000000003</v>
      </c>
      <c r="E66" s="336">
        <v>199414.67</v>
      </c>
    </row>
    <row r="67" spans="1:5">
      <c r="A67" s="344" t="s">
        <v>91</v>
      </c>
      <c r="B67" s="337" t="s">
        <v>671</v>
      </c>
      <c r="C67" s="338">
        <v>25693.980000000003</v>
      </c>
      <c r="D67" s="339">
        <v>2635.28</v>
      </c>
      <c r="E67" s="340">
        <v>10541.12</v>
      </c>
    </row>
  </sheetData>
  <phoneticPr fontId="3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E72"/>
  <sheetViews>
    <sheetView workbookViewId="0"/>
  </sheetViews>
  <sheetFormatPr defaultColWidth="9" defaultRowHeight="14.25"/>
  <cols>
    <col min="1" max="1" width="45" bestFit="1" customWidth="1"/>
    <col min="2" max="2" width="5.5" bestFit="1" customWidth="1"/>
    <col min="3" max="3" width="33.875" bestFit="1" customWidth="1"/>
    <col min="4" max="5" width="32.75" bestFit="1" customWidth="1"/>
  </cols>
  <sheetData>
    <row r="3" spans="1:5">
      <c r="C3" t="s">
        <v>678</v>
      </c>
    </row>
    <row r="4" spans="1:5">
      <c r="A4" t="s">
        <v>5</v>
      </c>
      <c r="B4" t="s">
        <v>665</v>
      </c>
      <c r="C4" t="s">
        <v>677</v>
      </c>
      <c r="D4" s="288" t="s">
        <v>688</v>
      </c>
      <c r="E4" t="s">
        <v>679</v>
      </c>
    </row>
    <row r="5" spans="1:5">
      <c r="A5" t="s">
        <v>54</v>
      </c>
      <c r="B5" t="s">
        <v>669</v>
      </c>
      <c r="C5" s="346">
        <v>23691.32</v>
      </c>
      <c r="D5" s="346">
        <v>12350.48</v>
      </c>
      <c r="E5" s="346">
        <v>10472.08</v>
      </c>
    </row>
    <row r="6" spans="1:5">
      <c r="A6" t="s">
        <v>54</v>
      </c>
      <c r="B6" t="s">
        <v>667</v>
      </c>
      <c r="C6" s="346">
        <v>75671.990000000005</v>
      </c>
      <c r="D6" s="346">
        <v>42948</v>
      </c>
      <c r="E6" s="346">
        <v>18658.52</v>
      </c>
    </row>
    <row r="7" spans="1:5">
      <c r="A7" t="s">
        <v>54</v>
      </c>
      <c r="B7" t="s">
        <v>671</v>
      </c>
      <c r="C7" s="346">
        <v>24246.5</v>
      </c>
      <c r="D7" s="346">
        <v>5431.5</v>
      </c>
      <c r="E7" s="346">
        <v>11715</v>
      </c>
    </row>
    <row r="8" spans="1:5">
      <c r="A8" t="s">
        <v>102</v>
      </c>
      <c r="B8" t="s">
        <v>671</v>
      </c>
      <c r="C8" s="346">
        <v>170198.83000000002</v>
      </c>
      <c r="D8" s="346">
        <v>20225.73</v>
      </c>
      <c r="E8" s="346">
        <v>89571.09</v>
      </c>
    </row>
    <row r="9" spans="1:5">
      <c r="A9" t="s">
        <v>35</v>
      </c>
      <c r="B9" t="s">
        <v>669</v>
      </c>
      <c r="C9" s="346">
        <v>250194.84999999998</v>
      </c>
      <c r="D9" s="346">
        <v>54077.99</v>
      </c>
      <c r="E9" s="346">
        <v>147199.84</v>
      </c>
    </row>
    <row r="10" spans="1:5">
      <c r="A10" t="s">
        <v>35</v>
      </c>
      <c r="B10" t="s">
        <v>667</v>
      </c>
      <c r="C10" s="346">
        <v>583971.4</v>
      </c>
      <c r="D10" s="346">
        <v>238437.42</v>
      </c>
      <c r="E10" s="346">
        <v>267530.58</v>
      </c>
    </row>
    <row r="11" spans="1:5">
      <c r="A11" t="s">
        <v>35</v>
      </c>
      <c r="B11" t="s">
        <v>671</v>
      </c>
      <c r="C11" s="346">
        <v>135912.69999999998</v>
      </c>
      <c r="D11" s="346">
        <v>59678.96</v>
      </c>
      <c r="E11" s="346">
        <v>63970.939999999995</v>
      </c>
    </row>
    <row r="12" spans="1:5">
      <c r="A12" t="s">
        <v>35</v>
      </c>
      <c r="B12" t="s">
        <v>673</v>
      </c>
      <c r="C12" s="346">
        <v>2616</v>
      </c>
      <c r="D12" s="346"/>
      <c r="E12" s="346">
        <v>1526</v>
      </c>
    </row>
    <row r="13" spans="1:5">
      <c r="A13" t="s">
        <v>30</v>
      </c>
      <c r="B13" t="s">
        <v>669</v>
      </c>
      <c r="C13" s="346">
        <v>1064760.8399999999</v>
      </c>
      <c r="D13" s="346">
        <v>767831.22</v>
      </c>
      <c r="E13" s="346">
        <v>733167.63</v>
      </c>
    </row>
    <row r="14" spans="1:5">
      <c r="A14" t="s">
        <v>41</v>
      </c>
      <c r="B14" t="s">
        <v>669</v>
      </c>
      <c r="C14" s="346">
        <v>216630</v>
      </c>
      <c r="D14" s="346">
        <v>86411.3</v>
      </c>
      <c r="E14" s="346">
        <v>106389.4</v>
      </c>
    </row>
    <row r="15" spans="1:5">
      <c r="A15" t="s">
        <v>39</v>
      </c>
      <c r="B15" t="s">
        <v>669</v>
      </c>
      <c r="C15" s="346">
        <v>123317.04</v>
      </c>
      <c r="D15" s="346">
        <v>70667.069999999992</v>
      </c>
      <c r="E15" s="346">
        <v>65862.509999999995</v>
      </c>
    </row>
    <row r="16" spans="1:5">
      <c r="A16" t="s">
        <v>57</v>
      </c>
      <c r="B16" t="s">
        <v>667</v>
      </c>
      <c r="C16" s="346">
        <v>39580.979999999996</v>
      </c>
      <c r="D16" s="346">
        <v>14807.99</v>
      </c>
      <c r="E16" s="346">
        <v>15286.31</v>
      </c>
    </row>
    <row r="17" spans="1:5">
      <c r="A17" t="s">
        <v>57</v>
      </c>
      <c r="B17" t="s">
        <v>673</v>
      </c>
      <c r="C17" s="346">
        <v>550</v>
      </c>
      <c r="D17" s="346">
        <v>25</v>
      </c>
      <c r="E17" s="346">
        <v>425</v>
      </c>
    </row>
    <row r="18" spans="1:5">
      <c r="A18" t="s">
        <v>108</v>
      </c>
      <c r="B18" t="s">
        <v>673</v>
      </c>
      <c r="C18" s="346">
        <v>446936</v>
      </c>
      <c r="D18" s="346">
        <v>242.9</v>
      </c>
      <c r="E18" s="346">
        <v>294394.8</v>
      </c>
    </row>
    <row r="19" spans="1:5">
      <c r="A19" t="s">
        <v>37</v>
      </c>
      <c r="B19" t="s">
        <v>669</v>
      </c>
      <c r="C19" s="346">
        <v>769069.71000000008</v>
      </c>
      <c r="D19" s="346">
        <v>203937.78000000003</v>
      </c>
      <c r="E19" s="346">
        <v>361715.73000000004</v>
      </c>
    </row>
    <row r="20" spans="1:5">
      <c r="A20" t="s">
        <v>37</v>
      </c>
      <c r="B20" t="s">
        <v>667</v>
      </c>
      <c r="C20" s="346">
        <v>1451581.96</v>
      </c>
      <c r="D20" s="346">
        <v>671666.88</v>
      </c>
      <c r="E20" s="346">
        <v>616222.67999999993</v>
      </c>
    </row>
    <row r="21" spans="1:5">
      <c r="A21" t="s">
        <v>37</v>
      </c>
      <c r="B21" t="s">
        <v>671</v>
      </c>
      <c r="C21" s="346">
        <v>244464.3</v>
      </c>
      <c r="D21" s="346">
        <v>43205.1</v>
      </c>
      <c r="E21" s="346">
        <v>110473.79999999999</v>
      </c>
    </row>
    <row r="22" spans="1:5">
      <c r="A22" t="s">
        <v>37</v>
      </c>
      <c r="B22" t="s">
        <v>673</v>
      </c>
      <c r="C22" s="346">
        <v>7504</v>
      </c>
      <c r="D22" s="346"/>
      <c r="E22" s="346">
        <v>3216</v>
      </c>
    </row>
    <row r="23" spans="1:5">
      <c r="A23" t="s">
        <v>33</v>
      </c>
      <c r="B23" t="s">
        <v>669</v>
      </c>
      <c r="C23" s="346">
        <v>5311904.5500000007</v>
      </c>
      <c r="D23" s="346">
        <v>1628599.4400000002</v>
      </c>
      <c r="E23" s="346">
        <v>2968732.3800000004</v>
      </c>
    </row>
    <row r="24" spans="1:5">
      <c r="A24" t="s">
        <v>33</v>
      </c>
      <c r="B24" t="s">
        <v>667</v>
      </c>
      <c r="C24" s="346">
        <v>10892047.319999998</v>
      </c>
      <c r="D24" s="346">
        <v>4390187.34</v>
      </c>
      <c r="E24" s="346">
        <v>4146149.7</v>
      </c>
    </row>
    <row r="25" spans="1:5">
      <c r="A25" t="s">
        <v>33</v>
      </c>
      <c r="B25" t="s">
        <v>671</v>
      </c>
      <c r="C25" s="346">
        <v>2712408.93</v>
      </c>
      <c r="D25" s="346">
        <v>586577.97000000009</v>
      </c>
      <c r="E25" s="346">
        <v>1465210.89</v>
      </c>
    </row>
    <row r="26" spans="1:5">
      <c r="A26" t="s">
        <v>33</v>
      </c>
      <c r="B26" t="s">
        <v>673</v>
      </c>
      <c r="C26" s="346">
        <v>94002.44</v>
      </c>
      <c r="D26" s="346"/>
      <c r="E26" s="346">
        <v>62391</v>
      </c>
    </row>
    <row r="27" spans="1:5">
      <c r="A27" t="s">
        <v>58</v>
      </c>
      <c r="B27" t="s">
        <v>669</v>
      </c>
      <c r="C27" s="346">
        <v>44759.51</v>
      </c>
      <c r="D27" s="346"/>
      <c r="E27" s="346">
        <v>44759.51</v>
      </c>
    </row>
    <row r="28" spans="1:5">
      <c r="A28" t="s">
        <v>58</v>
      </c>
      <c r="B28" t="s">
        <v>667</v>
      </c>
      <c r="C28" s="346">
        <v>186650.61</v>
      </c>
      <c r="D28" s="346"/>
      <c r="E28" s="346">
        <v>76146.02</v>
      </c>
    </row>
    <row r="29" spans="1:5">
      <c r="A29" t="s">
        <v>58</v>
      </c>
      <c r="B29" t="s">
        <v>671</v>
      </c>
      <c r="C29" s="346">
        <v>27076</v>
      </c>
      <c r="D29" s="346">
        <v>0</v>
      </c>
      <c r="E29" s="346">
        <v>27076</v>
      </c>
    </row>
    <row r="30" spans="1:5">
      <c r="A30" t="s">
        <v>83</v>
      </c>
      <c r="B30" t="s">
        <v>669</v>
      </c>
      <c r="C30" s="346">
        <v>3324629.55</v>
      </c>
      <c r="D30" s="346">
        <v>1485636.78</v>
      </c>
      <c r="E30" s="346">
        <v>1817896.89</v>
      </c>
    </row>
    <row r="31" spans="1:5">
      <c r="A31" t="s">
        <v>83</v>
      </c>
      <c r="B31" t="s">
        <v>667</v>
      </c>
      <c r="C31" s="346">
        <v>55386699.100000001</v>
      </c>
      <c r="D31" s="346">
        <v>24563242.680000003</v>
      </c>
      <c r="E31" s="346">
        <v>25412162.440000001</v>
      </c>
    </row>
    <row r="32" spans="1:5">
      <c r="A32" t="s">
        <v>83</v>
      </c>
      <c r="B32" t="s">
        <v>671</v>
      </c>
      <c r="C32" s="346">
        <v>1414867.5</v>
      </c>
      <c r="D32" s="346">
        <v>416542.5</v>
      </c>
      <c r="E32" s="346">
        <v>644512.5</v>
      </c>
    </row>
    <row r="33" spans="1:5">
      <c r="A33" t="s">
        <v>83</v>
      </c>
      <c r="B33" t="s">
        <v>673</v>
      </c>
      <c r="C33" s="346">
        <v>64774.29</v>
      </c>
      <c r="D33" s="346"/>
      <c r="E33" s="346">
        <v>38787</v>
      </c>
    </row>
    <row r="34" spans="1:5">
      <c r="A34" t="s">
        <v>59</v>
      </c>
      <c r="B34" t="s">
        <v>667</v>
      </c>
      <c r="C34" s="346">
        <v>45701.599999999999</v>
      </c>
      <c r="D34" s="346"/>
      <c r="E34" s="346">
        <v>10201.25</v>
      </c>
    </row>
    <row r="35" spans="1:5">
      <c r="A35" t="s">
        <v>52</v>
      </c>
      <c r="B35" t="s">
        <v>667</v>
      </c>
      <c r="C35" s="346">
        <v>257942.95</v>
      </c>
      <c r="D35" s="346">
        <v>67815.100000000006</v>
      </c>
      <c r="E35" s="346">
        <v>116645.75</v>
      </c>
    </row>
    <row r="36" spans="1:5">
      <c r="A36" t="s">
        <v>50</v>
      </c>
      <c r="B36" t="s">
        <v>667</v>
      </c>
      <c r="C36" s="346">
        <v>401551.92000000004</v>
      </c>
      <c r="D36" s="346">
        <v>261327.44000000003</v>
      </c>
      <c r="E36" s="346">
        <v>218014.3</v>
      </c>
    </row>
    <row r="37" spans="1:5">
      <c r="A37" t="s">
        <v>42</v>
      </c>
      <c r="B37" t="s">
        <v>669</v>
      </c>
      <c r="C37" s="346">
        <v>516695.31</v>
      </c>
      <c r="D37" s="346">
        <v>173707.44</v>
      </c>
      <c r="E37" s="346">
        <v>267728.7</v>
      </c>
    </row>
    <row r="38" spans="1:5">
      <c r="A38" t="s">
        <v>42</v>
      </c>
      <c r="B38" t="s">
        <v>667</v>
      </c>
      <c r="C38" s="346">
        <v>9353998.1600000001</v>
      </c>
      <c r="D38" s="346">
        <v>4392554.05</v>
      </c>
      <c r="E38" s="346">
        <v>4320478.4000000004</v>
      </c>
    </row>
    <row r="39" spans="1:5">
      <c r="A39" t="s">
        <v>42</v>
      </c>
      <c r="B39" t="s">
        <v>671</v>
      </c>
      <c r="C39" s="346">
        <v>316626.87</v>
      </c>
      <c r="D39" s="346">
        <v>73699.360000000001</v>
      </c>
      <c r="E39" s="346">
        <v>193260.55</v>
      </c>
    </row>
    <row r="40" spans="1:5">
      <c r="A40" t="s">
        <v>42</v>
      </c>
      <c r="B40" t="s">
        <v>673</v>
      </c>
      <c r="C40" s="346">
        <v>26453.699999999997</v>
      </c>
      <c r="D40" s="346"/>
      <c r="E40" s="346">
        <v>17215.899999999998</v>
      </c>
    </row>
    <row r="41" spans="1:5">
      <c r="A41" t="s">
        <v>48</v>
      </c>
      <c r="B41" t="s">
        <v>669</v>
      </c>
      <c r="C41" s="346">
        <v>128511.56</v>
      </c>
      <c r="D41" s="346">
        <v>42079.55</v>
      </c>
      <c r="E41" s="346">
        <v>63518.62</v>
      </c>
    </row>
    <row r="42" spans="1:5">
      <c r="A42" t="s">
        <v>48</v>
      </c>
      <c r="B42" t="s">
        <v>667</v>
      </c>
      <c r="C42" s="346">
        <v>1289531.4000000001</v>
      </c>
      <c r="D42" s="346">
        <v>469723.53</v>
      </c>
      <c r="E42" s="346">
        <v>554991.24</v>
      </c>
    </row>
    <row r="43" spans="1:5">
      <c r="A43" t="s">
        <v>48</v>
      </c>
      <c r="B43" t="s">
        <v>671</v>
      </c>
      <c r="C43" s="346">
        <v>80250.12</v>
      </c>
      <c r="D43" s="346">
        <v>8101.1299999999992</v>
      </c>
      <c r="E43" s="346">
        <v>63558.53</v>
      </c>
    </row>
    <row r="44" spans="1:5">
      <c r="A44" t="s">
        <v>48</v>
      </c>
      <c r="B44" t="s">
        <v>673</v>
      </c>
      <c r="C44" s="346">
        <v>8796.9600000000009</v>
      </c>
      <c r="D44" s="346"/>
      <c r="E44" s="346">
        <v>5742.46</v>
      </c>
    </row>
    <row r="45" spans="1:5">
      <c r="A45" t="s">
        <v>64</v>
      </c>
      <c r="B45" t="s">
        <v>669</v>
      </c>
      <c r="C45" s="346">
        <v>12044.48</v>
      </c>
      <c r="D45" s="346">
        <v>90709.99</v>
      </c>
      <c r="E45" s="346">
        <v>5269.46</v>
      </c>
    </row>
    <row r="46" spans="1:5">
      <c r="A46" t="s">
        <v>64</v>
      </c>
      <c r="B46" t="s">
        <v>667</v>
      </c>
      <c r="C46" s="346">
        <v>23189.85</v>
      </c>
      <c r="D46" s="346">
        <v>68325.649999999994</v>
      </c>
      <c r="E46" s="346">
        <v>4087.1</v>
      </c>
    </row>
    <row r="47" spans="1:5">
      <c r="A47" t="s">
        <v>64</v>
      </c>
      <c r="B47" t="s">
        <v>671</v>
      </c>
      <c r="C47" s="346">
        <v>13987.2</v>
      </c>
      <c r="D47" s="346">
        <v>33656.700000000004</v>
      </c>
      <c r="E47" s="346">
        <v>12675.900000000001</v>
      </c>
    </row>
    <row r="48" spans="1:5">
      <c r="A48" t="s">
        <v>84</v>
      </c>
      <c r="B48" t="s">
        <v>669</v>
      </c>
      <c r="C48" s="346">
        <v>9755378.9600000009</v>
      </c>
      <c r="D48" s="346">
        <v>3294765.52</v>
      </c>
      <c r="E48" s="346">
        <v>5176962.4800000004</v>
      </c>
    </row>
    <row r="49" spans="1:5">
      <c r="A49" t="s">
        <v>84</v>
      </c>
      <c r="B49" t="s">
        <v>667</v>
      </c>
      <c r="C49" s="346">
        <v>55255963.490000002</v>
      </c>
      <c r="D49" s="346">
        <v>26177581.990000002</v>
      </c>
      <c r="E49" s="346">
        <v>23844272.830000002</v>
      </c>
    </row>
    <row r="50" spans="1:5">
      <c r="A50" t="s">
        <v>84</v>
      </c>
      <c r="B50" t="s">
        <v>671</v>
      </c>
      <c r="C50" s="346">
        <v>4432500</v>
      </c>
      <c r="D50" s="346">
        <v>851926.5</v>
      </c>
      <c r="E50" s="346">
        <v>2307559.5</v>
      </c>
    </row>
    <row r="51" spans="1:5">
      <c r="A51" t="s">
        <v>84</v>
      </c>
      <c r="B51" t="s">
        <v>673</v>
      </c>
      <c r="C51" s="346">
        <v>428653.68</v>
      </c>
      <c r="D51" s="346">
        <v>6941.76</v>
      </c>
      <c r="E51" s="346">
        <v>288950.76</v>
      </c>
    </row>
    <row r="52" spans="1:5">
      <c r="A52" t="s">
        <v>87</v>
      </c>
      <c r="B52" t="s">
        <v>667</v>
      </c>
      <c r="C52" s="346">
        <v>15423159.600000001</v>
      </c>
      <c r="D52" s="346">
        <v>7329468.6000000006</v>
      </c>
      <c r="E52" s="346">
        <v>6950120</v>
      </c>
    </row>
    <row r="53" spans="1:5">
      <c r="A53" t="s">
        <v>85</v>
      </c>
      <c r="B53" t="s">
        <v>669</v>
      </c>
      <c r="C53" s="346">
        <v>102674</v>
      </c>
      <c r="D53" s="346"/>
      <c r="E53" s="346">
        <v>102674</v>
      </c>
    </row>
    <row r="54" spans="1:5">
      <c r="A54" t="s">
        <v>85</v>
      </c>
      <c r="B54" t="s">
        <v>667</v>
      </c>
      <c r="C54" s="346">
        <v>5268611.25</v>
      </c>
      <c r="D54" s="346">
        <v>2383246.35</v>
      </c>
      <c r="E54" s="346">
        <v>2455570.8000000003</v>
      </c>
    </row>
    <row r="55" spans="1:5">
      <c r="A55" t="s">
        <v>69</v>
      </c>
      <c r="B55" t="s">
        <v>669</v>
      </c>
      <c r="C55" s="346">
        <v>8756.01</v>
      </c>
      <c r="D55" s="346"/>
      <c r="E55" s="346">
        <v>8756.01</v>
      </c>
    </row>
    <row r="56" spans="1:5">
      <c r="A56" t="s">
        <v>69</v>
      </c>
      <c r="B56" t="s">
        <v>667</v>
      </c>
      <c r="C56" s="346">
        <v>134459.94</v>
      </c>
      <c r="D56" s="346"/>
      <c r="E56" s="346">
        <v>124312.02</v>
      </c>
    </row>
    <row r="57" spans="1:5">
      <c r="A57" t="s">
        <v>69</v>
      </c>
      <c r="B57" t="s">
        <v>671</v>
      </c>
      <c r="C57" s="346">
        <v>30500.03</v>
      </c>
      <c r="D57" s="346"/>
      <c r="E57" s="346">
        <v>30500.03</v>
      </c>
    </row>
    <row r="58" spans="1:5">
      <c r="A58" t="s">
        <v>88</v>
      </c>
      <c r="B58" t="s">
        <v>669</v>
      </c>
      <c r="C58" s="346">
        <v>762937.84000000008</v>
      </c>
      <c r="D58" s="346">
        <v>19796</v>
      </c>
      <c r="E58" s="346">
        <v>446300.82</v>
      </c>
    </row>
    <row r="59" spans="1:5">
      <c r="A59" t="s">
        <v>88</v>
      </c>
      <c r="B59" t="s">
        <v>667</v>
      </c>
      <c r="C59" s="346">
        <v>2314892.3499999996</v>
      </c>
      <c r="D59" s="346">
        <v>283285.86</v>
      </c>
      <c r="E59" s="346">
        <v>1796283.72</v>
      </c>
    </row>
    <row r="60" spans="1:5">
      <c r="A60" t="s">
        <v>88</v>
      </c>
      <c r="B60" t="s">
        <v>671</v>
      </c>
      <c r="C60" s="346">
        <v>360249.08999999997</v>
      </c>
      <c r="D60" s="346">
        <v>2203.92</v>
      </c>
      <c r="E60" s="346">
        <v>240961.92000000001</v>
      </c>
    </row>
    <row r="61" spans="1:5">
      <c r="A61" t="s">
        <v>88</v>
      </c>
      <c r="B61" t="s">
        <v>673</v>
      </c>
      <c r="C61" s="346">
        <v>40479.300000000003</v>
      </c>
      <c r="D61" s="346"/>
      <c r="E61" s="346">
        <v>34654.230000000003</v>
      </c>
    </row>
    <row r="62" spans="1:5">
      <c r="A62" t="s">
        <v>90</v>
      </c>
      <c r="B62" t="s">
        <v>669</v>
      </c>
      <c r="C62" s="346">
        <v>82110</v>
      </c>
      <c r="D62" s="346">
        <v>3450</v>
      </c>
      <c r="E62" s="346">
        <v>49450</v>
      </c>
    </row>
    <row r="63" spans="1:5">
      <c r="A63" t="s">
        <v>90</v>
      </c>
      <c r="B63" t="s">
        <v>667</v>
      </c>
      <c r="C63" s="346">
        <v>1283040</v>
      </c>
      <c r="D63" s="346">
        <v>258497.46000000002</v>
      </c>
      <c r="E63" s="346">
        <v>1751195.16</v>
      </c>
    </row>
    <row r="64" spans="1:5">
      <c r="A64" t="s">
        <v>90</v>
      </c>
      <c r="B64" t="s">
        <v>671</v>
      </c>
      <c r="C64" s="346">
        <v>100866.25</v>
      </c>
      <c r="D64" s="346">
        <v>1767</v>
      </c>
      <c r="E64" s="346">
        <v>85846.75</v>
      </c>
    </row>
    <row r="65" spans="1:5">
      <c r="A65" t="s">
        <v>91</v>
      </c>
      <c r="B65" t="s">
        <v>669</v>
      </c>
      <c r="C65" s="346">
        <v>45193.02</v>
      </c>
      <c r="D65" s="346">
        <v>3964.3</v>
      </c>
      <c r="E65" s="346">
        <v>29732.25</v>
      </c>
    </row>
    <row r="66" spans="1:5">
      <c r="A66" t="s">
        <v>91</v>
      </c>
      <c r="B66" t="s">
        <v>667</v>
      </c>
      <c r="C66" s="346">
        <v>118306</v>
      </c>
      <c r="D66" s="346">
        <v>301219.10000000003</v>
      </c>
      <c r="E66" s="346">
        <v>199414.67</v>
      </c>
    </row>
    <row r="67" spans="1:5">
      <c r="A67" t="s">
        <v>91</v>
      </c>
      <c r="B67" t="s">
        <v>671</v>
      </c>
      <c r="C67" s="346">
        <v>25693.980000000003</v>
      </c>
      <c r="D67" s="346">
        <v>2635.28</v>
      </c>
      <c r="E67" s="346">
        <v>10541.12</v>
      </c>
    </row>
    <row r="69" spans="1:5">
      <c r="B69" t="s">
        <v>669</v>
      </c>
      <c r="C69">
        <f>SUMIF($B$5:$B$67,$B69,C$5:C$67)</f>
        <v>22543258.550000004</v>
      </c>
      <c r="D69">
        <f t="shared" ref="D69:E69" si="0">SUMIF($B$5:$B$67,$B69,D$5:D$67)</f>
        <v>7937984.8600000003</v>
      </c>
      <c r="E69">
        <f t="shared" si="0"/>
        <v>12406588.310000001</v>
      </c>
    </row>
    <row r="70" spans="1:5">
      <c r="B70" t="s">
        <v>667</v>
      </c>
      <c r="C70">
        <f t="shared" ref="C70:E72" si="1">SUMIF($B$5:$B$67,$B70,C$5:C$67)</f>
        <v>159786551.86999997</v>
      </c>
      <c r="D70">
        <f t="shared" si="1"/>
        <v>71914335.439999983</v>
      </c>
      <c r="E70">
        <f t="shared" si="1"/>
        <v>72897743.489999995</v>
      </c>
    </row>
    <row r="71" spans="1:5">
      <c r="B71" t="s">
        <v>671</v>
      </c>
      <c r="C71">
        <f t="shared" si="1"/>
        <v>10089848.299999999</v>
      </c>
      <c r="D71">
        <f t="shared" si="1"/>
        <v>2105651.65</v>
      </c>
      <c r="E71">
        <f t="shared" si="1"/>
        <v>5357434.5199999996</v>
      </c>
    </row>
    <row r="72" spans="1:5">
      <c r="B72" t="s">
        <v>673</v>
      </c>
      <c r="C72">
        <f t="shared" si="1"/>
        <v>1120766.3699999999</v>
      </c>
      <c r="D72">
        <f t="shared" si="1"/>
        <v>7209.66</v>
      </c>
      <c r="E72">
        <f t="shared" si="1"/>
        <v>747303.15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3"/>
  <sheetViews>
    <sheetView workbookViewId="0"/>
  </sheetViews>
  <sheetFormatPr defaultRowHeight="12"/>
  <cols>
    <col min="1" max="1" width="2.625" style="285" customWidth="1"/>
    <col min="2" max="2" width="12.375" style="285" customWidth="1"/>
    <col min="3" max="3" width="8.25" style="285" customWidth="1"/>
    <col min="4" max="4" width="10.75" style="287" customWidth="1"/>
    <col min="5" max="5" width="11.625" style="287" customWidth="1"/>
    <col min="6" max="6" width="11.5" style="287" customWidth="1"/>
    <col min="7" max="16384" width="9" style="285"/>
  </cols>
  <sheetData>
    <row r="2" spans="2:6" ht="24">
      <c r="C2" s="285" t="s">
        <v>666</v>
      </c>
      <c r="D2" s="286" t="s">
        <v>685</v>
      </c>
      <c r="E2" s="286" t="s">
        <v>683</v>
      </c>
      <c r="F2" s="286" t="s">
        <v>664</v>
      </c>
    </row>
    <row r="3" spans="2:6">
      <c r="B3" s="285" t="s">
        <v>646</v>
      </c>
      <c r="C3" s="285" t="s">
        <v>680</v>
      </c>
      <c r="D3" s="287">
        <f>SUMPRODUCT((透视表!$B$5:$B$67=整理后数据!$C3)*(透视表!C$5:C$67)*ISNUMBER(FIND(整理后数据!$B3,透视表!$A$5:$A$67)))</f>
        <v>6421424.9000000004</v>
      </c>
      <c r="E3" s="287">
        <f>SUMPRODUCT((透视表!$B$5:$B$67=整理后数据!$C3)*(透视表!D$5:D$67)*ISNUMBER(FIND(整理后数据!$B3,透视表!$A$5:$A$67)))</f>
        <v>2396430.66</v>
      </c>
      <c r="F3" s="287">
        <f>SUMPRODUCT((透视表!$B$5:$B$67=整理后数据!$C3)*(透视表!E$5:E$67)*ISNUMBER(FIND(整理后数据!$B3,透视表!$A$5:$A$67)))</f>
        <v>3746659.52</v>
      </c>
    </row>
    <row r="4" spans="2:6">
      <c r="B4" s="285" t="s">
        <v>645</v>
      </c>
      <c r="C4" s="285" t="s">
        <v>668</v>
      </c>
      <c r="D4" s="287">
        <f>SUMPRODUCT((透视表!$B$5:$B$67=整理后数据!$C4)*(透视表!C$5:C$67)*ISNUMBER(FIND(整理后数据!$B4,透视表!$A$5:$A$67)))</f>
        <v>11078697.929999998</v>
      </c>
      <c r="E4" s="287">
        <f>SUMPRODUCT((透视表!$B$5:$B$67=整理后数据!$C4)*(透视表!D$5:D$67)*ISNUMBER(FIND(整理后数据!$B4,透视表!$A$5:$A$67)))</f>
        <v>4390187.34</v>
      </c>
      <c r="F4" s="287">
        <f>SUMPRODUCT((透视表!$B$5:$B$67=整理后数据!$C4)*(透视表!E$5:E$67)*ISNUMBER(FIND(整理后数据!$B4,透视表!$A$5:$A$67)))</f>
        <v>4222295.72</v>
      </c>
    </row>
    <row r="5" spans="2:6">
      <c r="B5" s="285" t="s">
        <v>645</v>
      </c>
      <c r="C5" s="285" t="s">
        <v>681</v>
      </c>
      <c r="D5" s="287">
        <f>SUMPRODUCT((透视表!$B$5:$B$67=整理后数据!$C5)*(透视表!C$5:C$67)*ISNUMBER(FIND(整理后数据!$B5,透视表!$A$5:$A$67)))</f>
        <v>2739484.93</v>
      </c>
      <c r="E5" s="287">
        <f>SUMPRODUCT((透视表!$B$5:$B$67=整理后数据!$C5)*(透视表!D$5:D$67)*ISNUMBER(FIND(整理后数据!$B5,透视表!$A$5:$A$67)))</f>
        <v>586577.97000000009</v>
      </c>
      <c r="F5" s="287">
        <f>SUMPRODUCT((透视表!$B$5:$B$67=整理后数据!$C5)*(透视表!E$5:E$67)*ISNUMBER(FIND(整理后数据!$B5,透视表!$A$5:$A$67)))</f>
        <v>1492286.89</v>
      </c>
    </row>
    <row r="6" spans="2:6">
      <c r="B6" s="285" t="s">
        <v>645</v>
      </c>
      <c r="C6" s="285" t="s">
        <v>674</v>
      </c>
      <c r="D6" s="287">
        <f>SUMPRODUCT((透视表!$B$5:$B$67=整理后数据!$C6)*(透视表!C$5:C$67)*ISNUMBER(FIND(整理后数据!$B6,透视表!$A$5:$A$67)))</f>
        <v>94002.44</v>
      </c>
      <c r="E6" s="287">
        <f>SUMPRODUCT((透视表!$B$5:$B$67=整理后数据!$C6)*(透视表!D$5:D$67)*ISNUMBER(FIND(整理后数据!$B6,透视表!$A$5:$A$67)))</f>
        <v>0</v>
      </c>
      <c r="F6" s="287">
        <f>SUMPRODUCT((透视表!$B$5:$B$67=整理后数据!$C6)*(透视表!E$5:E$67)*ISNUMBER(FIND(整理后数据!$B6,透视表!$A$5:$A$67)))</f>
        <v>62391</v>
      </c>
    </row>
    <row r="7" spans="2:6">
      <c r="B7" s="285" t="s">
        <v>648</v>
      </c>
      <c r="C7" s="285" t="s">
        <v>680</v>
      </c>
      <c r="D7" s="287">
        <f>SUMPRODUCT((透视表!$B$5:$B$67=整理后数据!$C7)*(透视表!C$5:C$67)*ISNUMBER(FIND(整理后数据!$B7,透视表!$A$5:$A$67)))</f>
        <v>1359211.6</v>
      </c>
      <c r="E7" s="287">
        <f>SUMPRODUCT((透视表!$B$5:$B$67=整理后数据!$C7)*(透视表!D$5:D$67)*ISNUMBER(FIND(整理后数据!$B7,透视表!$A$5:$A$67)))</f>
        <v>415094.14</v>
      </c>
      <c r="F7" s="287">
        <f>SUMPRODUCT((透视表!$B$5:$B$67=整理后数据!$C7)*(透视表!E$5:E$67)*ISNUMBER(FIND(整理后数据!$B7,透视表!$A$5:$A$67)))</f>
        <v>681167.48</v>
      </c>
    </row>
    <row r="8" spans="2:6">
      <c r="B8" s="285" t="s">
        <v>647</v>
      </c>
      <c r="C8" s="285" t="s">
        <v>668</v>
      </c>
      <c r="D8" s="287">
        <f>SUMPRODUCT((透视表!$B$5:$B$67=整理后数据!$C8)*(透视表!C$5:C$67)*ISNUMBER(FIND(整理后数据!$B8,透视表!$A$5:$A$67)))</f>
        <v>2035553.3599999999</v>
      </c>
      <c r="E8" s="287">
        <f>SUMPRODUCT((透视表!$B$5:$B$67=整理后数据!$C8)*(透视表!D$5:D$67)*ISNUMBER(FIND(整理后数据!$B8,透视表!$A$5:$A$67)))</f>
        <v>910104.3</v>
      </c>
      <c r="F8" s="287">
        <f>SUMPRODUCT((透视表!$B$5:$B$67=整理后数据!$C8)*(透视表!E$5:E$67)*ISNUMBER(FIND(整理后数据!$B8,透视表!$A$5:$A$67)))</f>
        <v>883753.26</v>
      </c>
    </row>
    <row r="9" spans="2:6">
      <c r="B9" s="285" t="s">
        <v>647</v>
      </c>
      <c r="C9" s="285" t="s">
        <v>681</v>
      </c>
      <c r="D9" s="287">
        <f>SUMPRODUCT((透视表!$B$5:$B$67=整理后数据!$C9)*(透视表!C$5:C$67)*ISNUMBER(FIND(整理后数据!$B9,透视表!$A$5:$A$67)))</f>
        <v>380377</v>
      </c>
      <c r="E9" s="287">
        <f>SUMPRODUCT((透视表!$B$5:$B$67=整理后数据!$C9)*(透视表!D$5:D$67)*ISNUMBER(FIND(整理后数据!$B9,透视表!$A$5:$A$67)))</f>
        <v>102884.06</v>
      </c>
      <c r="F9" s="287">
        <f>SUMPRODUCT((透视表!$B$5:$B$67=整理后数据!$C9)*(透视表!E$5:E$67)*ISNUMBER(FIND(整理后数据!$B9,透视表!$A$5:$A$67)))</f>
        <v>174444.74</v>
      </c>
    </row>
    <row r="10" spans="2:6">
      <c r="B10" s="285" t="s">
        <v>647</v>
      </c>
      <c r="C10" s="285" t="s">
        <v>674</v>
      </c>
      <c r="D10" s="287">
        <f>SUMPRODUCT((透视表!$B$5:$B$67=整理后数据!$C10)*(透视表!C$5:C$67)*ISNUMBER(FIND(整理后数据!$B10,透视表!$A$5:$A$67)))</f>
        <v>10120</v>
      </c>
      <c r="E10" s="287">
        <f>SUMPRODUCT((透视表!$B$5:$B$67=整理后数据!$C10)*(透视表!D$5:D$67)*ISNUMBER(FIND(整理后数据!$B10,透视表!$A$5:$A$67)))</f>
        <v>0</v>
      </c>
      <c r="F10" s="287">
        <f>SUMPRODUCT((透视表!$B$5:$B$67=整理后数据!$C10)*(透视表!E$5:E$67)*ISNUMBER(FIND(整理后数据!$B10,透视表!$A$5:$A$67)))</f>
        <v>4742</v>
      </c>
    </row>
    <row r="11" spans="2:6">
      <c r="B11" s="285" t="s">
        <v>650</v>
      </c>
      <c r="C11" s="285" t="s">
        <v>680</v>
      </c>
      <c r="D11" s="287">
        <f>SUMPRODUCT((透视表!$B$5:$B$67=整理后数据!$C11)*(透视表!C$5:C$67)*ISNUMBER(FIND(整理后数据!$B11,透视表!$A$5:$A$67)))</f>
        <v>516695.31</v>
      </c>
      <c r="E11" s="287">
        <f>SUMPRODUCT((透视表!$B$5:$B$67=整理后数据!$C11)*(透视表!D$5:D$67)*ISNUMBER(FIND(整理后数据!$B11,透视表!$A$5:$A$67)))</f>
        <v>173707.44</v>
      </c>
      <c r="F11" s="287">
        <f>SUMPRODUCT((透视表!$B$5:$B$67=整理后数据!$C11)*(透视表!E$5:E$67)*ISNUMBER(FIND(整理后数据!$B11,透视表!$A$5:$A$67)))</f>
        <v>267728.7</v>
      </c>
    </row>
    <row r="12" spans="2:6">
      <c r="B12" s="285" t="s">
        <v>649</v>
      </c>
      <c r="C12" s="285" t="s">
        <v>668</v>
      </c>
      <c r="D12" s="287">
        <f>SUMPRODUCT((透视表!$B$5:$B$67=整理后数据!$C12)*(透视表!C$5:C$67)*ISNUMBER(FIND(整理后数据!$B12,透视表!$A$5:$A$67)))</f>
        <v>9353998.1600000001</v>
      </c>
      <c r="E12" s="287">
        <f>SUMPRODUCT((透视表!$B$5:$B$67=整理后数据!$C12)*(透视表!D$5:D$67)*ISNUMBER(FIND(整理后数据!$B12,透视表!$A$5:$A$67)))</f>
        <v>4392554.05</v>
      </c>
      <c r="F12" s="287">
        <f>SUMPRODUCT((透视表!$B$5:$B$67=整理后数据!$C12)*(透视表!E$5:E$67)*ISNUMBER(FIND(整理后数据!$B12,透视表!$A$5:$A$67)))</f>
        <v>4320478.4000000004</v>
      </c>
    </row>
    <row r="13" spans="2:6">
      <c r="B13" s="285" t="s">
        <v>649</v>
      </c>
      <c r="C13" s="285" t="s">
        <v>681</v>
      </c>
      <c r="D13" s="287">
        <f>SUMPRODUCT((透视表!$B$5:$B$67=整理后数据!$C13)*(透视表!C$5:C$67)*ISNUMBER(FIND(整理后数据!$B13,透视表!$A$5:$A$67)))</f>
        <v>316626.87</v>
      </c>
      <c r="E13" s="287">
        <f>SUMPRODUCT((透视表!$B$5:$B$67=整理后数据!$C13)*(透视表!D$5:D$67)*ISNUMBER(FIND(整理后数据!$B13,透视表!$A$5:$A$67)))</f>
        <v>73699.360000000001</v>
      </c>
      <c r="F13" s="287">
        <f>SUMPRODUCT((透视表!$B$5:$B$67=整理后数据!$C13)*(透视表!E$5:E$67)*ISNUMBER(FIND(整理后数据!$B13,透视表!$A$5:$A$67)))</f>
        <v>193260.55</v>
      </c>
    </row>
    <row r="14" spans="2:6">
      <c r="B14" s="285" t="s">
        <v>649</v>
      </c>
      <c r="C14" s="285" t="s">
        <v>674</v>
      </c>
      <c r="D14" s="287">
        <f>SUMPRODUCT((透视表!$B$5:$B$67=整理后数据!$C14)*(透视表!C$5:C$67)*ISNUMBER(FIND(整理后数据!$B14,透视表!$A$5:$A$67)))</f>
        <v>26453.699999999997</v>
      </c>
      <c r="E14" s="287">
        <f>SUMPRODUCT((透视表!$B$5:$B$67=整理后数据!$C14)*(透视表!D$5:D$67)*ISNUMBER(FIND(整理后数据!$B14,透视表!$A$5:$A$67)))</f>
        <v>0</v>
      </c>
      <c r="F14" s="287">
        <f>SUMPRODUCT((透视表!$B$5:$B$67=整理后数据!$C14)*(透视表!E$5:E$67)*ISNUMBER(FIND(整理后数据!$B14,透视表!$A$5:$A$67)))</f>
        <v>17215.899999999998</v>
      </c>
    </row>
    <row r="15" spans="2:6">
      <c r="B15" s="285" t="s">
        <v>652</v>
      </c>
      <c r="C15" s="285" t="s">
        <v>680</v>
      </c>
      <c r="D15" s="287">
        <f>SUMPRODUCT((透视表!$B$5:$B$67=整理后数据!$C15)*(透视表!C$5:C$67)*ISNUMBER(FIND(整理后数据!$B15,透视表!$A$5:$A$67)))</f>
        <v>128511.56</v>
      </c>
      <c r="E15" s="287">
        <f>SUMPRODUCT((透视表!$B$5:$B$67=整理后数据!$C15)*(透视表!D$5:D$67)*ISNUMBER(FIND(整理后数据!$B15,透视表!$A$5:$A$67)))</f>
        <v>42079.55</v>
      </c>
      <c r="F15" s="287">
        <f>SUMPRODUCT((透视表!$B$5:$B$67=整理后数据!$C15)*(透视表!E$5:E$67)*ISNUMBER(FIND(整理后数据!$B15,透视表!$A$5:$A$67)))</f>
        <v>63518.62</v>
      </c>
    </row>
    <row r="16" spans="2:6">
      <c r="B16" s="285" t="s">
        <v>651</v>
      </c>
      <c r="C16" s="285" t="s">
        <v>668</v>
      </c>
      <c r="D16" s="287">
        <f>SUMPRODUCT((透视表!$B$5:$B$67=整理后数据!$C16)*(透视表!C$5:C$67)*ISNUMBER(FIND(整理后数据!$B16,透视表!$A$5:$A$67)))</f>
        <v>1949026.2700000003</v>
      </c>
      <c r="E16" s="287">
        <f>SUMPRODUCT((透视表!$B$5:$B$67=整理后数据!$C16)*(透视表!D$5:D$67)*ISNUMBER(FIND(整理后数据!$B16,透视表!$A$5:$A$67)))</f>
        <v>798866.07000000007</v>
      </c>
      <c r="F16" s="287">
        <f>SUMPRODUCT((透视表!$B$5:$B$67=整理后数据!$C16)*(透视表!E$5:E$67)*ISNUMBER(FIND(整理后数据!$B16,透视表!$A$5:$A$67)))</f>
        <v>889651.29</v>
      </c>
    </row>
    <row r="17" spans="2:6">
      <c r="B17" s="285" t="s">
        <v>651</v>
      </c>
      <c r="C17" s="285" t="s">
        <v>681</v>
      </c>
      <c r="D17" s="287">
        <f>SUMPRODUCT((透视表!$B$5:$B$67=整理后数据!$C17)*(透视表!C$5:C$67)*ISNUMBER(FIND(整理后数据!$B17,透视表!$A$5:$A$67)))</f>
        <v>80250.12</v>
      </c>
      <c r="E17" s="287">
        <f>SUMPRODUCT((透视表!$B$5:$B$67=整理后数据!$C17)*(透视表!D$5:D$67)*ISNUMBER(FIND(整理后数据!$B17,透视表!$A$5:$A$67)))</f>
        <v>8101.1299999999992</v>
      </c>
      <c r="F17" s="287">
        <f>SUMPRODUCT((透视表!$B$5:$B$67=整理后数据!$C17)*(透视表!E$5:E$67)*ISNUMBER(FIND(整理后数据!$B17,透视表!$A$5:$A$67)))</f>
        <v>63558.53</v>
      </c>
    </row>
    <row r="18" spans="2:6">
      <c r="B18" s="285" t="s">
        <v>651</v>
      </c>
      <c r="C18" s="285" t="s">
        <v>674</v>
      </c>
      <c r="D18" s="287">
        <f>SUMPRODUCT((透视表!$B$5:$B$67=整理后数据!$C18)*(透视表!C$5:C$67)*ISNUMBER(FIND(整理后数据!$B18,透视表!$A$5:$A$67)))</f>
        <v>8796.9600000000009</v>
      </c>
      <c r="E18" s="287">
        <f>SUMPRODUCT((透视表!$B$5:$B$67=整理后数据!$C18)*(透视表!D$5:D$67)*ISNUMBER(FIND(整理后数据!$B18,透视表!$A$5:$A$67)))</f>
        <v>0</v>
      </c>
      <c r="F18" s="287">
        <f>SUMPRODUCT((透视表!$B$5:$B$67=整理后数据!$C18)*(透视表!E$5:E$67)*ISNUMBER(FIND(整理后数据!$B18,透视表!$A$5:$A$67)))</f>
        <v>5742.46</v>
      </c>
    </row>
    <row r="19" spans="2:6">
      <c r="B19" s="285" t="s">
        <v>654</v>
      </c>
      <c r="C19" s="285" t="s">
        <v>680</v>
      </c>
      <c r="D19" s="287">
        <f>SUMPRODUCT((透视表!$B$5:$B$67=整理后数据!$C19)*(透视表!C$5:C$67)*ISNUMBER(FIND(整理后数据!$B19,透视表!$A$5:$A$67)))</f>
        <v>0</v>
      </c>
      <c r="E19" s="287">
        <f>SUMPRODUCT((透视表!$B$5:$B$67=整理后数据!$C19)*(透视表!D$5:D$67)*ISNUMBER(FIND(整理后数据!$B19,透视表!$A$5:$A$67)))</f>
        <v>0</v>
      </c>
      <c r="F19" s="287">
        <f>SUMPRODUCT((透视表!$B$5:$B$67=整理后数据!$C19)*(透视表!E$5:E$67)*ISNUMBER(FIND(整理后数据!$B19,透视表!$A$5:$A$67)))</f>
        <v>0</v>
      </c>
    </row>
    <row r="20" spans="2:6">
      <c r="B20" s="285" t="s">
        <v>653</v>
      </c>
      <c r="C20" s="285" t="s">
        <v>668</v>
      </c>
      <c r="D20" s="287">
        <f>SUMPRODUCT((透视表!$B$5:$B$67=整理后数据!$C20)*(透视表!C$5:C$67)*ISNUMBER(FIND(整理后数据!$B20,透视表!$A$5:$A$67)))</f>
        <v>39580.979999999996</v>
      </c>
      <c r="E20" s="287">
        <f>SUMPRODUCT((透视表!$B$5:$B$67=整理后数据!$C20)*(透视表!D$5:D$67)*ISNUMBER(FIND(整理后数据!$B20,透视表!$A$5:$A$67)))</f>
        <v>14807.99</v>
      </c>
      <c r="F20" s="287">
        <f>SUMPRODUCT((透视表!$B$5:$B$67=整理后数据!$C20)*(透视表!E$5:E$67)*ISNUMBER(FIND(整理后数据!$B20,透视表!$A$5:$A$67)))</f>
        <v>15286.31</v>
      </c>
    </row>
    <row r="21" spans="2:6">
      <c r="B21" s="285" t="s">
        <v>653</v>
      </c>
      <c r="C21" s="285" t="s">
        <v>681</v>
      </c>
      <c r="D21" s="287">
        <f>SUMPRODUCT((透视表!$B$5:$B$67=整理后数据!$C21)*(透视表!C$5:C$67)*ISNUMBER(FIND(整理后数据!$B21,透视表!$A$5:$A$67)))</f>
        <v>0</v>
      </c>
      <c r="E21" s="287">
        <f>SUMPRODUCT((透视表!$B$5:$B$67=整理后数据!$C21)*(透视表!D$5:D$67)*ISNUMBER(FIND(整理后数据!$B21,透视表!$A$5:$A$67)))</f>
        <v>0</v>
      </c>
      <c r="F21" s="287">
        <f>SUMPRODUCT((透视表!$B$5:$B$67=整理后数据!$C21)*(透视表!E$5:E$67)*ISNUMBER(FIND(整理后数据!$B21,透视表!$A$5:$A$67)))</f>
        <v>0</v>
      </c>
    </row>
    <row r="22" spans="2:6">
      <c r="B22" s="285" t="s">
        <v>653</v>
      </c>
      <c r="C22" s="285" t="s">
        <v>674</v>
      </c>
      <c r="D22" s="287">
        <f>SUMPRODUCT((透视表!$B$5:$B$67=整理后数据!$C22)*(透视表!C$5:C$67)*ISNUMBER(FIND(整理后数据!$B22,透视表!$A$5:$A$67)))</f>
        <v>550</v>
      </c>
      <c r="E22" s="287">
        <f>SUMPRODUCT((透视表!$B$5:$B$67=整理后数据!$C22)*(透视表!D$5:D$67)*ISNUMBER(FIND(整理后数据!$B22,透视表!$A$5:$A$67)))</f>
        <v>25</v>
      </c>
      <c r="F22" s="287">
        <f>SUMPRODUCT((透视表!$B$5:$B$67=整理后数据!$C22)*(透视表!E$5:E$67)*ISNUMBER(FIND(整理后数据!$B22,透视表!$A$5:$A$67)))</f>
        <v>425</v>
      </c>
    </row>
    <row r="23" spans="2:6">
      <c r="B23" s="285" t="s">
        <v>656</v>
      </c>
      <c r="C23" s="285" t="s">
        <v>680</v>
      </c>
      <c r="D23" s="287">
        <f>SUMPRODUCT((透视表!$B$5:$B$67=整理后数据!$C23)*(透视表!C$5:C$67)*ISNUMBER(FIND(整理后数据!$B23,透视表!$A$5:$A$67)))</f>
        <v>9755378.9600000009</v>
      </c>
      <c r="E23" s="287">
        <f>SUMPRODUCT((透视表!$B$5:$B$67=整理后数据!$C23)*(透视表!D$5:D$67)*ISNUMBER(FIND(整理后数据!$B23,透视表!$A$5:$A$67)))</f>
        <v>3294765.52</v>
      </c>
      <c r="F23" s="287">
        <f>SUMPRODUCT((透视表!$B$5:$B$67=整理后数据!$C23)*(透视表!E$5:E$67)*ISNUMBER(FIND(整理后数据!$B23,透视表!$A$5:$A$67)))</f>
        <v>5176962.4800000004</v>
      </c>
    </row>
    <row r="24" spans="2:6">
      <c r="B24" s="285" t="s">
        <v>655</v>
      </c>
      <c r="C24" s="285" t="s">
        <v>668</v>
      </c>
      <c r="D24" s="287">
        <f>SUMPRODUCT((透视表!$B$5:$B$67=整理后数据!$C24)*(透视表!C$5:C$67)*ISNUMBER(FIND(整理后数据!$B24,透视表!$A$5:$A$67)))</f>
        <v>55255963.490000002</v>
      </c>
      <c r="E24" s="287">
        <f>SUMPRODUCT((透视表!$B$5:$B$67=整理后数据!$C24)*(透视表!D$5:D$67)*ISNUMBER(FIND(整理后数据!$B24,透视表!$A$5:$A$67)))</f>
        <v>26177581.990000002</v>
      </c>
      <c r="F24" s="287">
        <f>SUMPRODUCT((透视表!$B$5:$B$67=整理后数据!$C24)*(透视表!E$5:E$67)*ISNUMBER(FIND(整理后数据!$B24,透视表!$A$5:$A$67)))</f>
        <v>23844272.830000002</v>
      </c>
    </row>
    <row r="25" spans="2:6">
      <c r="B25" s="285" t="s">
        <v>655</v>
      </c>
      <c r="C25" s="285" t="s">
        <v>681</v>
      </c>
      <c r="D25" s="287">
        <f>SUMPRODUCT((透视表!$B$5:$B$67=整理后数据!$C25)*(透视表!C$5:C$67)*ISNUMBER(FIND(整理后数据!$B25,透视表!$A$5:$A$67)))</f>
        <v>4432500</v>
      </c>
      <c r="E25" s="287">
        <f>SUMPRODUCT((透视表!$B$5:$B$67=整理后数据!$C25)*(透视表!D$5:D$67)*ISNUMBER(FIND(整理后数据!$B25,透视表!$A$5:$A$67)))</f>
        <v>851926.5</v>
      </c>
      <c r="F25" s="287">
        <f>SUMPRODUCT((透视表!$B$5:$B$67=整理后数据!$C25)*(透视表!E$5:E$67)*ISNUMBER(FIND(整理后数据!$B25,透视表!$A$5:$A$67)))</f>
        <v>2307559.5</v>
      </c>
    </row>
    <row r="26" spans="2:6">
      <c r="B26" s="285" t="s">
        <v>655</v>
      </c>
      <c r="C26" s="285" t="s">
        <v>674</v>
      </c>
      <c r="D26" s="287">
        <f>SUMPRODUCT((透视表!$B$5:$B$67=整理后数据!$C26)*(透视表!C$5:C$67)*ISNUMBER(FIND(整理后数据!$B26,透视表!$A$5:$A$67)))</f>
        <v>428653.68</v>
      </c>
      <c r="E26" s="287">
        <f>SUMPRODUCT((透视表!$B$5:$B$67=整理后数据!$C26)*(透视表!D$5:D$67)*ISNUMBER(FIND(整理后数据!$B26,透视表!$A$5:$A$67)))</f>
        <v>6941.76</v>
      </c>
      <c r="F26" s="287">
        <f>SUMPRODUCT((透视表!$B$5:$B$67=整理后数据!$C26)*(透视表!E$5:E$67)*ISNUMBER(FIND(整理后数据!$B26,透视表!$A$5:$A$67)))</f>
        <v>288950.76</v>
      </c>
    </row>
    <row r="27" spans="2:6">
      <c r="B27" s="285" t="s">
        <v>658</v>
      </c>
      <c r="C27" s="285" t="s">
        <v>680</v>
      </c>
      <c r="D27" s="287">
        <f>SUMPRODUCT((透视表!$B$5:$B$67=整理后数据!$C27)*(透视表!C$5:C$67)*ISNUMBER(FIND(整理后数据!$B27,透视表!$A$5:$A$67)))</f>
        <v>3324629.55</v>
      </c>
      <c r="E27" s="287">
        <f>SUMPRODUCT((透视表!$B$5:$B$67=整理后数据!$C27)*(透视表!D$5:D$67)*ISNUMBER(FIND(整理后数据!$B27,透视表!$A$5:$A$67)))</f>
        <v>1485636.78</v>
      </c>
      <c r="F27" s="287">
        <f>SUMPRODUCT((透视表!$B$5:$B$67=整理后数据!$C27)*(透视表!E$5:E$67)*ISNUMBER(FIND(整理后数据!$B27,透视表!$A$5:$A$67)))</f>
        <v>1817896.89</v>
      </c>
    </row>
    <row r="28" spans="2:6">
      <c r="B28" s="285" t="s">
        <v>657</v>
      </c>
      <c r="C28" s="285" t="s">
        <v>668</v>
      </c>
      <c r="D28" s="287">
        <f>SUMPRODUCT((透视表!$B$5:$B$67=整理后数据!$C28)*(透视表!C$5:C$67)*ISNUMBER(FIND(整理后数据!$B28,透视表!$A$5:$A$67)))</f>
        <v>55386699.100000001</v>
      </c>
      <c r="E28" s="287">
        <f>SUMPRODUCT((透视表!$B$5:$B$67=整理后数据!$C28)*(透视表!D$5:D$67)*ISNUMBER(FIND(整理后数据!$B28,透视表!$A$5:$A$67)))</f>
        <v>24563242.680000003</v>
      </c>
      <c r="F28" s="287">
        <f>SUMPRODUCT((透视表!$B$5:$B$67=整理后数据!$C28)*(透视表!E$5:E$67)*ISNUMBER(FIND(整理后数据!$B28,透视表!$A$5:$A$67)))</f>
        <v>25412162.440000001</v>
      </c>
    </row>
    <row r="29" spans="2:6">
      <c r="B29" s="285" t="s">
        <v>657</v>
      </c>
      <c r="C29" s="285" t="s">
        <v>681</v>
      </c>
      <c r="D29" s="287">
        <f>SUMPRODUCT((透视表!$B$5:$B$67=整理后数据!$C29)*(透视表!C$5:C$67)*ISNUMBER(FIND(整理后数据!$B29,透视表!$A$5:$A$67)))</f>
        <v>1414867.5</v>
      </c>
      <c r="E29" s="287">
        <f>SUMPRODUCT((透视表!$B$5:$B$67=整理后数据!$C29)*(透视表!D$5:D$67)*ISNUMBER(FIND(整理后数据!$B29,透视表!$A$5:$A$67)))</f>
        <v>416542.5</v>
      </c>
      <c r="F29" s="287">
        <f>SUMPRODUCT((透视表!$B$5:$B$67=整理后数据!$C29)*(透视表!E$5:E$67)*ISNUMBER(FIND(整理后数据!$B29,透视表!$A$5:$A$67)))</f>
        <v>644512.5</v>
      </c>
    </row>
    <row r="30" spans="2:6">
      <c r="B30" s="285" t="s">
        <v>657</v>
      </c>
      <c r="C30" s="285" t="s">
        <v>674</v>
      </c>
      <c r="D30" s="287">
        <f>SUMPRODUCT((透视表!$B$5:$B$67=整理后数据!$C30)*(透视表!C$5:C$67)*ISNUMBER(FIND(整理后数据!$B30,透视表!$A$5:$A$67)))</f>
        <v>64774.29</v>
      </c>
      <c r="E30" s="287">
        <f>SUMPRODUCT((透视表!$B$5:$B$67=整理后数据!$C30)*(透视表!D$5:D$67)*ISNUMBER(FIND(整理后数据!$B30,透视表!$A$5:$A$67)))</f>
        <v>0</v>
      </c>
      <c r="F30" s="287">
        <f>SUMPRODUCT((透视表!$B$5:$B$67=整理后数据!$C30)*(透视表!E$5:E$67)*ISNUMBER(FIND(整理后数据!$B30,透视表!$A$5:$A$67)))</f>
        <v>38787</v>
      </c>
    </row>
    <row r="31" spans="2:6">
      <c r="B31" s="285" t="s">
        <v>660</v>
      </c>
      <c r="C31" s="285" t="s">
        <v>680</v>
      </c>
      <c r="D31" s="287">
        <f>SUMPRODUCT((透视表!$B$5:$B$67=整理后数据!$C31)*(透视表!C$5:C$67)*ISNUMBER(FIND(整理后数据!$B31,透视表!$A$5:$A$67)))</f>
        <v>102674</v>
      </c>
      <c r="E31" s="287">
        <f>SUMPRODUCT((透视表!$B$5:$B$67=整理后数据!$C31)*(透视表!D$5:D$67)*ISNUMBER(FIND(整理后数据!$B31,透视表!$A$5:$A$67)))</f>
        <v>0</v>
      </c>
      <c r="F31" s="287">
        <f>SUMPRODUCT((透视表!$B$5:$B$67=整理后数据!$C31)*(透视表!E$5:E$67)*ISNUMBER(FIND(整理后数据!$B31,透视表!$A$5:$A$67)))</f>
        <v>102674</v>
      </c>
    </row>
    <row r="32" spans="2:6">
      <c r="B32" s="285" t="s">
        <v>659</v>
      </c>
      <c r="C32" s="285" t="s">
        <v>668</v>
      </c>
      <c r="D32" s="287">
        <f>SUMPRODUCT((透视表!$B$5:$B$67=整理后数据!$C32)*(透视表!C$5:C$67)*ISNUMBER(FIND(整理后数据!$B32,透视表!$A$5:$A$67)))</f>
        <v>20691770.850000001</v>
      </c>
      <c r="E32" s="287">
        <f>SUMPRODUCT((透视表!$B$5:$B$67=整理后数据!$C32)*(透视表!D$5:D$67)*ISNUMBER(FIND(整理后数据!$B32,透视表!$A$5:$A$67)))</f>
        <v>9712714.9500000011</v>
      </c>
      <c r="F32" s="287">
        <f>SUMPRODUCT((透视表!$B$5:$B$67=整理后数据!$C32)*(透视表!E$5:E$67)*ISNUMBER(FIND(整理后数据!$B32,透视表!$A$5:$A$67)))</f>
        <v>9405690.8000000007</v>
      </c>
    </row>
    <row r="33" spans="2:6">
      <c r="B33" s="285" t="s">
        <v>659</v>
      </c>
      <c r="C33" s="285" t="s">
        <v>681</v>
      </c>
      <c r="D33" s="287">
        <f>SUMPRODUCT((透视表!$B$5:$B$67=整理后数据!$C33)*(透视表!C$5:C$67)*ISNUMBER(FIND(整理后数据!$B33,透视表!$A$5:$A$67)))</f>
        <v>170198.83000000002</v>
      </c>
      <c r="E33" s="287">
        <f>SUMPRODUCT((透视表!$B$5:$B$67=整理后数据!$C33)*(透视表!D$5:D$67)*ISNUMBER(FIND(整理后数据!$B33,透视表!$A$5:$A$67)))</f>
        <v>20225.73</v>
      </c>
      <c r="F33" s="287">
        <f>SUMPRODUCT((透视表!$B$5:$B$67=整理后数据!$C33)*(透视表!E$5:E$67)*ISNUMBER(FIND(整理后数据!$B33,透视表!$A$5:$A$67)))</f>
        <v>89571.09</v>
      </c>
    </row>
    <row r="34" spans="2:6">
      <c r="B34" s="285" t="s">
        <v>659</v>
      </c>
      <c r="C34" s="285" t="s">
        <v>674</v>
      </c>
      <c r="D34" s="287">
        <f>SUMPRODUCT((透视表!$B$5:$B$67=整理后数据!$C34)*(透视表!C$5:C$67)*ISNUMBER(FIND(整理后数据!$B34,透视表!$A$5:$A$67)))</f>
        <v>446936</v>
      </c>
      <c r="E34" s="287">
        <f>SUMPRODUCT((透视表!$B$5:$B$67=整理后数据!$C34)*(透视表!D$5:D$67)*ISNUMBER(FIND(整理后数据!$B34,透视表!$A$5:$A$67)))</f>
        <v>242.9</v>
      </c>
      <c r="F34" s="287">
        <f>SUMPRODUCT((透视表!$B$5:$B$67=整理后数据!$C34)*(透视表!E$5:E$67)*ISNUMBER(FIND(整理后数据!$B34,透视表!$A$5:$A$67)))</f>
        <v>294394.8</v>
      </c>
    </row>
    <row r="35" spans="2:6">
      <c r="B35" s="285" t="s">
        <v>662</v>
      </c>
      <c r="C35" s="285" t="s">
        <v>680</v>
      </c>
      <c r="D35" s="287">
        <f t="shared" ref="D35:F38" si="0">D40-SUMIF($C$3:$C$34,$C35,D$3:D$34)</f>
        <v>934732.67000000551</v>
      </c>
      <c r="E35" s="287">
        <f t="shared" si="0"/>
        <v>130270.76999999955</v>
      </c>
      <c r="F35" s="287">
        <f t="shared" si="0"/>
        <v>549980.61999999918</v>
      </c>
    </row>
    <row r="36" spans="2:6">
      <c r="B36" s="285" t="s">
        <v>661</v>
      </c>
      <c r="C36" s="285" t="s">
        <v>668</v>
      </c>
      <c r="D36" s="287">
        <f t="shared" si="0"/>
        <v>3995261.7299999893</v>
      </c>
      <c r="E36" s="287">
        <f t="shared" si="0"/>
        <v>954276.06999997795</v>
      </c>
      <c r="F36" s="287">
        <f t="shared" si="0"/>
        <v>3904152.4399999976</v>
      </c>
    </row>
    <row r="37" spans="2:6">
      <c r="B37" s="285" t="s">
        <v>661</v>
      </c>
      <c r="C37" s="285" t="s">
        <v>681</v>
      </c>
      <c r="D37" s="287">
        <f t="shared" si="0"/>
        <v>555543.04999999888</v>
      </c>
      <c r="E37" s="287">
        <f t="shared" si="0"/>
        <v>45694.399999999907</v>
      </c>
      <c r="F37" s="287">
        <f t="shared" si="0"/>
        <v>392240.71999999974</v>
      </c>
    </row>
    <row r="38" spans="2:6">
      <c r="B38" s="285" t="s">
        <v>661</v>
      </c>
      <c r="C38" s="285" t="s">
        <v>674</v>
      </c>
      <c r="D38" s="287">
        <f t="shared" si="0"/>
        <v>40479.299999999814</v>
      </c>
      <c r="E38" s="287">
        <f t="shared" si="0"/>
        <v>0</v>
      </c>
      <c r="F38" s="287">
        <f t="shared" si="0"/>
        <v>34654.230000000098</v>
      </c>
    </row>
    <row r="40" spans="2:6">
      <c r="B40" s="285" t="s">
        <v>689</v>
      </c>
      <c r="C40" s="285" t="s">
        <v>669</v>
      </c>
      <c r="D40" s="287">
        <v>22543258.550000004</v>
      </c>
      <c r="E40" s="287">
        <v>7937984.8600000003</v>
      </c>
      <c r="F40" s="287">
        <v>12406588.310000001</v>
      </c>
    </row>
    <row r="41" spans="2:6">
      <c r="C41" s="285" t="s">
        <v>667</v>
      </c>
      <c r="D41" s="287">
        <v>159786551.86999997</v>
      </c>
      <c r="E41" s="287">
        <v>71914335.439999983</v>
      </c>
      <c r="F41" s="287">
        <v>72897743.489999995</v>
      </c>
    </row>
    <row r="42" spans="2:6">
      <c r="C42" s="285" t="s">
        <v>671</v>
      </c>
      <c r="D42" s="287">
        <v>10089848.299999999</v>
      </c>
      <c r="E42" s="287">
        <v>2105651.65</v>
      </c>
      <c r="F42" s="287">
        <v>5357434.5199999996</v>
      </c>
    </row>
    <row r="43" spans="2:6">
      <c r="C43" s="285" t="s">
        <v>673</v>
      </c>
      <c r="D43" s="287">
        <v>1120766.3699999999</v>
      </c>
      <c r="E43" s="287">
        <v>7209.66</v>
      </c>
      <c r="F43" s="287">
        <v>747303.15</v>
      </c>
    </row>
  </sheetData>
  <phoneticPr fontId="3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38"/>
  <sheetViews>
    <sheetView showGridLines="0" tabSelected="1" workbookViewId="0"/>
  </sheetViews>
  <sheetFormatPr defaultRowHeight="12"/>
  <cols>
    <col min="1" max="1" width="2.625" style="285" customWidth="1"/>
    <col min="2" max="2" width="12.375" style="285" customWidth="1"/>
    <col min="3" max="3" width="8.25" style="285" customWidth="1"/>
    <col min="4" max="6" width="13" style="287" bestFit="1" customWidth="1"/>
    <col min="7" max="7" width="2.625" style="285" customWidth="1"/>
    <col min="8" max="16384" width="9" style="285"/>
  </cols>
  <sheetData>
    <row r="2" spans="2:6" ht="24">
      <c r="B2" s="349"/>
      <c r="C2" s="350" t="s">
        <v>666</v>
      </c>
      <c r="D2" s="351" t="s">
        <v>684</v>
      </c>
      <c r="E2" s="351" t="s">
        <v>682</v>
      </c>
      <c r="F2" s="352" t="s">
        <v>663</v>
      </c>
    </row>
    <row r="3" spans="2:6">
      <c r="B3" s="353" t="s">
        <v>646</v>
      </c>
      <c r="C3" s="354" t="s">
        <v>680</v>
      </c>
      <c r="D3" s="355">
        <v>6421424.9000000004</v>
      </c>
      <c r="E3" s="355">
        <v>2396430.66</v>
      </c>
      <c r="F3" s="356">
        <v>3746659.52</v>
      </c>
    </row>
    <row r="4" spans="2:6">
      <c r="B4" s="353"/>
      <c r="C4" s="354" t="s">
        <v>668</v>
      </c>
      <c r="D4" s="355">
        <v>11078697.929999998</v>
      </c>
      <c r="E4" s="355">
        <v>4390187.34</v>
      </c>
      <c r="F4" s="356">
        <v>4222295.72</v>
      </c>
    </row>
    <row r="5" spans="2:6">
      <c r="B5" s="353"/>
      <c r="C5" s="354" t="s">
        <v>681</v>
      </c>
      <c r="D5" s="355">
        <v>2739484.93</v>
      </c>
      <c r="E5" s="355">
        <v>586577.97000000009</v>
      </c>
      <c r="F5" s="356">
        <v>1492286.89</v>
      </c>
    </row>
    <row r="6" spans="2:6">
      <c r="B6" s="353"/>
      <c r="C6" s="354" t="s">
        <v>674</v>
      </c>
      <c r="D6" s="355">
        <v>94002.44</v>
      </c>
      <c r="E6" s="355">
        <v>0</v>
      </c>
      <c r="F6" s="356">
        <v>62391</v>
      </c>
    </row>
    <row r="7" spans="2:6">
      <c r="B7" s="353" t="s">
        <v>648</v>
      </c>
      <c r="C7" s="354" t="s">
        <v>680</v>
      </c>
      <c r="D7" s="355">
        <v>1359211.6</v>
      </c>
      <c r="E7" s="355">
        <v>415094.14</v>
      </c>
      <c r="F7" s="356">
        <v>681167.48</v>
      </c>
    </row>
    <row r="8" spans="2:6">
      <c r="B8" s="353"/>
      <c r="C8" s="354" t="s">
        <v>668</v>
      </c>
      <c r="D8" s="355">
        <v>2035553.3599999999</v>
      </c>
      <c r="E8" s="355">
        <v>910104.3</v>
      </c>
      <c r="F8" s="356">
        <v>883753.26</v>
      </c>
    </row>
    <row r="9" spans="2:6">
      <c r="B9" s="353"/>
      <c r="C9" s="354" t="s">
        <v>681</v>
      </c>
      <c r="D9" s="355">
        <v>380377</v>
      </c>
      <c r="E9" s="355">
        <v>102884.06</v>
      </c>
      <c r="F9" s="356">
        <v>174444.74</v>
      </c>
    </row>
    <row r="10" spans="2:6">
      <c r="B10" s="353"/>
      <c r="C10" s="354" t="s">
        <v>674</v>
      </c>
      <c r="D10" s="355">
        <v>10120</v>
      </c>
      <c r="E10" s="355">
        <v>0</v>
      </c>
      <c r="F10" s="356">
        <v>4742</v>
      </c>
    </row>
    <row r="11" spans="2:6">
      <c r="B11" s="353" t="s">
        <v>650</v>
      </c>
      <c r="C11" s="354" t="s">
        <v>680</v>
      </c>
      <c r="D11" s="355">
        <v>516695.31</v>
      </c>
      <c r="E11" s="355">
        <v>173707.44</v>
      </c>
      <c r="F11" s="356">
        <v>267728.7</v>
      </c>
    </row>
    <row r="12" spans="2:6">
      <c r="B12" s="353"/>
      <c r="C12" s="354" t="s">
        <v>668</v>
      </c>
      <c r="D12" s="355">
        <v>9353998.1600000001</v>
      </c>
      <c r="E12" s="355">
        <v>4392554.05</v>
      </c>
      <c r="F12" s="356">
        <v>4320478.4000000004</v>
      </c>
    </row>
    <row r="13" spans="2:6">
      <c r="B13" s="353"/>
      <c r="C13" s="354" t="s">
        <v>681</v>
      </c>
      <c r="D13" s="355">
        <v>316626.87</v>
      </c>
      <c r="E13" s="355">
        <v>73699.360000000001</v>
      </c>
      <c r="F13" s="356">
        <v>193260.55</v>
      </c>
    </row>
    <row r="14" spans="2:6">
      <c r="B14" s="353"/>
      <c r="C14" s="354" t="s">
        <v>674</v>
      </c>
      <c r="D14" s="355">
        <v>26453.699999999997</v>
      </c>
      <c r="E14" s="355">
        <v>0</v>
      </c>
      <c r="F14" s="356">
        <v>17215.899999999998</v>
      </c>
    </row>
    <row r="15" spans="2:6">
      <c r="B15" s="353" t="s">
        <v>652</v>
      </c>
      <c r="C15" s="354" t="s">
        <v>680</v>
      </c>
      <c r="D15" s="355">
        <v>128511.56</v>
      </c>
      <c r="E15" s="355">
        <v>42079.55</v>
      </c>
      <c r="F15" s="356">
        <v>63518.62</v>
      </c>
    </row>
    <row r="16" spans="2:6">
      <c r="B16" s="353"/>
      <c r="C16" s="354" t="s">
        <v>668</v>
      </c>
      <c r="D16" s="355">
        <v>1949026.2700000003</v>
      </c>
      <c r="E16" s="355">
        <v>798866.07000000007</v>
      </c>
      <c r="F16" s="356">
        <v>889651.29</v>
      </c>
    </row>
    <row r="17" spans="2:6">
      <c r="B17" s="353"/>
      <c r="C17" s="354" t="s">
        <v>681</v>
      </c>
      <c r="D17" s="355">
        <v>80250.12</v>
      </c>
      <c r="E17" s="355">
        <v>8101.1299999999992</v>
      </c>
      <c r="F17" s="356">
        <v>63558.53</v>
      </c>
    </row>
    <row r="18" spans="2:6">
      <c r="B18" s="353"/>
      <c r="C18" s="354" t="s">
        <v>674</v>
      </c>
      <c r="D18" s="355">
        <v>8796.9600000000009</v>
      </c>
      <c r="E18" s="355">
        <v>0</v>
      </c>
      <c r="F18" s="356">
        <v>5742.46</v>
      </c>
    </row>
    <row r="19" spans="2:6">
      <c r="B19" s="353" t="s">
        <v>654</v>
      </c>
      <c r="C19" s="354" t="s">
        <v>680</v>
      </c>
      <c r="D19" s="355">
        <v>0</v>
      </c>
      <c r="E19" s="355">
        <v>0</v>
      </c>
      <c r="F19" s="356">
        <v>0</v>
      </c>
    </row>
    <row r="20" spans="2:6">
      <c r="B20" s="353"/>
      <c r="C20" s="354" t="s">
        <v>668</v>
      </c>
      <c r="D20" s="355">
        <v>39580.979999999996</v>
      </c>
      <c r="E20" s="355">
        <v>14807.99</v>
      </c>
      <c r="F20" s="356">
        <v>15286.31</v>
      </c>
    </row>
    <row r="21" spans="2:6">
      <c r="B21" s="353"/>
      <c r="C21" s="354" t="s">
        <v>681</v>
      </c>
      <c r="D21" s="355">
        <v>0</v>
      </c>
      <c r="E21" s="355">
        <v>0</v>
      </c>
      <c r="F21" s="356">
        <v>0</v>
      </c>
    </row>
    <row r="22" spans="2:6">
      <c r="B22" s="353"/>
      <c r="C22" s="354" t="s">
        <v>674</v>
      </c>
      <c r="D22" s="355">
        <v>550</v>
      </c>
      <c r="E22" s="355">
        <v>25</v>
      </c>
      <c r="F22" s="356">
        <v>425</v>
      </c>
    </row>
    <row r="23" spans="2:6">
      <c r="B23" s="353" t="s">
        <v>656</v>
      </c>
      <c r="C23" s="354" t="s">
        <v>680</v>
      </c>
      <c r="D23" s="355">
        <v>9755378.9600000009</v>
      </c>
      <c r="E23" s="355">
        <v>3294765.52</v>
      </c>
      <c r="F23" s="356">
        <v>5176962.4800000004</v>
      </c>
    </row>
    <row r="24" spans="2:6">
      <c r="B24" s="353"/>
      <c r="C24" s="354" t="s">
        <v>668</v>
      </c>
      <c r="D24" s="355">
        <v>55255963.490000002</v>
      </c>
      <c r="E24" s="355">
        <v>26177581.990000002</v>
      </c>
      <c r="F24" s="356">
        <v>23844272.830000002</v>
      </c>
    </row>
    <row r="25" spans="2:6">
      <c r="B25" s="353"/>
      <c r="C25" s="354" t="s">
        <v>681</v>
      </c>
      <c r="D25" s="355">
        <v>4432500</v>
      </c>
      <c r="E25" s="355">
        <v>851926.5</v>
      </c>
      <c r="F25" s="356">
        <v>2307559.5</v>
      </c>
    </row>
    <row r="26" spans="2:6">
      <c r="B26" s="353"/>
      <c r="C26" s="354" t="s">
        <v>674</v>
      </c>
      <c r="D26" s="355">
        <v>428653.68</v>
      </c>
      <c r="E26" s="355">
        <v>6941.76</v>
      </c>
      <c r="F26" s="356">
        <v>288950.76</v>
      </c>
    </row>
    <row r="27" spans="2:6">
      <c r="B27" s="353" t="s">
        <v>658</v>
      </c>
      <c r="C27" s="354" t="s">
        <v>680</v>
      </c>
      <c r="D27" s="355">
        <v>3324629.55</v>
      </c>
      <c r="E27" s="355">
        <v>1485636.78</v>
      </c>
      <c r="F27" s="356">
        <v>1817896.89</v>
      </c>
    </row>
    <row r="28" spans="2:6">
      <c r="B28" s="353"/>
      <c r="C28" s="354" t="s">
        <v>668</v>
      </c>
      <c r="D28" s="355">
        <v>55386699.100000001</v>
      </c>
      <c r="E28" s="355">
        <v>24563242.680000003</v>
      </c>
      <c r="F28" s="356">
        <v>25412162.440000001</v>
      </c>
    </row>
    <row r="29" spans="2:6">
      <c r="B29" s="353"/>
      <c r="C29" s="354" t="s">
        <v>681</v>
      </c>
      <c r="D29" s="355">
        <v>1414867.5</v>
      </c>
      <c r="E29" s="355">
        <v>416542.5</v>
      </c>
      <c r="F29" s="356">
        <v>644512.5</v>
      </c>
    </row>
    <row r="30" spans="2:6">
      <c r="B30" s="353"/>
      <c r="C30" s="354" t="s">
        <v>674</v>
      </c>
      <c r="D30" s="355">
        <v>64774.29</v>
      </c>
      <c r="E30" s="355">
        <v>0</v>
      </c>
      <c r="F30" s="356">
        <v>38787</v>
      </c>
    </row>
    <row r="31" spans="2:6">
      <c r="B31" s="353" t="s">
        <v>660</v>
      </c>
      <c r="C31" s="354" t="s">
        <v>680</v>
      </c>
      <c r="D31" s="355">
        <v>102674</v>
      </c>
      <c r="E31" s="355">
        <v>0</v>
      </c>
      <c r="F31" s="356">
        <v>102674</v>
      </c>
    </row>
    <row r="32" spans="2:6">
      <c r="B32" s="353"/>
      <c r="C32" s="354" t="s">
        <v>668</v>
      </c>
      <c r="D32" s="355">
        <v>20691770.850000001</v>
      </c>
      <c r="E32" s="355">
        <v>9712714.9500000011</v>
      </c>
      <c r="F32" s="356">
        <v>9405690.8000000007</v>
      </c>
    </row>
    <row r="33" spans="2:6">
      <c r="B33" s="353"/>
      <c r="C33" s="354" t="s">
        <v>681</v>
      </c>
      <c r="D33" s="355">
        <v>170198.83000000002</v>
      </c>
      <c r="E33" s="355">
        <v>20225.73</v>
      </c>
      <c r="F33" s="356">
        <v>89571.09</v>
      </c>
    </row>
    <row r="34" spans="2:6">
      <c r="B34" s="353"/>
      <c r="C34" s="354" t="s">
        <v>674</v>
      </c>
      <c r="D34" s="355">
        <v>446936</v>
      </c>
      <c r="E34" s="355">
        <v>242.9</v>
      </c>
      <c r="F34" s="356">
        <v>294394.8</v>
      </c>
    </row>
    <row r="35" spans="2:6">
      <c r="B35" s="353" t="s">
        <v>662</v>
      </c>
      <c r="C35" s="354" t="s">
        <v>680</v>
      </c>
      <c r="D35" s="355">
        <v>934732.67000000551</v>
      </c>
      <c r="E35" s="355">
        <v>130270.76999999955</v>
      </c>
      <c r="F35" s="356">
        <v>549980.61999999918</v>
      </c>
    </row>
    <row r="36" spans="2:6">
      <c r="B36" s="353"/>
      <c r="C36" s="354" t="s">
        <v>668</v>
      </c>
      <c r="D36" s="355">
        <v>3995261.7299999893</v>
      </c>
      <c r="E36" s="355">
        <v>954276.06999997795</v>
      </c>
      <c r="F36" s="356">
        <v>3904152.4399999976</v>
      </c>
    </row>
    <row r="37" spans="2:6">
      <c r="B37" s="353"/>
      <c r="C37" s="354" t="s">
        <v>681</v>
      </c>
      <c r="D37" s="355">
        <v>555543.04999999888</v>
      </c>
      <c r="E37" s="355">
        <v>45694.399999999907</v>
      </c>
      <c r="F37" s="356">
        <v>392240.71999999974</v>
      </c>
    </row>
    <row r="38" spans="2:6">
      <c r="B38" s="347"/>
      <c r="C38" s="348" t="s">
        <v>674</v>
      </c>
      <c r="D38" s="357">
        <v>40479.299999999814</v>
      </c>
      <c r="E38" s="357">
        <v>0</v>
      </c>
      <c r="F38" s="358">
        <v>34654.230000000098</v>
      </c>
    </row>
  </sheetData>
  <phoneticPr fontId="3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源数据</vt:lpstr>
      <vt:lpstr>河南</vt:lpstr>
      <vt:lpstr>北京</vt:lpstr>
      <vt:lpstr>西安</vt:lpstr>
      <vt:lpstr>徐州</vt:lpstr>
      <vt:lpstr>清洗</vt:lpstr>
      <vt:lpstr>透视表</vt:lpstr>
      <vt:lpstr>过渡表</vt:lpstr>
      <vt:lpstr>整理后数据</vt:lpstr>
      <vt:lpstr>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2018-10-24T03:44:21Z</dcterms:created>
  <dcterms:modified xsi:type="dcterms:W3CDTF">2018-11-10T12:56:52Z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  <property fmtid="{D5CDD505-2E9C-101B-9397-08002B2CF9AE}" pid="3" name="WorkbookGuid">
    <vt:lpwstr>66298e9c-67a3-47e5-8d65-cf68c38ba7b9</vt:lpwstr>
  </property>
</Properties>
</file>