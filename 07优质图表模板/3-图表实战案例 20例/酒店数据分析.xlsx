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/>
  <mc:AlternateContent xmlns:mc="http://schemas.openxmlformats.org/markup-compatibility/2006">
    <mc:Choice Requires="x15">
      <x15ac:absPath xmlns:x15ac="http://schemas.microsoft.com/office/spreadsheetml/2010/11/ac" url="F:\秋叶文档\课程开发文档\案例文件\"/>
    </mc:Choice>
  </mc:AlternateContent>
  <xr:revisionPtr revIDLastSave="0" documentId="13_ncr:1_{8A05A26C-C9F2-4AD1-A76E-E2743CE999A3}" xr6:coauthVersionLast="37" xr6:coauthVersionMax="38" xr10:uidLastSave="{00000000-0000-0000-0000-000000000000}"/>
  <bookViews>
    <workbookView xWindow="2520" yWindow="465" windowWidth="23895" windowHeight="16425" activeTab="1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Sheet1!$A$1:$F$26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23" i="2" l="1"/>
  <c r="F23" i="2"/>
  <c r="G23" i="2"/>
  <c r="D23" i="2"/>
  <c r="J20" i="2"/>
  <c r="H20" i="2"/>
  <c r="F20" i="2"/>
  <c r="D20" i="2"/>
  <c r="I19" i="2"/>
  <c r="G19" i="2"/>
  <c r="E19" i="2"/>
  <c r="C19" i="2"/>
  <c r="G24" i="1" l="1"/>
  <c r="F22" i="1"/>
  <c r="F24" i="1" s="1"/>
  <c r="E22" i="1"/>
  <c r="E24" i="1" s="1"/>
  <c r="D22" i="1"/>
  <c r="D24" i="1" s="1"/>
  <c r="C22" i="1"/>
  <c r="C24" i="1" s="1"/>
  <c r="G12" i="1"/>
  <c r="F10" i="1"/>
  <c r="F12" i="1" s="1"/>
  <c r="E10" i="1"/>
  <c r="E12" i="1" s="1"/>
  <c r="E26" i="1" s="1"/>
  <c r="D10" i="1"/>
  <c r="D12" i="1" s="1"/>
  <c r="C10" i="1"/>
  <c r="C12" i="1" s="1"/>
  <c r="C26" i="1" s="1"/>
  <c r="G26" i="1" l="1"/>
  <c r="F26" i="1"/>
  <c r="D26" i="1"/>
</calcChain>
</file>

<file path=xl/sharedStrings.xml><?xml version="1.0" encoding="utf-8"?>
<sst xmlns="http://schemas.openxmlformats.org/spreadsheetml/2006/main" count="126" uniqueCount="56">
  <si>
    <t>贵阳和舍精品酒店四年相关数据</t>
  </si>
  <si>
    <t>客房收入</t>
  </si>
  <si>
    <t>餐饮收入</t>
  </si>
  <si>
    <t>停车场收入</t>
  </si>
  <si>
    <t>洗衣收入</t>
  </si>
  <si>
    <t>外租收入</t>
  </si>
  <si>
    <t>其他收入</t>
  </si>
  <si>
    <t>收入合计</t>
  </si>
  <si>
    <t>客房成本</t>
  </si>
  <si>
    <t>食品成本</t>
  </si>
  <si>
    <t>酒水成本</t>
  </si>
  <si>
    <t>餐饮其他费用</t>
  </si>
  <si>
    <t>219广场费用</t>
  </si>
  <si>
    <t>洗衣房费用</t>
  </si>
  <si>
    <t>其他费用</t>
  </si>
  <si>
    <t>能源费用</t>
  </si>
  <si>
    <t>行政部门费用</t>
  </si>
  <si>
    <t>费用合计</t>
  </si>
  <si>
    <t>营运毛利</t>
  </si>
  <si>
    <t>2015</t>
  </si>
  <si>
    <t>2016</t>
  </si>
  <si>
    <t>2017</t>
  </si>
  <si>
    <t>类别</t>
    <phoneticPr fontId="4" type="noConversion"/>
  </si>
  <si>
    <t>利润率</t>
    <phoneticPr fontId="4" type="noConversion"/>
  </si>
  <si>
    <t>x</t>
    <phoneticPr fontId="4" type="noConversion"/>
  </si>
  <si>
    <t>y</t>
    <phoneticPr fontId="4" type="noConversion"/>
  </si>
  <si>
    <t>2018.1-9</t>
    <phoneticPr fontId="4" type="noConversion"/>
  </si>
  <si>
    <t>2018.1-9月</t>
    <phoneticPr fontId="4" type="noConversion"/>
  </si>
  <si>
    <t>年份标签</t>
    <phoneticPr fontId="4" type="noConversion"/>
  </si>
  <si>
    <r>
      <rPr>
        <sz val="10"/>
        <color theme="1"/>
        <rFont val="宋体"/>
        <family val="3"/>
        <charset val="134"/>
      </rPr>
      <t>客房收入</t>
    </r>
  </si>
  <si>
    <r>
      <rPr>
        <sz val="10"/>
        <color theme="1"/>
        <rFont val="宋体"/>
        <family val="3"/>
        <charset val="134"/>
      </rPr>
      <t>餐饮收入</t>
    </r>
  </si>
  <si>
    <r>
      <rPr>
        <sz val="10"/>
        <color theme="1"/>
        <rFont val="宋体"/>
        <family val="3"/>
        <charset val="134"/>
      </rPr>
      <t>停车场收入</t>
    </r>
  </si>
  <si>
    <r>
      <rPr>
        <sz val="10"/>
        <color theme="1"/>
        <rFont val="宋体"/>
        <family val="3"/>
        <charset val="134"/>
      </rPr>
      <t>洗衣收入</t>
    </r>
  </si>
  <si>
    <r>
      <rPr>
        <sz val="10"/>
        <color theme="1"/>
        <rFont val="宋体"/>
        <family val="3"/>
        <charset val="134"/>
      </rPr>
      <t>外租收入</t>
    </r>
  </si>
  <si>
    <r>
      <rPr>
        <sz val="10"/>
        <color theme="1"/>
        <rFont val="宋体"/>
        <family val="3"/>
        <charset val="134"/>
      </rPr>
      <t>其他收入</t>
    </r>
  </si>
  <si>
    <r>
      <rPr>
        <sz val="10"/>
        <color theme="1"/>
        <rFont val="宋体"/>
        <family val="3"/>
        <charset val="134"/>
      </rPr>
      <t>客房成本</t>
    </r>
  </si>
  <si>
    <r>
      <rPr>
        <sz val="10"/>
        <color theme="1"/>
        <rFont val="宋体"/>
        <family val="3"/>
        <charset val="134"/>
      </rPr>
      <t>食品成本</t>
    </r>
  </si>
  <si>
    <r>
      <rPr>
        <sz val="10"/>
        <color theme="1"/>
        <rFont val="宋体"/>
        <family val="3"/>
        <charset val="134"/>
      </rPr>
      <t>酒水成本</t>
    </r>
  </si>
  <si>
    <r>
      <rPr>
        <sz val="10"/>
        <color theme="1"/>
        <rFont val="宋体"/>
        <family val="3"/>
        <charset val="134"/>
      </rPr>
      <t>餐饮其他费用</t>
    </r>
  </si>
  <si>
    <r>
      <t>219</t>
    </r>
    <r>
      <rPr>
        <sz val="10"/>
        <color theme="1"/>
        <rFont val="宋体"/>
        <family val="3"/>
        <charset val="134"/>
      </rPr>
      <t>广场费用</t>
    </r>
  </si>
  <si>
    <r>
      <rPr>
        <sz val="10"/>
        <color theme="1"/>
        <rFont val="宋体"/>
        <family val="3"/>
        <charset val="134"/>
      </rPr>
      <t>洗衣房费用</t>
    </r>
  </si>
  <si>
    <r>
      <rPr>
        <sz val="10"/>
        <color theme="1"/>
        <rFont val="宋体"/>
        <family val="3"/>
        <charset val="134"/>
      </rPr>
      <t>其他费用</t>
    </r>
  </si>
  <si>
    <r>
      <rPr>
        <sz val="10"/>
        <color theme="1"/>
        <rFont val="宋体"/>
        <family val="3"/>
        <charset val="134"/>
      </rPr>
      <t>能源费用</t>
    </r>
  </si>
  <si>
    <r>
      <rPr>
        <sz val="10"/>
        <color theme="1"/>
        <rFont val="宋体"/>
        <family val="3"/>
        <charset val="134"/>
      </rPr>
      <t>行政部门费用</t>
    </r>
  </si>
  <si>
    <r>
      <rPr>
        <sz val="10"/>
        <color theme="1"/>
        <rFont val="宋体"/>
        <family val="3"/>
        <charset val="134"/>
      </rPr>
      <t>收入合计</t>
    </r>
  </si>
  <si>
    <r>
      <rPr>
        <sz val="10"/>
        <color theme="1"/>
        <rFont val="宋体"/>
        <family val="3"/>
        <charset val="134"/>
      </rPr>
      <t>费用合计</t>
    </r>
  </si>
  <si>
    <t>项目</t>
    <phoneticPr fontId="4" type="noConversion"/>
  </si>
  <si>
    <t>出租率</t>
    <phoneticPr fontId="4" type="noConversion"/>
  </si>
  <si>
    <t>总收入(万元)</t>
    <phoneticPr fontId="4" type="noConversion"/>
  </si>
  <si>
    <t>REVPAR(元)</t>
    <phoneticPr fontId="4" type="noConversion"/>
  </si>
  <si>
    <t>平均房价(元)</t>
    <phoneticPr fontId="4" type="noConversion"/>
  </si>
  <si>
    <t>堆砌过多信息</t>
    <phoneticPr fontId="4" type="noConversion"/>
  </si>
  <si>
    <t>一个大类做一个图</t>
    <phoneticPr fontId="4" type="noConversion"/>
  </si>
  <si>
    <t>数据源组织一下：</t>
    <phoneticPr fontId="4" type="noConversion"/>
  </si>
  <si>
    <r>
      <rPr>
        <sz val="10"/>
        <color theme="1"/>
        <rFont val="宋体"/>
        <family val="3"/>
        <charset val="134"/>
      </rPr>
      <t>营运毛利</t>
    </r>
  </si>
  <si>
    <r>
      <t>2018.1-9</t>
    </r>
    <r>
      <rPr>
        <sz val="10"/>
        <color theme="1"/>
        <rFont val="宋体"/>
        <family val="3"/>
        <charset val="134"/>
      </rPr>
      <t>月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</si>
</sst>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76" formatCode="_ * #,##0_ ;_ * \-#,##0_ ;_ * &quot;-&quot;??_ ;_ @_ "/>
  </numFmts>
  <fonts count="12" x14ac:knownFonts="1">
    <font>
      <sz val="11"/>
      <color theme="1"/>
      <name val="宋体"/>
      <charset val="134"/>
      <scheme val="minor"/>
    </font>
    <font>
      <sz val="18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b/>
      <sz val="10"/>
      <color theme="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</fills>
  <borders count="15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43" fontId="0" fillId="0" borderId="0" xfId="1" applyFont="1">
      <alignment vertical="center"/>
    </xf>
    <xf numFmtId="0" fontId="0" fillId="2" borderId="0" xfId="0" applyFill="1">
      <alignment vertical="center"/>
    </xf>
    <xf numFmtId="43" fontId="0" fillId="2" borderId="0" xfId="1" applyFont="1" applyFill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76" fontId="5" fillId="0" borderId="2" xfId="1" applyNumberFormat="1" applyFont="1" applyBorder="1" applyAlignment="1">
      <alignment horizontal="right" vertical="center"/>
    </xf>
    <xf numFmtId="176" fontId="5" fillId="0" borderId="3" xfId="1" applyNumberFormat="1" applyFont="1" applyBorder="1" applyAlignment="1">
      <alignment horizontal="righ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76" fontId="5" fillId="0" borderId="5" xfId="1" applyNumberFormat="1" applyFont="1" applyBorder="1" applyAlignment="1">
      <alignment horizontal="right" vertical="center"/>
    </xf>
    <xf numFmtId="176" fontId="5" fillId="0" borderId="6" xfId="1" applyNumberFormat="1" applyFont="1" applyBorder="1" applyAlignment="1">
      <alignment horizontal="right" vertical="center"/>
    </xf>
    <xf numFmtId="10" fontId="5" fillId="0" borderId="0" xfId="2" applyNumberFormat="1" applyFont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9" fillId="3" borderId="5" xfId="0" applyFont="1" applyFill="1" applyBorder="1" applyAlignment="1">
      <alignment horizontal="right" vertical="center"/>
    </xf>
    <xf numFmtId="0" fontId="7" fillId="0" borderId="4" xfId="0" applyFont="1" applyBorder="1" applyAlignment="1">
      <alignment horizontal="left" vertical="center"/>
    </xf>
    <xf numFmtId="176" fontId="7" fillId="0" borderId="5" xfId="1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176" fontId="7" fillId="0" borderId="6" xfId="1" applyNumberFormat="1" applyFont="1" applyBorder="1" applyAlignment="1">
      <alignment horizontal="right" vertical="center"/>
    </xf>
    <xf numFmtId="176" fontId="7" fillId="0" borderId="5" xfId="0" applyNumberFormat="1" applyFont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10" fontId="5" fillId="0" borderId="2" xfId="2" applyNumberFormat="1" applyFont="1" applyBorder="1" applyAlignment="1">
      <alignment horizontal="right" vertical="center"/>
    </xf>
    <xf numFmtId="10" fontId="5" fillId="0" borderId="3" xfId="2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176" fontId="7" fillId="0" borderId="0" xfId="1" applyNumberFormat="1" applyFont="1" applyBorder="1" applyAlignment="1">
      <alignment horizontal="right" vertical="center"/>
    </xf>
    <xf numFmtId="176" fontId="7" fillId="0" borderId="11" xfId="1" applyNumberFormat="1" applyFont="1" applyBorder="1" applyAlignment="1">
      <alignment horizontal="righ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right" vertical="center"/>
    </xf>
  </cellXfs>
  <cellStyles count="3">
    <cellStyle name="百分比" xfId="2" builtinId="5"/>
    <cellStyle name="常规" xfId="0" builtinId="0"/>
    <cellStyle name="千位分隔" xfId="1" builtin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364AABE-1C6D-4A21-9ED2-89ADEF4FB13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03517060367454"/>
          <c:y val="0.11024531024531024"/>
          <c:w val="0.61813019174129946"/>
          <c:h val="0.822804422174500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客房收入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Sheet2!$C$2:$J$2</c:f>
              <c:strCache>
                <c:ptCount val="8"/>
                <c:pt idx="0">
                  <c:v>2015</c:v>
                </c:pt>
                <c:pt idx="1">
                  <c:v>2015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2018.1-9</c:v>
                </c:pt>
                <c:pt idx="7">
                  <c:v>2018.1-9</c:v>
                </c:pt>
              </c:strCache>
            </c:strRef>
          </c:cat>
          <c:val>
            <c:numRef>
              <c:f>Sheet2!$C$3:$J$3</c:f>
              <c:numCache>
                <c:formatCode>General</c:formatCode>
                <c:ptCount val="8"/>
                <c:pt idx="0" formatCode="_ * #,##0_ ;_ * \-#,##0_ ;_ * &quot;-&quot;??_ ;_ @_ ">
                  <c:v>8747667.8399999999</c:v>
                </c:pt>
                <c:pt idx="2" formatCode="_ * #,##0_ ;_ * \-#,##0_ ;_ * &quot;-&quot;??_ ;_ @_ ">
                  <c:v>8560388.0700000003</c:v>
                </c:pt>
                <c:pt idx="4" formatCode="_ * #,##0_ ;_ * \-#,##0_ ;_ * &quot;-&quot;??_ ;_ @_ ">
                  <c:v>8889548.5500000007</c:v>
                </c:pt>
                <c:pt idx="6" formatCode="_ * #,##0_ ;_ * \-#,##0_ ;_ * &quot;-&quot;??_ ;_ @_ ">
                  <c:v>6541932.4699999997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5-49FA-8FBD-68F07780D39F}"/>
            </c:ext>
          </c:extLst>
        </c:ser>
        <c:ser>
          <c:idx val="1"/>
          <c:order val="1"/>
          <c:tx>
            <c:strRef>
              <c:f>Sheet2!$B$4</c:f>
              <c:strCache>
                <c:ptCount val="1"/>
                <c:pt idx="0">
                  <c:v>餐饮收入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Sheet2!$C$2:$J$2</c:f>
              <c:strCache>
                <c:ptCount val="8"/>
                <c:pt idx="0">
                  <c:v>2015</c:v>
                </c:pt>
                <c:pt idx="1">
                  <c:v>2015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2018.1-9</c:v>
                </c:pt>
                <c:pt idx="7">
                  <c:v>2018.1-9</c:v>
                </c:pt>
              </c:strCache>
            </c:strRef>
          </c:cat>
          <c:val>
            <c:numRef>
              <c:f>Sheet2!$C$4:$J$4</c:f>
              <c:numCache>
                <c:formatCode>General</c:formatCode>
                <c:ptCount val="8"/>
                <c:pt idx="0" formatCode="_ * #,##0_ ;_ * \-#,##0_ ;_ * &quot;-&quot;??_ ;_ @_ ">
                  <c:v>1157404.7</c:v>
                </c:pt>
                <c:pt idx="2" formatCode="_ * #,##0_ ;_ * \-#,##0_ ;_ * &quot;-&quot;??_ ;_ @_ ">
                  <c:v>435365.06</c:v>
                </c:pt>
                <c:pt idx="4" formatCode="_ * #,##0_ ;_ * \-#,##0_ ;_ * &quot;-&quot;??_ ;_ @_ ">
                  <c:v>597153.78</c:v>
                </c:pt>
                <c:pt idx="6" formatCode="_ * #,##0_ ;_ * \-#,##0_ ;_ * &quot;-&quot;??_ ;_ @_ ">
                  <c:v>249184.4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5-49FA-8FBD-68F07780D39F}"/>
            </c:ext>
          </c:extLst>
        </c:ser>
        <c:ser>
          <c:idx val="2"/>
          <c:order val="2"/>
          <c:tx>
            <c:strRef>
              <c:f>Sheet2!$B$5</c:f>
              <c:strCache>
                <c:ptCount val="1"/>
                <c:pt idx="0">
                  <c:v>停车场收入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Sheet2!$C$2:$J$2</c:f>
              <c:strCache>
                <c:ptCount val="8"/>
                <c:pt idx="0">
                  <c:v>2015</c:v>
                </c:pt>
                <c:pt idx="1">
                  <c:v>2015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2018.1-9</c:v>
                </c:pt>
                <c:pt idx="7">
                  <c:v>2018.1-9</c:v>
                </c:pt>
              </c:strCache>
            </c:strRef>
          </c:cat>
          <c:val>
            <c:numRef>
              <c:f>Sheet2!$C$5:$J$5</c:f>
              <c:numCache>
                <c:formatCode>General</c:formatCode>
                <c:ptCount val="8"/>
                <c:pt idx="0" formatCode="_ * #,##0_ ;_ * \-#,##0_ ;_ * &quot;-&quot;??_ ;_ @_ ">
                  <c:v>246339.5</c:v>
                </c:pt>
                <c:pt idx="2" formatCode="_ * #,##0_ ;_ * \-#,##0_ ;_ * &quot;-&quot;??_ ;_ @_ ">
                  <c:v>123943.17</c:v>
                </c:pt>
                <c:pt idx="4" formatCode="_ * #,##0_ ;_ * \-#,##0_ ;_ * &quot;-&quot;??_ ;_ @_ ">
                  <c:v>242996.23</c:v>
                </c:pt>
                <c:pt idx="6" formatCode="_ * #,##0_ ;_ * \-#,##0_ ;_ * &quot;-&quot;??_ ;_ @_ ">
                  <c:v>166098.10999999999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65-49FA-8FBD-68F07780D39F}"/>
            </c:ext>
          </c:extLst>
        </c:ser>
        <c:ser>
          <c:idx val="3"/>
          <c:order val="3"/>
          <c:tx>
            <c:strRef>
              <c:f>Sheet2!$B$6</c:f>
              <c:strCache>
                <c:ptCount val="1"/>
                <c:pt idx="0">
                  <c:v>洗衣收入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Sheet2!$C$2:$J$2</c:f>
              <c:strCache>
                <c:ptCount val="8"/>
                <c:pt idx="0">
                  <c:v>2015</c:v>
                </c:pt>
                <c:pt idx="1">
                  <c:v>2015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2018.1-9</c:v>
                </c:pt>
                <c:pt idx="7">
                  <c:v>2018.1-9</c:v>
                </c:pt>
              </c:strCache>
            </c:strRef>
          </c:cat>
          <c:val>
            <c:numRef>
              <c:f>Sheet2!$C$6:$J$6</c:f>
              <c:numCache>
                <c:formatCode>General</c:formatCode>
                <c:ptCount val="8"/>
                <c:pt idx="0" formatCode="_ * #,##0_ ;_ * \-#,##0_ ;_ * &quot;-&quot;??_ ;_ @_ ">
                  <c:v>10179</c:v>
                </c:pt>
                <c:pt idx="2" formatCode="_ * #,##0_ ;_ * \-#,##0_ ;_ * &quot;-&quot;??_ ;_ @_ ">
                  <c:v>9559.4</c:v>
                </c:pt>
                <c:pt idx="4" formatCode="_ * #,##0_ ;_ * \-#,##0_ ;_ * &quot;-&quot;??_ ;_ @_ ">
                  <c:v>7224.05</c:v>
                </c:pt>
                <c:pt idx="6" formatCode="_ * #,##0_ ;_ * \-#,##0_ ;_ * &quot;-&quot;??_ ;_ @_ ">
                  <c:v>4305.18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65-49FA-8FBD-68F07780D39F}"/>
            </c:ext>
          </c:extLst>
        </c:ser>
        <c:ser>
          <c:idx val="4"/>
          <c:order val="4"/>
          <c:tx>
            <c:strRef>
              <c:f>Sheet2!$B$7</c:f>
              <c:strCache>
                <c:ptCount val="1"/>
                <c:pt idx="0">
                  <c:v>外租收入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Sheet2!$C$2:$J$2</c:f>
              <c:strCache>
                <c:ptCount val="8"/>
                <c:pt idx="0">
                  <c:v>2015</c:v>
                </c:pt>
                <c:pt idx="1">
                  <c:v>2015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2018.1-9</c:v>
                </c:pt>
                <c:pt idx="7">
                  <c:v>2018.1-9</c:v>
                </c:pt>
              </c:strCache>
            </c:strRef>
          </c:cat>
          <c:val>
            <c:numRef>
              <c:f>Sheet2!$C$7:$J$7</c:f>
              <c:numCache>
                <c:formatCode>General</c:formatCode>
                <c:ptCount val="8"/>
                <c:pt idx="0" formatCode="_ * #,##0_ ;_ * \-#,##0_ ;_ * &quot;-&quot;??_ ;_ @_ ">
                  <c:v>2992365.43</c:v>
                </c:pt>
                <c:pt idx="2" formatCode="_ * #,##0_ ;_ * \-#,##0_ ;_ * &quot;-&quot;??_ ;_ @_ ">
                  <c:v>3926674.57</c:v>
                </c:pt>
                <c:pt idx="4" formatCode="_ * #,##0_ ;_ * \-#,##0_ ;_ * &quot;-&quot;??_ ;_ @_ ">
                  <c:v>2160316.7999999998</c:v>
                </c:pt>
                <c:pt idx="6" formatCode="_ * #,##0_ ;_ * \-#,##0_ ;_ * &quot;-&quot;??_ ;_ @_ ">
                  <c:v>903140.01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65-49FA-8FBD-68F07780D39F}"/>
            </c:ext>
          </c:extLst>
        </c:ser>
        <c:ser>
          <c:idx val="5"/>
          <c:order val="5"/>
          <c:tx>
            <c:strRef>
              <c:f>Sheet2!$B$8</c:f>
              <c:strCache>
                <c:ptCount val="1"/>
                <c:pt idx="0">
                  <c:v>其他收入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Sheet2!$C$2:$J$2</c:f>
              <c:strCache>
                <c:ptCount val="8"/>
                <c:pt idx="0">
                  <c:v>2015</c:v>
                </c:pt>
                <c:pt idx="1">
                  <c:v>2015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2018.1-9</c:v>
                </c:pt>
                <c:pt idx="7">
                  <c:v>2018.1-9</c:v>
                </c:pt>
              </c:strCache>
            </c:strRef>
          </c:cat>
          <c:val>
            <c:numRef>
              <c:f>Sheet2!$C$8:$J$8</c:f>
              <c:numCache>
                <c:formatCode>General</c:formatCode>
                <c:ptCount val="8"/>
                <c:pt idx="0" formatCode="_ * #,##0_ ;_ * \-#,##0_ ;_ * &quot;-&quot;??_ ;_ @_ ">
                  <c:v>32338</c:v>
                </c:pt>
                <c:pt idx="2" formatCode="_ * #,##0_ ;_ * \-#,##0_ ;_ * &quot;-&quot;??_ ;_ @_ ">
                  <c:v>22682.83</c:v>
                </c:pt>
                <c:pt idx="4" formatCode="_ * #,##0_ ;_ * \-#,##0_ ;_ * &quot;-&quot;??_ ;_ @_ ">
                  <c:v>303043.89</c:v>
                </c:pt>
                <c:pt idx="6" formatCode="_ * #,##0_ ;_ * \-#,##0_ ;_ * &quot;-&quot;??_ ;_ @_ ">
                  <c:v>106769.42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65-49FA-8FBD-68F07780D39F}"/>
            </c:ext>
          </c:extLst>
        </c:ser>
        <c:ser>
          <c:idx val="6"/>
          <c:order val="6"/>
          <c:tx>
            <c:strRef>
              <c:f>Sheet2!$B$9</c:f>
              <c:strCache>
                <c:ptCount val="1"/>
                <c:pt idx="0">
                  <c:v>客房成本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Sheet2!$C$2:$J$2</c:f>
              <c:strCache>
                <c:ptCount val="8"/>
                <c:pt idx="0">
                  <c:v>2015</c:v>
                </c:pt>
                <c:pt idx="1">
                  <c:v>2015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2018.1-9</c:v>
                </c:pt>
                <c:pt idx="7">
                  <c:v>2018.1-9</c:v>
                </c:pt>
              </c:strCache>
            </c:strRef>
          </c:cat>
          <c:val>
            <c:numRef>
              <c:f>Sheet2!$C$9:$J$9</c:f>
              <c:numCache>
                <c:formatCode>_ * #,##0_ ;_ * \-#,##0_ ;_ * "-"??_ ;_ @_ </c:formatCode>
                <c:ptCount val="8"/>
                <c:pt idx="1">
                  <c:v>3308028.13</c:v>
                </c:pt>
                <c:pt idx="3">
                  <c:v>2867235.79</c:v>
                </c:pt>
                <c:pt idx="5">
                  <c:v>2646708.4700000002</c:v>
                </c:pt>
                <c:pt idx="7">
                  <c:v>1905876.91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65-49FA-8FBD-68F07780D39F}"/>
            </c:ext>
          </c:extLst>
        </c:ser>
        <c:ser>
          <c:idx val="7"/>
          <c:order val="7"/>
          <c:tx>
            <c:strRef>
              <c:f>Sheet2!$B$10</c:f>
              <c:strCache>
                <c:ptCount val="1"/>
                <c:pt idx="0">
                  <c:v>食品成本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Sheet2!$C$2:$J$2</c:f>
              <c:strCache>
                <c:ptCount val="8"/>
                <c:pt idx="0">
                  <c:v>2015</c:v>
                </c:pt>
                <c:pt idx="1">
                  <c:v>2015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2018.1-9</c:v>
                </c:pt>
                <c:pt idx="7">
                  <c:v>2018.1-9</c:v>
                </c:pt>
              </c:strCache>
            </c:strRef>
          </c:cat>
          <c:val>
            <c:numRef>
              <c:f>Sheet2!$C$10:$J$10</c:f>
              <c:numCache>
                <c:formatCode>_ * #,##0_ ;_ * \-#,##0_ ;_ * "-"??_ ;_ @_ </c:formatCode>
                <c:ptCount val="8"/>
                <c:pt idx="1">
                  <c:v>425664.11</c:v>
                </c:pt>
                <c:pt idx="3">
                  <c:v>170408.21</c:v>
                </c:pt>
                <c:pt idx="5">
                  <c:v>211972.56</c:v>
                </c:pt>
                <c:pt idx="7">
                  <c:v>80536.899999999994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65-49FA-8FBD-68F07780D39F}"/>
            </c:ext>
          </c:extLst>
        </c:ser>
        <c:ser>
          <c:idx val="8"/>
          <c:order val="8"/>
          <c:tx>
            <c:strRef>
              <c:f>Sheet2!$B$11</c:f>
              <c:strCache>
                <c:ptCount val="1"/>
                <c:pt idx="0">
                  <c:v>酒水成本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Sheet2!$C$2:$J$2</c:f>
              <c:strCache>
                <c:ptCount val="8"/>
                <c:pt idx="0">
                  <c:v>2015</c:v>
                </c:pt>
                <c:pt idx="1">
                  <c:v>2015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2018.1-9</c:v>
                </c:pt>
                <c:pt idx="7">
                  <c:v>2018.1-9</c:v>
                </c:pt>
              </c:strCache>
            </c:strRef>
          </c:cat>
          <c:val>
            <c:numRef>
              <c:f>Sheet2!$C$11:$J$11</c:f>
              <c:numCache>
                <c:formatCode>_ * #,##0_ ;_ * \-#,##0_ ;_ * "-"??_ ;_ @_ </c:formatCode>
                <c:ptCount val="8"/>
                <c:pt idx="1">
                  <c:v>2143.73</c:v>
                </c:pt>
                <c:pt idx="3">
                  <c:v>1214.79</c:v>
                </c:pt>
                <c:pt idx="5">
                  <c:v>404.6</c:v>
                </c:pt>
                <c:pt idx="7">
                  <c:v>24.27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65-49FA-8FBD-68F07780D39F}"/>
            </c:ext>
          </c:extLst>
        </c:ser>
        <c:ser>
          <c:idx val="9"/>
          <c:order val="9"/>
          <c:tx>
            <c:strRef>
              <c:f>Sheet2!$B$12</c:f>
              <c:strCache>
                <c:ptCount val="1"/>
                <c:pt idx="0">
                  <c:v>餐饮其他费用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Sheet2!$C$2:$J$2</c:f>
              <c:strCache>
                <c:ptCount val="8"/>
                <c:pt idx="0">
                  <c:v>2015</c:v>
                </c:pt>
                <c:pt idx="1">
                  <c:v>2015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2018.1-9</c:v>
                </c:pt>
                <c:pt idx="7">
                  <c:v>2018.1-9</c:v>
                </c:pt>
              </c:strCache>
            </c:strRef>
          </c:cat>
          <c:val>
            <c:numRef>
              <c:f>Sheet2!$C$12:$J$12</c:f>
              <c:numCache>
                <c:formatCode>_ * #,##0_ ;_ * \-#,##0_ ;_ * "-"??_ ;_ @_ </c:formatCode>
                <c:ptCount val="8"/>
                <c:pt idx="1">
                  <c:v>914326.49</c:v>
                </c:pt>
                <c:pt idx="3">
                  <c:v>562728.68999999994</c:v>
                </c:pt>
                <c:pt idx="5">
                  <c:v>533616.30000000005</c:v>
                </c:pt>
                <c:pt idx="7">
                  <c:v>370645.93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065-49FA-8FBD-68F07780D39F}"/>
            </c:ext>
          </c:extLst>
        </c:ser>
        <c:ser>
          <c:idx val="10"/>
          <c:order val="10"/>
          <c:tx>
            <c:strRef>
              <c:f>Sheet2!$B$13</c:f>
              <c:strCache>
                <c:ptCount val="1"/>
                <c:pt idx="0">
                  <c:v>219广场费用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Sheet2!$C$2:$J$2</c:f>
              <c:strCache>
                <c:ptCount val="8"/>
                <c:pt idx="0">
                  <c:v>2015</c:v>
                </c:pt>
                <c:pt idx="1">
                  <c:v>2015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2018.1-9</c:v>
                </c:pt>
                <c:pt idx="7">
                  <c:v>2018.1-9</c:v>
                </c:pt>
              </c:strCache>
            </c:strRef>
          </c:cat>
          <c:val>
            <c:numRef>
              <c:f>Sheet2!$C$13:$J$13</c:f>
              <c:numCache>
                <c:formatCode>_ * #,##0_ ;_ * \-#,##0_ ;_ * "-"??_ ;_ @_ </c:formatCode>
                <c:ptCount val="8"/>
                <c:pt idx="1">
                  <c:v>692846.28</c:v>
                </c:pt>
                <c:pt idx="3">
                  <c:v>563484.05000000005</c:v>
                </c:pt>
                <c:pt idx="5">
                  <c:v>273949.55</c:v>
                </c:pt>
                <c:pt idx="7">
                  <c:v>105681.4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065-49FA-8FBD-68F07780D39F}"/>
            </c:ext>
          </c:extLst>
        </c:ser>
        <c:ser>
          <c:idx val="11"/>
          <c:order val="11"/>
          <c:tx>
            <c:strRef>
              <c:f>Sheet2!$B$14</c:f>
              <c:strCache>
                <c:ptCount val="1"/>
                <c:pt idx="0">
                  <c:v>洗衣房费用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Sheet2!$C$2:$J$2</c:f>
              <c:strCache>
                <c:ptCount val="8"/>
                <c:pt idx="0">
                  <c:v>2015</c:v>
                </c:pt>
                <c:pt idx="1">
                  <c:v>2015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2018.1-9</c:v>
                </c:pt>
                <c:pt idx="7">
                  <c:v>2018.1-9</c:v>
                </c:pt>
              </c:strCache>
            </c:strRef>
          </c:cat>
          <c:val>
            <c:numRef>
              <c:f>Sheet2!$C$14:$J$14</c:f>
              <c:numCache>
                <c:formatCode>_ * #,##0_ ;_ * \-#,##0_ ;_ * "-"??_ ;_ @_ </c:formatCode>
                <c:ptCount val="8"/>
                <c:pt idx="1">
                  <c:v>2591.21</c:v>
                </c:pt>
                <c:pt idx="3">
                  <c:v>2195.35</c:v>
                </c:pt>
                <c:pt idx="5">
                  <c:v>1700.56</c:v>
                </c:pt>
                <c:pt idx="7">
                  <c:v>1018.06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065-49FA-8FBD-68F07780D39F}"/>
            </c:ext>
          </c:extLst>
        </c:ser>
        <c:ser>
          <c:idx val="12"/>
          <c:order val="12"/>
          <c:tx>
            <c:strRef>
              <c:f>Sheet2!$B$15</c:f>
              <c:strCache>
                <c:ptCount val="1"/>
                <c:pt idx="0">
                  <c:v>其他费用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Sheet2!$C$2:$J$2</c:f>
              <c:strCache>
                <c:ptCount val="8"/>
                <c:pt idx="0">
                  <c:v>2015</c:v>
                </c:pt>
                <c:pt idx="1">
                  <c:v>2015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2018.1-9</c:v>
                </c:pt>
                <c:pt idx="7">
                  <c:v>2018.1-9</c:v>
                </c:pt>
              </c:strCache>
            </c:strRef>
          </c:cat>
          <c:val>
            <c:numRef>
              <c:f>Sheet2!$C$15:$J$15</c:f>
              <c:numCache>
                <c:formatCode>_ * #,##0_ ;_ * \-#,##0_ ;_ * "-"??_ ;_ @_ </c:formatCode>
                <c:ptCount val="8"/>
                <c:pt idx="1">
                  <c:v>15317.33</c:v>
                </c:pt>
                <c:pt idx="5">
                  <c:v>1401.85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065-49FA-8FBD-68F07780D39F}"/>
            </c:ext>
          </c:extLst>
        </c:ser>
        <c:ser>
          <c:idx val="13"/>
          <c:order val="13"/>
          <c:tx>
            <c:strRef>
              <c:f>Sheet2!$B$16</c:f>
              <c:strCache>
                <c:ptCount val="1"/>
                <c:pt idx="0">
                  <c:v>能源费用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Sheet2!$C$2:$J$2</c:f>
              <c:strCache>
                <c:ptCount val="8"/>
                <c:pt idx="0">
                  <c:v>2015</c:v>
                </c:pt>
                <c:pt idx="1">
                  <c:v>2015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2018.1-9</c:v>
                </c:pt>
                <c:pt idx="7">
                  <c:v>2018.1-9</c:v>
                </c:pt>
              </c:strCache>
            </c:strRef>
          </c:cat>
          <c:val>
            <c:numRef>
              <c:f>Sheet2!$C$16:$J$16</c:f>
              <c:numCache>
                <c:formatCode>_ * #,##0_ ;_ * \-#,##0_ ;_ * "-"??_ ;_ @_ </c:formatCode>
                <c:ptCount val="8"/>
                <c:pt idx="1">
                  <c:v>971734.35</c:v>
                </c:pt>
                <c:pt idx="3">
                  <c:v>671886.69</c:v>
                </c:pt>
                <c:pt idx="5">
                  <c:v>791036.42</c:v>
                </c:pt>
                <c:pt idx="7">
                  <c:v>541097.75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065-49FA-8FBD-68F07780D39F}"/>
            </c:ext>
          </c:extLst>
        </c:ser>
        <c:ser>
          <c:idx val="14"/>
          <c:order val="14"/>
          <c:tx>
            <c:strRef>
              <c:f>Sheet2!$B$17</c:f>
              <c:strCache>
                <c:ptCount val="1"/>
                <c:pt idx="0">
                  <c:v>行政部门费用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Sheet2!$C$2:$J$2</c:f>
              <c:strCache>
                <c:ptCount val="8"/>
                <c:pt idx="0">
                  <c:v>2015</c:v>
                </c:pt>
                <c:pt idx="1">
                  <c:v>2015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2018.1-9</c:v>
                </c:pt>
                <c:pt idx="7">
                  <c:v>2018.1-9</c:v>
                </c:pt>
              </c:strCache>
            </c:strRef>
          </c:cat>
          <c:val>
            <c:numRef>
              <c:f>Sheet2!$C$17:$J$17</c:f>
              <c:numCache>
                <c:formatCode>_ * #,##0_ ;_ * \-#,##0_ ;_ * "-"??_ ;_ @_ </c:formatCode>
                <c:ptCount val="8"/>
                <c:pt idx="1">
                  <c:v>2357433.39</c:v>
                </c:pt>
                <c:pt idx="3">
                  <c:v>2161134.08</c:v>
                </c:pt>
                <c:pt idx="5">
                  <c:v>1956618.9</c:v>
                </c:pt>
                <c:pt idx="7">
                  <c:v>2037234.8199999998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065-49FA-8FBD-68F07780D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28071952"/>
        <c:axId val="1128077200"/>
      </c:barChart>
      <c:lineChart>
        <c:grouping val="standard"/>
        <c:varyColors val="0"/>
        <c:ser>
          <c:idx val="15"/>
          <c:order val="15"/>
          <c:tx>
            <c:strRef>
              <c:f>Sheet2!$B$19</c:f>
              <c:strCache>
                <c:ptCount val="1"/>
                <c:pt idx="0">
                  <c:v>收入合计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Sheet2!$C$2:$J$2</c:f>
              <c:strCache>
                <c:ptCount val="8"/>
                <c:pt idx="0">
                  <c:v>2015</c:v>
                </c:pt>
                <c:pt idx="1">
                  <c:v>2015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2018.1-9</c:v>
                </c:pt>
                <c:pt idx="7">
                  <c:v>2018.1-9</c:v>
                </c:pt>
              </c:strCache>
            </c:strRef>
          </c:cat>
          <c:val>
            <c:numRef>
              <c:f>Sheet2!$C$19:$J$19</c:f>
              <c:numCache>
                <c:formatCode>General</c:formatCode>
                <c:ptCount val="8"/>
                <c:pt idx="0" formatCode="_ * #,##0_ ;_ * \-#,##0_ ;_ * &quot;-&quot;??_ ;_ @_ ">
                  <c:v>13186294.469999999</c:v>
                </c:pt>
                <c:pt idx="2" formatCode="_ * #,##0_ ;_ * \-#,##0_ ;_ * &quot;-&quot;??_ ;_ @_ ">
                  <c:v>13078613.100000001</c:v>
                </c:pt>
                <c:pt idx="4" formatCode="_ * #,##0_ ;_ * \-#,##0_ ;_ * &quot;-&quot;??_ ;_ @_ ">
                  <c:v>12200283.300000001</c:v>
                </c:pt>
                <c:pt idx="6" formatCode="_ * #,##0_ ;_ * \-#,##0_ ;_ * &quot;-&quot;??_ ;_ @_ ">
                  <c:v>7971429.5899999999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065-49FA-8FBD-68F07780D39F}"/>
            </c:ext>
          </c:extLst>
        </c:ser>
        <c:ser>
          <c:idx val="16"/>
          <c:order val="16"/>
          <c:tx>
            <c:strRef>
              <c:f>Sheet2!$B$20</c:f>
              <c:strCache>
                <c:ptCount val="1"/>
                <c:pt idx="0">
                  <c:v>费用合计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Sheet2!$C$2:$J$2</c:f>
              <c:strCache>
                <c:ptCount val="8"/>
                <c:pt idx="0">
                  <c:v>2015</c:v>
                </c:pt>
                <c:pt idx="1">
                  <c:v>2015</c:v>
                </c:pt>
                <c:pt idx="2">
                  <c:v>2016</c:v>
                </c:pt>
                <c:pt idx="3">
                  <c:v>2016</c:v>
                </c:pt>
                <c:pt idx="4">
                  <c:v>2017</c:v>
                </c:pt>
                <c:pt idx="5">
                  <c:v>2017</c:v>
                </c:pt>
                <c:pt idx="6">
                  <c:v>2018.1-9</c:v>
                </c:pt>
                <c:pt idx="7">
                  <c:v>2018.1-9</c:v>
                </c:pt>
              </c:strCache>
            </c:strRef>
          </c:cat>
          <c:val>
            <c:numRef>
              <c:f>Sheet2!$C$20:$J$20</c:f>
              <c:numCache>
                <c:formatCode>General</c:formatCode>
                <c:ptCount val="8"/>
                <c:pt idx="1">
                  <c:v>8690085.0199999996</c:v>
                </c:pt>
                <c:pt idx="3">
                  <c:v>7000287.6500000004</c:v>
                </c:pt>
                <c:pt idx="5">
                  <c:v>6417409.2100000009</c:v>
                </c:pt>
                <c:pt idx="7">
                  <c:v>5042116.0399999991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065-49FA-8FBD-68F07780D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071952"/>
        <c:axId val="1128077200"/>
      </c:lineChart>
      <c:scatterChart>
        <c:scatterStyle val="lineMarker"/>
        <c:varyColors val="0"/>
        <c:ser>
          <c:idx val="17"/>
          <c:order val="17"/>
          <c:tx>
            <c:strRef>
              <c:f>Sheet2!$B$22</c:f>
              <c:strCache>
                <c:ptCount val="1"/>
                <c:pt idx="0">
                  <c:v>利润率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Sheet2!$D$22:$G$22</c:f>
              <c:numCache>
                <c:formatCode>General</c:formatCode>
                <c:ptCount val="4"/>
                <c:pt idx="0">
                  <c:v>1.5</c:v>
                </c:pt>
                <c:pt idx="1">
                  <c:v>3.5</c:v>
                </c:pt>
                <c:pt idx="2">
                  <c:v>5.5</c:v>
                </c:pt>
                <c:pt idx="3">
                  <c:v>7.5</c:v>
                </c:pt>
              </c:numCache>
            </c:numRef>
          </c:xVal>
          <c:yVal>
            <c:numRef>
              <c:f>Sheet2!$D$23:$G$23</c:f>
              <c:numCache>
                <c:formatCode>0.00%</c:formatCode>
                <c:ptCount val="4"/>
                <c:pt idx="0">
                  <c:v>0.34097596259732244</c:v>
                </c:pt>
                <c:pt idx="1">
                  <c:v>0.46475305932859201</c:v>
                </c:pt>
                <c:pt idx="2">
                  <c:v>0.47399506616375042</c:v>
                </c:pt>
                <c:pt idx="3">
                  <c:v>0.36747656325971523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065-49FA-8FBD-68F07780D39F}"/>
            </c:ext>
          </c:extLst>
        </c:ser>
        <c:ser>
          <c:idx val="18"/>
          <c:order val="18"/>
          <c:tx>
            <c:strRef>
              <c:f>Sheet2!$B$25</c:f>
              <c:strCache>
                <c:ptCount val="1"/>
                <c:pt idx="0">
                  <c:v>年份标签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05029FEC-07C6-41A6-9FCC-F42AC49F9D9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E065-49FA-8FBD-68F07780D39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DB7D231-B15F-4279-B178-B38712F8CA8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065-49FA-8FBD-68F07780D39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78D5E09-9DE1-42B2-BA61-D133B1EF8D7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065-49FA-8FBD-68F07780D39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F1EACD7-805B-4AD9-8327-0222E2809B0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E065-49FA-8FBD-68F07780D3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Sheet2!$D$25:$G$25</c:f>
              <c:numCache>
                <c:formatCode>General</c:formatCode>
                <c:ptCount val="4"/>
                <c:pt idx="0">
                  <c:v>1.5</c:v>
                </c:pt>
                <c:pt idx="1">
                  <c:v>3.5</c:v>
                </c:pt>
                <c:pt idx="2">
                  <c:v>5.5</c:v>
                </c:pt>
                <c:pt idx="3">
                  <c:v>7.5</c:v>
                </c:pt>
              </c:numCache>
            </c:numRef>
          </c:xVal>
          <c:yVal>
            <c:numRef>
              <c:f>Sheet2!$D$26:$G$26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Sheet2!$M$25:$P$25</c15:f>
                <c15:dlblRangeCache>
                  <c:ptCount val="4"/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2018.1-9月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E065-49FA-8FBD-68F07780D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245736"/>
        <c:axId val="819997952"/>
      </c:scatterChart>
      <c:catAx>
        <c:axId val="112807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8077200"/>
        <c:crosses val="autoZero"/>
        <c:auto val="1"/>
        <c:lblAlgn val="ctr"/>
        <c:lblOffset val="100"/>
        <c:noMultiLvlLbl val="0"/>
      </c:catAx>
      <c:valAx>
        <c:axId val="112807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8071952"/>
        <c:crosses val="autoZero"/>
        <c:crossBetween val="between"/>
      </c:valAx>
      <c:valAx>
        <c:axId val="81999795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0245736"/>
        <c:crosses val="max"/>
        <c:crossBetween val="midCat"/>
      </c:valAx>
      <c:valAx>
        <c:axId val="1130245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9997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8"/>
        <c:delete val="1"/>
      </c:legendEntry>
      <c:layout>
        <c:manualLayout>
          <c:xMode val="edge"/>
          <c:yMode val="edge"/>
          <c:x val="0.81279251170046807"/>
          <c:y val="7.0451648089443375E-2"/>
          <c:w val="0.17472698907956319"/>
          <c:h val="0.908735953460362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004947433518862"/>
          <c:y val="0.12960135708227311"/>
          <c:w val="0.74842300556586272"/>
          <c:h val="0.72118335208098983"/>
        </c:manualLayout>
      </c:layout>
      <c:lineChart>
        <c:grouping val="standard"/>
        <c:varyColors val="0"/>
        <c:ser>
          <c:idx val="2"/>
          <c:order val="1"/>
          <c:tx>
            <c:strRef>
              <c:f>Sheet2!$L$31</c:f>
              <c:strCache>
                <c:ptCount val="1"/>
                <c:pt idx="0">
                  <c:v>REVPAR(元)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3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028-48A6-A2D4-91DCDAB5E6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Sheet2!$M$25:$P$25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2018.1-9月</c:v>
                </c:pt>
              </c:strCache>
            </c:strRef>
          </c:cat>
          <c:val>
            <c:numRef>
              <c:f>Sheet2!$M$31:$P$31</c:f>
              <c:numCache>
                <c:formatCode>_ * #,##0_ ;_ * \-#,##0_ ;_ * "-"??_ ;_ @_ </c:formatCode>
                <c:ptCount val="4"/>
                <c:pt idx="0">
                  <c:v>286.3</c:v>
                </c:pt>
                <c:pt idx="1">
                  <c:v>309.76</c:v>
                </c:pt>
                <c:pt idx="2">
                  <c:v>344.27</c:v>
                </c:pt>
                <c:pt idx="3">
                  <c:v>316.67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28-48A6-A2D4-91DCDAB5E6DE}"/>
            </c:ext>
          </c:extLst>
        </c:ser>
        <c:ser>
          <c:idx val="3"/>
          <c:order val="2"/>
          <c:tx>
            <c:strRef>
              <c:f>Sheet2!$L$32</c:f>
              <c:strCache>
                <c:ptCount val="1"/>
                <c:pt idx="0">
                  <c:v>平均房价(元)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4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028-48A6-A2D4-91DCDAB5E6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Sheet2!$M$25:$P$25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2018.1-9月</c:v>
                </c:pt>
              </c:strCache>
            </c:strRef>
          </c:cat>
          <c:val>
            <c:numRef>
              <c:f>Sheet2!$M$32:$P$32</c:f>
              <c:numCache>
                <c:formatCode>_ * #,##0_ ;_ * \-#,##0_ ;_ * "-"??_ ;_ @_ </c:formatCode>
                <c:ptCount val="4"/>
                <c:pt idx="0">
                  <c:v>508.13</c:v>
                </c:pt>
                <c:pt idx="1">
                  <c:v>505.7</c:v>
                </c:pt>
                <c:pt idx="2">
                  <c:v>461.73</c:v>
                </c:pt>
                <c:pt idx="3">
                  <c:v>479.2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28-48A6-A2D4-91DCDAB5E6DE}"/>
            </c:ext>
          </c:extLst>
        </c:ser>
        <c:ser>
          <c:idx val="0"/>
          <c:order val="3"/>
          <c:tx>
            <c:strRef>
              <c:f>Sheet2!$L$29</c:f>
              <c:strCache>
                <c:ptCount val="1"/>
                <c:pt idx="0">
                  <c:v>总收入(万元)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34-4474-BEA0-F0E3E442FDA0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34-4474-BEA0-F0E3E442FDA0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34-4474-BEA0-F0E3E442FDA0}"/>
                </c:ext>
              </c:extLst>
            </c:dLbl>
            <c:dLbl>
              <c:idx val="3"/>
              <c:layout>
                <c:manualLayout>
                  <c:x val="-4.9462063995247441E-2"/>
                  <c:y val="-9.8484189476315431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34-4474-BEA0-F0E3E442FD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Sheet2!$M$25:$P$25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2018.1-9月</c:v>
                </c:pt>
              </c:strCache>
            </c:strRef>
          </c:cat>
          <c:val>
            <c:numRef>
              <c:f>Sheet2!$M$29:$P$29</c:f>
              <c:numCache>
                <c:formatCode>_ * #,##0_ ;_ * \-#,##0_ ;_ * "-"??_ ;_ @_ </c:formatCode>
                <c:ptCount val="4"/>
                <c:pt idx="0">
                  <c:v>814.34</c:v>
                </c:pt>
                <c:pt idx="1">
                  <c:v>846.72</c:v>
                </c:pt>
                <c:pt idx="2">
                  <c:v>892.38</c:v>
                </c:pt>
                <c:pt idx="3">
                  <c:v>655.25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34-4474-BEA0-F0E3E442F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726696"/>
        <c:axId val="981724728"/>
      </c:lineChart>
      <c:lineChart>
        <c:grouping val="standard"/>
        <c:varyColors val="0"/>
        <c:ser>
          <c:idx val="1"/>
          <c:order val="0"/>
          <c:tx>
            <c:strRef>
              <c:f>Sheet2!$L$30</c:f>
              <c:strCache>
                <c:ptCount val="1"/>
                <c:pt idx="0">
                  <c:v>出租率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028-48A6-A2D4-91DCDAB5E6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Sheet2!$M$25:$P$25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2018.1-9月</c:v>
                </c:pt>
              </c:strCache>
            </c:strRef>
          </c:cat>
          <c:val>
            <c:numRef>
              <c:f>Sheet2!$M$30:$P$30</c:f>
              <c:numCache>
                <c:formatCode>0.00%</c:formatCode>
                <c:ptCount val="4"/>
                <c:pt idx="0">
                  <c:v>0.56299999999999994</c:v>
                </c:pt>
                <c:pt idx="1">
                  <c:v>0.6179</c:v>
                </c:pt>
                <c:pt idx="2">
                  <c:v>0.74529999999999996</c:v>
                </c:pt>
                <c:pt idx="3">
                  <c:v>0.65959999999999996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28-48A6-A2D4-91DCDAB5E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072280"/>
        <c:axId val="1128074248"/>
      </c:lineChart>
      <c:catAx>
        <c:axId val="98172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981724728"/>
        <c:crosses val="autoZero"/>
        <c:auto val="1"/>
        <c:lblAlgn val="ctr"/>
        <c:lblOffset val="100"/>
        <c:noMultiLvlLbl val="0"/>
      </c:catAx>
      <c:valAx>
        <c:axId val="981724728"/>
        <c:scaling>
          <c:orientation val="minMax"/>
        </c:scaling>
        <c:delete val="0"/>
        <c:axPos val="l"/>
        <c:numFmt formatCode="#,##0_);[Red]\(#,##0\)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981726696"/>
        <c:crosses val="autoZero"/>
        <c:crossBetween val="between"/>
      </c:valAx>
      <c:valAx>
        <c:axId val="1128074248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128072280"/>
        <c:crosses val="max"/>
        <c:crossBetween val="between"/>
      </c:valAx>
      <c:catAx>
        <c:axId val="1128072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8074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思源黑体 CN Normal" panose="020B0400000000000000" pitchFamily="34" charset="-122"/>
                <a:cs typeface="Arial" panose="020B0604020202020204" pitchFamily="34" charset="0"/>
              </a:defRPr>
            </a:pPr>
            <a:r>
              <a:rPr lang="zh-CN" altLang="en-US"/>
              <a:t>收入结构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思源黑体 CN Normal" panose="020B0400000000000000" pitchFamily="34" charset="-122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8672567889798089"/>
          <c:y val="0.15047619047619049"/>
          <c:w val="0.58946883273577733"/>
          <c:h val="0.74265664160401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客房收入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(Sheet2!$C$2,Sheet2!$E$2,Sheet2!$G$2,Sheet2!$I$2)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</c:v>
                </c:pt>
              </c:strCache>
            </c:strRef>
          </c:cat>
          <c:val>
            <c:numRef>
              <c:f>(Sheet2!$C$3,Sheet2!$E$3,Sheet2!$G$3,Sheet2!$I$3)</c:f>
              <c:numCache>
                <c:formatCode>_ * #,##0_ ;_ * \-#,##0_ ;_ * "-"??_ ;_ @_ </c:formatCode>
                <c:ptCount val="4"/>
                <c:pt idx="0">
                  <c:v>8747667.8399999999</c:v>
                </c:pt>
                <c:pt idx="1">
                  <c:v>8560388.0700000003</c:v>
                </c:pt>
                <c:pt idx="2">
                  <c:v>8889548.5500000007</c:v>
                </c:pt>
                <c:pt idx="3">
                  <c:v>6541932.4699999997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3-4039-BB79-E56902130AC2}"/>
            </c:ext>
          </c:extLst>
        </c:ser>
        <c:ser>
          <c:idx val="1"/>
          <c:order val="1"/>
          <c:tx>
            <c:strRef>
              <c:f>Sheet2!$B$4</c:f>
              <c:strCache>
                <c:ptCount val="1"/>
                <c:pt idx="0">
                  <c:v>餐饮收入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(Sheet2!$C$2,Sheet2!$E$2,Sheet2!$G$2,Sheet2!$I$2)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</c:v>
                </c:pt>
              </c:strCache>
            </c:strRef>
          </c:cat>
          <c:val>
            <c:numRef>
              <c:f>(Sheet2!$C$4,Sheet2!$E$4,Sheet2!$G$4,Sheet2!$I$4)</c:f>
              <c:numCache>
                <c:formatCode>_ * #,##0_ ;_ * \-#,##0_ ;_ * "-"??_ ;_ @_ </c:formatCode>
                <c:ptCount val="4"/>
                <c:pt idx="0">
                  <c:v>1157404.7</c:v>
                </c:pt>
                <c:pt idx="1">
                  <c:v>435365.06</c:v>
                </c:pt>
                <c:pt idx="2">
                  <c:v>597153.78</c:v>
                </c:pt>
                <c:pt idx="3">
                  <c:v>249184.4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33-4039-BB79-E56902130AC2}"/>
            </c:ext>
          </c:extLst>
        </c:ser>
        <c:ser>
          <c:idx val="2"/>
          <c:order val="2"/>
          <c:tx>
            <c:strRef>
              <c:f>Sheet2!$B$5</c:f>
              <c:strCache>
                <c:ptCount val="1"/>
                <c:pt idx="0">
                  <c:v>停车场收入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(Sheet2!$C$2,Sheet2!$E$2,Sheet2!$G$2,Sheet2!$I$2)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</c:v>
                </c:pt>
              </c:strCache>
            </c:strRef>
          </c:cat>
          <c:val>
            <c:numRef>
              <c:f>(Sheet2!$C$5,Sheet2!$E$5,Sheet2!$G$5,Sheet2!$I$5)</c:f>
              <c:numCache>
                <c:formatCode>_ * #,##0_ ;_ * \-#,##0_ ;_ * "-"??_ ;_ @_ </c:formatCode>
                <c:ptCount val="4"/>
                <c:pt idx="0">
                  <c:v>246339.5</c:v>
                </c:pt>
                <c:pt idx="1">
                  <c:v>123943.17</c:v>
                </c:pt>
                <c:pt idx="2">
                  <c:v>242996.23</c:v>
                </c:pt>
                <c:pt idx="3">
                  <c:v>166098.10999999999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33-4039-BB79-E56902130AC2}"/>
            </c:ext>
          </c:extLst>
        </c:ser>
        <c:ser>
          <c:idx val="3"/>
          <c:order val="3"/>
          <c:tx>
            <c:strRef>
              <c:f>Sheet2!$B$6</c:f>
              <c:strCache>
                <c:ptCount val="1"/>
                <c:pt idx="0">
                  <c:v>洗衣收入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(Sheet2!$C$2,Sheet2!$E$2,Sheet2!$G$2,Sheet2!$I$2)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</c:v>
                </c:pt>
              </c:strCache>
            </c:strRef>
          </c:cat>
          <c:val>
            <c:numRef>
              <c:f>(Sheet2!$C$6,Sheet2!$E$6,Sheet2!$G$6,Sheet2!$I$6)</c:f>
              <c:numCache>
                <c:formatCode>_ * #,##0_ ;_ * \-#,##0_ ;_ * "-"??_ ;_ @_ </c:formatCode>
                <c:ptCount val="4"/>
                <c:pt idx="0">
                  <c:v>10179</c:v>
                </c:pt>
                <c:pt idx="1">
                  <c:v>9559.4</c:v>
                </c:pt>
                <c:pt idx="2">
                  <c:v>7224.05</c:v>
                </c:pt>
                <c:pt idx="3">
                  <c:v>4305.18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33-4039-BB79-E56902130AC2}"/>
            </c:ext>
          </c:extLst>
        </c:ser>
        <c:ser>
          <c:idx val="4"/>
          <c:order val="4"/>
          <c:tx>
            <c:strRef>
              <c:f>Sheet2!$B$7</c:f>
              <c:strCache>
                <c:ptCount val="1"/>
                <c:pt idx="0">
                  <c:v>外租收入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(Sheet2!$C$2,Sheet2!$E$2,Sheet2!$G$2,Sheet2!$I$2)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</c:v>
                </c:pt>
              </c:strCache>
            </c:strRef>
          </c:cat>
          <c:val>
            <c:numRef>
              <c:f>(Sheet2!$C$7,Sheet2!$E$7,Sheet2!$G$7,Sheet2!$I$7)</c:f>
              <c:numCache>
                <c:formatCode>_ * #,##0_ ;_ * \-#,##0_ ;_ * "-"??_ ;_ @_ </c:formatCode>
                <c:ptCount val="4"/>
                <c:pt idx="0">
                  <c:v>2992365.43</c:v>
                </c:pt>
                <c:pt idx="1">
                  <c:v>3926674.57</c:v>
                </c:pt>
                <c:pt idx="2">
                  <c:v>2160316.7999999998</c:v>
                </c:pt>
                <c:pt idx="3">
                  <c:v>903140.01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33-4039-BB79-E56902130AC2}"/>
            </c:ext>
          </c:extLst>
        </c:ser>
        <c:ser>
          <c:idx val="5"/>
          <c:order val="5"/>
          <c:tx>
            <c:strRef>
              <c:f>Sheet2!$B$8</c:f>
              <c:strCache>
                <c:ptCount val="1"/>
                <c:pt idx="0">
                  <c:v>其他收入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(Sheet2!$C$2,Sheet2!$E$2,Sheet2!$G$2,Sheet2!$I$2)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</c:v>
                </c:pt>
              </c:strCache>
            </c:strRef>
          </c:cat>
          <c:val>
            <c:numRef>
              <c:f>(Sheet2!$C$8,Sheet2!$E$8,Sheet2!$G$8,Sheet2!$I$8)</c:f>
              <c:numCache>
                <c:formatCode>_ * #,##0_ ;_ * \-#,##0_ ;_ * "-"??_ ;_ @_ </c:formatCode>
                <c:ptCount val="4"/>
                <c:pt idx="0">
                  <c:v>32338</c:v>
                </c:pt>
                <c:pt idx="1">
                  <c:v>22682.83</c:v>
                </c:pt>
                <c:pt idx="2">
                  <c:v>303043.89</c:v>
                </c:pt>
                <c:pt idx="3">
                  <c:v>106769.42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33-4039-BB79-E56902130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21976608"/>
        <c:axId val="821972672"/>
      </c:barChart>
      <c:catAx>
        <c:axId val="82197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思源黑体 CN Normal" panose="020B0400000000000000" pitchFamily="34" charset="-122"/>
                <a:cs typeface="Arial" panose="020B0604020202020204" pitchFamily="34" charset="0"/>
              </a:defRPr>
            </a:pPr>
            <a:endParaRPr lang="zh-CN"/>
          </a:p>
        </c:txPr>
        <c:crossAx val="821972672"/>
        <c:crosses val="autoZero"/>
        <c:auto val="1"/>
        <c:lblAlgn val="ctr"/>
        <c:lblOffset val="100"/>
        <c:noMultiLvlLbl val="0"/>
      </c:catAx>
      <c:valAx>
        <c:axId val="8219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思源黑体 CN Normal" panose="020B0400000000000000" pitchFamily="34" charset="-122"/>
                <a:cs typeface="Arial" panose="020B0604020202020204" pitchFamily="34" charset="0"/>
              </a:defRPr>
            </a:pPr>
            <a:endParaRPr lang="zh-CN"/>
          </a:p>
        </c:txPr>
        <c:crossAx val="82197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68270061013612"/>
          <c:y val="0.3857988804031075"/>
          <c:w val="0.20641243373990015"/>
          <c:h val="0.342119866595622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思源黑体 CN Normal" panose="020B0400000000000000" pitchFamily="34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ea typeface="思源黑体 CN Normal" panose="020B0400000000000000" pitchFamily="34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  <a:cs typeface="Arial" panose="020B0604020202020204" pitchFamily="34" charset="0"/>
              </a:defRPr>
            </a:pPr>
            <a:r>
              <a:rPr lang="zh-CN" altLang="en-US"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成本结构</a:t>
            </a:r>
            <a:endParaRPr lang="zh-CN">
              <a:latin typeface="思源黑体 CN Normal" panose="020B0400000000000000" pitchFamily="34" charset="-122"/>
              <a:ea typeface="思源黑体 CN Normal" panose="020B0400000000000000" pitchFamily="34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523150292487945"/>
          <c:y val="0.11549508692365835"/>
          <c:w val="0.6066294981101219"/>
          <c:h val="0.7999092970521541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Sheet2!$B$9</c:f>
              <c:strCache>
                <c:ptCount val="1"/>
                <c:pt idx="0">
                  <c:v>客房成本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(Sheet2!$D$2,Sheet2!$F$2,Sheet2!$H$2,Sheet2!$J$2)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</c:v>
                </c:pt>
              </c:strCache>
            </c:strRef>
          </c:cat>
          <c:val>
            <c:numRef>
              <c:f>(Sheet2!$D$9,Sheet2!$F$9,Sheet2!$H$9,Sheet2!$J$9)</c:f>
              <c:numCache>
                <c:formatCode>_ * #,##0_ ;_ * \-#,##0_ ;_ * "-"??_ ;_ @_ </c:formatCode>
                <c:ptCount val="4"/>
                <c:pt idx="0">
                  <c:v>3308028.13</c:v>
                </c:pt>
                <c:pt idx="1">
                  <c:v>2867235.79</c:v>
                </c:pt>
                <c:pt idx="2">
                  <c:v>2646708.4700000002</c:v>
                </c:pt>
                <c:pt idx="3">
                  <c:v>1905876.91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6-4248-A7E9-2F8C23C8FAFD}"/>
            </c:ext>
          </c:extLst>
        </c:ser>
        <c:ser>
          <c:idx val="1"/>
          <c:order val="1"/>
          <c:tx>
            <c:strRef>
              <c:f>Sheet2!$B$10</c:f>
              <c:strCache>
                <c:ptCount val="1"/>
                <c:pt idx="0">
                  <c:v>食品成本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(Sheet2!$D$2,Sheet2!$F$2,Sheet2!$H$2,Sheet2!$J$2)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</c:v>
                </c:pt>
              </c:strCache>
            </c:strRef>
          </c:cat>
          <c:val>
            <c:numRef>
              <c:f>(Sheet2!$D$10,Sheet2!$F$10,Sheet2!$H$10,Sheet2!$J$10)</c:f>
              <c:numCache>
                <c:formatCode>_ * #,##0_ ;_ * \-#,##0_ ;_ * "-"??_ ;_ @_ </c:formatCode>
                <c:ptCount val="4"/>
                <c:pt idx="0">
                  <c:v>425664.11</c:v>
                </c:pt>
                <c:pt idx="1">
                  <c:v>170408.21</c:v>
                </c:pt>
                <c:pt idx="2">
                  <c:v>211972.56</c:v>
                </c:pt>
                <c:pt idx="3">
                  <c:v>80536.899999999994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46-4248-A7E9-2F8C23C8FAFD}"/>
            </c:ext>
          </c:extLst>
        </c:ser>
        <c:ser>
          <c:idx val="2"/>
          <c:order val="2"/>
          <c:tx>
            <c:strRef>
              <c:f>Sheet2!$B$11</c:f>
              <c:strCache>
                <c:ptCount val="1"/>
                <c:pt idx="0">
                  <c:v>酒水成本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(Sheet2!$D$2,Sheet2!$F$2,Sheet2!$H$2,Sheet2!$J$2)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</c:v>
                </c:pt>
              </c:strCache>
            </c:strRef>
          </c:cat>
          <c:val>
            <c:numRef>
              <c:f>(Sheet2!$D$11,Sheet2!$F$11,Sheet2!$H$11,Sheet2!$J$11)</c:f>
              <c:numCache>
                <c:formatCode>_ * #,##0_ ;_ * \-#,##0_ ;_ * "-"??_ ;_ @_ </c:formatCode>
                <c:ptCount val="4"/>
                <c:pt idx="0">
                  <c:v>2143.73</c:v>
                </c:pt>
                <c:pt idx="1">
                  <c:v>1214.79</c:v>
                </c:pt>
                <c:pt idx="2">
                  <c:v>404.6</c:v>
                </c:pt>
                <c:pt idx="3">
                  <c:v>24.27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46-4248-A7E9-2F8C23C8FAFD}"/>
            </c:ext>
          </c:extLst>
        </c:ser>
        <c:ser>
          <c:idx val="3"/>
          <c:order val="3"/>
          <c:tx>
            <c:strRef>
              <c:f>Sheet2!$B$12</c:f>
              <c:strCache>
                <c:ptCount val="1"/>
                <c:pt idx="0">
                  <c:v>餐饮其他费用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(Sheet2!$D$2,Sheet2!$F$2,Sheet2!$H$2,Sheet2!$J$2)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</c:v>
                </c:pt>
              </c:strCache>
            </c:strRef>
          </c:cat>
          <c:val>
            <c:numRef>
              <c:f>(Sheet2!$D$12,Sheet2!$F$12,Sheet2!$H$12,Sheet2!$J$12)</c:f>
              <c:numCache>
                <c:formatCode>_ * #,##0_ ;_ * \-#,##0_ ;_ * "-"??_ ;_ @_ </c:formatCode>
                <c:ptCount val="4"/>
                <c:pt idx="0">
                  <c:v>914326.49</c:v>
                </c:pt>
                <c:pt idx="1">
                  <c:v>562728.68999999994</c:v>
                </c:pt>
                <c:pt idx="2">
                  <c:v>533616.30000000005</c:v>
                </c:pt>
                <c:pt idx="3">
                  <c:v>370645.93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46-4248-A7E9-2F8C23C8FAFD}"/>
            </c:ext>
          </c:extLst>
        </c:ser>
        <c:ser>
          <c:idx val="4"/>
          <c:order val="4"/>
          <c:tx>
            <c:strRef>
              <c:f>Sheet2!$B$13</c:f>
              <c:strCache>
                <c:ptCount val="1"/>
                <c:pt idx="0">
                  <c:v>219广场费用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(Sheet2!$D$2,Sheet2!$F$2,Sheet2!$H$2,Sheet2!$J$2)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</c:v>
                </c:pt>
              </c:strCache>
            </c:strRef>
          </c:cat>
          <c:val>
            <c:numRef>
              <c:f>(Sheet2!$D$13,Sheet2!$F$13,Sheet2!$H$13,Sheet2!$J$13)</c:f>
              <c:numCache>
                <c:formatCode>_ * #,##0_ ;_ * \-#,##0_ ;_ * "-"??_ ;_ @_ </c:formatCode>
                <c:ptCount val="4"/>
                <c:pt idx="0">
                  <c:v>692846.28</c:v>
                </c:pt>
                <c:pt idx="1">
                  <c:v>563484.05000000005</c:v>
                </c:pt>
                <c:pt idx="2">
                  <c:v>273949.55</c:v>
                </c:pt>
                <c:pt idx="3">
                  <c:v>105681.4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46-4248-A7E9-2F8C23C8FAFD}"/>
            </c:ext>
          </c:extLst>
        </c:ser>
        <c:ser>
          <c:idx val="5"/>
          <c:order val="5"/>
          <c:tx>
            <c:strRef>
              <c:f>Sheet2!$B$14</c:f>
              <c:strCache>
                <c:ptCount val="1"/>
                <c:pt idx="0">
                  <c:v>洗衣房费用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(Sheet2!$D$2,Sheet2!$F$2,Sheet2!$H$2,Sheet2!$J$2)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</c:v>
                </c:pt>
              </c:strCache>
            </c:strRef>
          </c:cat>
          <c:val>
            <c:numRef>
              <c:f>(Sheet2!$D$14,Sheet2!$F$14,Sheet2!$H$14,Sheet2!$J$14)</c:f>
              <c:numCache>
                <c:formatCode>_ * #,##0_ ;_ * \-#,##0_ ;_ * "-"??_ ;_ @_ </c:formatCode>
                <c:ptCount val="4"/>
                <c:pt idx="0">
                  <c:v>2591.21</c:v>
                </c:pt>
                <c:pt idx="1">
                  <c:v>2195.35</c:v>
                </c:pt>
                <c:pt idx="2">
                  <c:v>1700.56</c:v>
                </c:pt>
                <c:pt idx="3">
                  <c:v>1018.06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46-4248-A7E9-2F8C23C8FAFD}"/>
            </c:ext>
          </c:extLst>
        </c:ser>
        <c:ser>
          <c:idx val="6"/>
          <c:order val="6"/>
          <c:tx>
            <c:strRef>
              <c:f>Sheet2!$B$15</c:f>
              <c:strCache>
                <c:ptCount val="1"/>
                <c:pt idx="0">
                  <c:v>其他费用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(Sheet2!$D$2,Sheet2!$F$2,Sheet2!$H$2,Sheet2!$J$2)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</c:v>
                </c:pt>
              </c:strCache>
            </c:strRef>
          </c:cat>
          <c:val>
            <c:numRef>
              <c:f>(Sheet2!$D$15,Sheet2!$F$15,Sheet2!$H$15,Sheet2!$J$15)</c:f>
              <c:numCache>
                <c:formatCode>_ * #,##0_ ;_ * \-#,##0_ ;_ * "-"??_ ;_ @_ </c:formatCode>
                <c:ptCount val="4"/>
                <c:pt idx="0">
                  <c:v>15317.33</c:v>
                </c:pt>
                <c:pt idx="2">
                  <c:v>1401.85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46-4248-A7E9-2F8C23C8FAFD}"/>
            </c:ext>
          </c:extLst>
        </c:ser>
        <c:ser>
          <c:idx val="7"/>
          <c:order val="7"/>
          <c:tx>
            <c:strRef>
              <c:f>Sheet2!$B$16</c:f>
              <c:strCache>
                <c:ptCount val="1"/>
                <c:pt idx="0">
                  <c:v>能源费用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(Sheet2!$D$2,Sheet2!$F$2,Sheet2!$H$2,Sheet2!$J$2)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</c:v>
                </c:pt>
              </c:strCache>
            </c:strRef>
          </c:cat>
          <c:val>
            <c:numRef>
              <c:f>(Sheet2!$D$16,Sheet2!$F$16,Sheet2!$H$16,Sheet2!$J$16)</c:f>
              <c:numCache>
                <c:formatCode>_ * #,##0_ ;_ * \-#,##0_ ;_ * "-"??_ ;_ @_ </c:formatCode>
                <c:ptCount val="4"/>
                <c:pt idx="0">
                  <c:v>971734.35</c:v>
                </c:pt>
                <c:pt idx="1">
                  <c:v>671886.69</c:v>
                </c:pt>
                <c:pt idx="2">
                  <c:v>791036.42</c:v>
                </c:pt>
                <c:pt idx="3">
                  <c:v>541097.75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346-4248-A7E9-2F8C23C8FAFD}"/>
            </c:ext>
          </c:extLst>
        </c:ser>
        <c:ser>
          <c:idx val="8"/>
          <c:order val="8"/>
          <c:tx>
            <c:strRef>
              <c:f>Sheet2!$B$17</c:f>
              <c:strCache>
                <c:ptCount val="1"/>
                <c:pt idx="0">
                  <c:v>行政部门费用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(Sheet2!$D$2,Sheet2!$F$2,Sheet2!$H$2,Sheet2!$J$2)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2018.1-9</c:v>
                </c:pt>
              </c:strCache>
            </c:strRef>
          </c:cat>
          <c:val>
            <c:numRef>
              <c:f>(Sheet2!$D$17,Sheet2!$F$17,Sheet2!$H$17,Sheet2!$J$17)</c:f>
              <c:numCache>
                <c:formatCode>_ * #,##0_ ;_ * \-#,##0_ ;_ * "-"??_ ;_ @_ </c:formatCode>
                <c:ptCount val="4"/>
                <c:pt idx="0">
                  <c:v>2357433.39</c:v>
                </c:pt>
                <c:pt idx="1">
                  <c:v>2161134.08</c:v>
                </c:pt>
                <c:pt idx="2">
                  <c:v>1956618.9</c:v>
                </c:pt>
                <c:pt idx="3">
                  <c:v>2037234.8199999998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346-4248-A7E9-2F8C23C8F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41310320"/>
        <c:axId val="1141312944"/>
      </c:barChart>
      <c:catAx>
        <c:axId val="114131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141312944"/>
        <c:crosses val="autoZero"/>
        <c:auto val="1"/>
        <c:lblAlgn val="ctr"/>
        <c:lblOffset val="100"/>
        <c:noMultiLvlLbl val="0"/>
      </c:catAx>
      <c:valAx>
        <c:axId val="114131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141310320"/>
        <c:crosses val="autoZero"/>
        <c:crossBetween val="between"/>
        <c:majorUnit val="200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  <a:cs typeface="Arial" panose="020B0604020202020204" pitchFamily="34" charset="0"/>
              </a:defRPr>
            </a:pPr>
            <a:r>
              <a:rPr lang="zh-CN" altLang="en-US">
                <a:solidFill>
                  <a:schemeClr val="tx1">
                    <a:lumMod val="85000"/>
                    <a:lumOff val="1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收入、费用及毛利</a:t>
            </a:r>
            <a:endParaRPr lang="zh-CN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7161198600174979"/>
          <c:y val="0.14984126984126983"/>
          <c:w val="0.76651727909011369"/>
          <c:h val="0.6921019872515935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Sheet2!$C$72</c:f>
              <c:strCache>
                <c:ptCount val="1"/>
                <c:pt idx="0">
                  <c:v>收入合计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Sheet2!$B$73:$B$85</c:f>
              <c:strCache>
                <c:ptCount val="11"/>
                <c:pt idx="1">
                  <c:v>2015</c:v>
                </c:pt>
                <c:pt idx="4">
                  <c:v>2016</c:v>
                </c:pt>
                <c:pt idx="7">
                  <c:v>2017</c:v>
                </c:pt>
                <c:pt idx="10">
                  <c:v>2018.1-9月</c:v>
                </c:pt>
              </c:strCache>
            </c:strRef>
          </c:cat>
          <c:val>
            <c:numRef>
              <c:f>Sheet2!$C$73:$C$85</c:f>
              <c:numCache>
                <c:formatCode>_ * #,##0_ ;_ * \-#,##0_ ;_ * "-"??_ ;_ @_ </c:formatCode>
                <c:ptCount val="13"/>
                <c:pt idx="1">
                  <c:v>13186294.469999999</c:v>
                </c:pt>
                <c:pt idx="4">
                  <c:v>13078613.100000001</c:v>
                </c:pt>
                <c:pt idx="7">
                  <c:v>12200283.300000001</c:v>
                </c:pt>
                <c:pt idx="10">
                  <c:v>7971429.5899999999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C-4366-A303-AE59F3958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69727856"/>
        <c:axId val="1169734416"/>
      </c:barChart>
      <c:barChart>
        <c:barDir val="col"/>
        <c:grouping val="stacked"/>
        <c:varyColors val="0"/>
        <c:ser>
          <c:idx val="1"/>
          <c:order val="1"/>
          <c:tx>
            <c:strRef>
              <c:f>Sheet2!$D$72</c:f>
              <c:strCache>
                <c:ptCount val="1"/>
                <c:pt idx="0">
                  <c:v>费用合计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Sheet2!$B$73:$B$85</c:f>
              <c:strCache>
                <c:ptCount val="11"/>
                <c:pt idx="1">
                  <c:v>2015</c:v>
                </c:pt>
                <c:pt idx="4">
                  <c:v>2016</c:v>
                </c:pt>
                <c:pt idx="7">
                  <c:v>2017</c:v>
                </c:pt>
                <c:pt idx="10">
                  <c:v>2018.1-9月</c:v>
                </c:pt>
              </c:strCache>
            </c:strRef>
          </c:cat>
          <c:val>
            <c:numRef>
              <c:f>Sheet2!$D$73:$D$85</c:f>
              <c:numCache>
                <c:formatCode>_ * #,##0_ ;_ * \-#,##0_ ;_ * "-"??_ ;_ @_ </c:formatCode>
                <c:ptCount val="13"/>
                <c:pt idx="2">
                  <c:v>8690085.0199999996</c:v>
                </c:pt>
                <c:pt idx="5">
                  <c:v>7000287.6500000004</c:v>
                </c:pt>
                <c:pt idx="8">
                  <c:v>6417409.2100000009</c:v>
                </c:pt>
                <c:pt idx="11">
                  <c:v>5042116.0399999991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1C-4366-A303-AE59F39582DE}"/>
            </c:ext>
          </c:extLst>
        </c:ser>
        <c:ser>
          <c:idx val="2"/>
          <c:order val="2"/>
          <c:tx>
            <c:strRef>
              <c:f>Sheet2!$E$72</c:f>
              <c:strCache>
                <c:ptCount val="1"/>
                <c:pt idx="0">
                  <c:v>营运毛利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Sheet2!$B$73:$B$85</c:f>
              <c:strCache>
                <c:ptCount val="11"/>
                <c:pt idx="1">
                  <c:v>2015</c:v>
                </c:pt>
                <c:pt idx="4">
                  <c:v>2016</c:v>
                </c:pt>
                <c:pt idx="7">
                  <c:v>2017</c:v>
                </c:pt>
                <c:pt idx="10">
                  <c:v>2018.1-9月</c:v>
                </c:pt>
              </c:strCache>
            </c:strRef>
          </c:cat>
          <c:val>
            <c:numRef>
              <c:f>Sheet2!$E$73:$E$85</c:f>
              <c:numCache>
                <c:formatCode>_ * #,##0_ ;_ * \-#,##0_ ;_ * "-"??_ ;_ @_ </c:formatCode>
                <c:ptCount val="13"/>
                <c:pt idx="2">
                  <c:v>4496209.4499999993</c:v>
                </c:pt>
                <c:pt idx="5">
                  <c:v>6078325.4500000011</c:v>
                </c:pt>
                <c:pt idx="8">
                  <c:v>5782874.0899999999</c:v>
                </c:pt>
                <c:pt idx="11">
                  <c:v>2929313.5500000007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1C-4366-A303-AE59F3958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69721296"/>
        <c:axId val="1169722608"/>
      </c:barChart>
      <c:catAx>
        <c:axId val="116972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169734416"/>
        <c:crosses val="autoZero"/>
        <c:auto val="1"/>
        <c:lblAlgn val="ctr"/>
        <c:lblOffset val="100"/>
        <c:noMultiLvlLbl val="0"/>
      </c:catAx>
      <c:valAx>
        <c:axId val="116973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169727856"/>
        <c:crosses val="autoZero"/>
        <c:crossBetween val="between"/>
      </c:valAx>
      <c:valAx>
        <c:axId val="116972260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69721296"/>
        <c:crosses val="max"/>
        <c:crossBetween val="between"/>
      </c:valAx>
      <c:catAx>
        <c:axId val="116972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972260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CFC3158-9AB0-414A-B03D-5487B331F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16</xdr:col>
      <xdr:colOff>466725</xdr:colOff>
      <xdr:row>53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0EA2464-70AF-4582-8124-447EE5303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27</xdr:row>
      <xdr:rowOff>200024</xdr:rowOff>
    </xdr:from>
    <xdr:to>
      <xdr:col>6</xdr:col>
      <xdr:colOff>0</xdr:colOff>
      <xdr:row>46</xdr:row>
      <xdr:rowOff>200024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989CAD5-13E6-4EB3-8637-39750D4B0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47</xdr:row>
      <xdr:rowOff>200024</xdr:rowOff>
    </xdr:from>
    <xdr:to>
      <xdr:col>6</xdr:col>
      <xdr:colOff>0</xdr:colOff>
      <xdr:row>68</xdr:row>
      <xdr:rowOff>200024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EA26BC9-3E55-4A5C-8518-BDC48E5E9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71</xdr:row>
      <xdr:rowOff>0</xdr:rowOff>
    </xdr:from>
    <xdr:to>
      <xdr:col>11</xdr:col>
      <xdr:colOff>457200</xdr:colOff>
      <xdr:row>91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644AB617-1C82-4EA0-B336-8C3506F25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1"/>
  <sheetViews>
    <sheetView view="pageBreakPreview" topLeftCell="A10" zoomScaleNormal="100" zoomScaleSheetLayoutView="100" workbookViewId="0">
      <selection activeCell="C26" activeCellId="2" sqref="C12:F12 C24:F24 C26:F26"/>
    </sheetView>
  </sheetViews>
  <sheetFormatPr defaultColWidth="9" defaultRowHeight="13.5" x14ac:dyDescent="0.15"/>
  <cols>
    <col min="1" max="1" width="6.625" customWidth="1"/>
    <col min="2" max="2" width="15.125" customWidth="1"/>
    <col min="3" max="5" width="17.125" customWidth="1"/>
    <col min="6" max="6" width="23.625" customWidth="1"/>
  </cols>
  <sheetData>
    <row r="1" spans="2:12" ht="51.95" customHeight="1" x14ac:dyDescent="0.15">
      <c r="B1" s="29" t="s">
        <v>0</v>
      </c>
      <c r="C1" s="29"/>
      <c r="D1" s="29"/>
      <c r="E1" s="29"/>
      <c r="F1" s="29"/>
    </row>
    <row r="3" spans="2:12" ht="26.1" customHeight="1" x14ac:dyDescent="0.15">
      <c r="C3">
        <v>2015.12</v>
      </c>
      <c r="D3">
        <v>2016.12</v>
      </c>
      <c r="E3">
        <v>2017.12</v>
      </c>
      <c r="F3">
        <v>2018.09</v>
      </c>
    </row>
    <row r="4" spans="2:12" ht="26.1" customHeight="1" x14ac:dyDescent="0.15">
      <c r="C4" s="1"/>
      <c r="D4" s="1"/>
      <c r="E4" s="1"/>
      <c r="F4" s="1"/>
      <c r="G4" s="1"/>
      <c r="H4" s="1"/>
      <c r="I4" s="1"/>
      <c r="J4" s="1"/>
      <c r="K4" s="1"/>
    </row>
    <row r="5" spans="2:12" ht="26.1" customHeight="1" x14ac:dyDescent="0.15">
      <c r="B5" s="2" t="s">
        <v>1</v>
      </c>
      <c r="C5" s="3">
        <v>8747667.8399999999</v>
      </c>
      <c r="D5" s="3">
        <v>8560388.0700000003</v>
      </c>
      <c r="E5" s="3">
        <v>8889548.5500000007</v>
      </c>
      <c r="F5" s="3">
        <v>6541932.4699999997</v>
      </c>
      <c r="G5" s="1"/>
      <c r="H5" s="1"/>
      <c r="I5" s="1"/>
      <c r="J5" s="1"/>
      <c r="K5" s="1"/>
    </row>
    <row r="6" spans="2:12" ht="26.1" customHeight="1" x14ac:dyDescent="0.15">
      <c r="B6" s="2" t="s">
        <v>2</v>
      </c>
      <c r="C6" s="3">
        <v>1157404.7</v>
      </c>
      <c r="D6" s="3">
        <v>435365.06</v>
      </c>
      <c r="E6" s="3">
        <v>597153.78</v>
      </c>
      <c r="F6" s="3">
        <v>249184.4</v>
      </c>
      <c r="G6" s="1"/>
      <c r="H6" s="1"/>
      <c r="I6" s="1"/>
      <c r="J6" s="1"/>
      <c r="K6" s="1"/>
    </row>
    <row r="7" spans="2:12" ht="26.1" customHeight="1" x14ac:dyDescent="0.15">
      <c r="B7" s="2" t="s">
        <v>3</v>
      </c>
      <c r="C7" s="3">
        <v>246339.5</v>
      </c>
      <c r="D7" s="3">
        <v>123943.17</v>
      </c>
      <c r="E7" s="3">
        <v>242996.23</v>
      </c>
      <c r="F7" s="3">
        <v>166098.10999999999</v>
      </c>
      <c r="G7" s="1"/>
      <c r="H7" s="1"/>
      <c r="I7" s="1"/>
      <c r="J7" s="1"/>
      <c r="K7" s="1"/>
    </row>
    <row r="8" spans="2:12" ht="26.1" customHeight="1" x14ac:dyDescent="0.15">
      <c r="B8" s="2" t="s">
        <v>4</v>
      </c>
      <c r="C8" s="3">
        <v>10179</v>
      </c>
      <c r="D8" s="3">
        <v>9559.4</v>
      </c>
      <c r="E8" s="3">
        <v>7224.05</v>
      </c>
      <c r="F8" s="3">
        <v>4305.18</v>
      </c>
      <c r="G8" s="1"/>
      <c r="H8" s="1"/>
      <c r="I8" s="1"/>
      <c r="J8" s="1"/>
      <c r="K8" s="1"/>
    </row>
    <row r="9" spans="2:12" ht="26.1" customHeight="1" x14ac:dyDescent="0.15">
      <c r="B9" s="2" t="s">
        <v>5</v>
      </c>
      <c r="C9" s="3">
        <v>2992365.43</v>
      </c>
      <c r="D9" s="3">
        <v>3926674.57</v>
      </c>
      <c r="E9" s="3">
        <v>2160316.7999999998</v>
      </c>
      <c r="F9" s="3">
        <v>903140.01</v>
      </c>
      <c r="G9" s="1"/>
      <c r="H9" s="1"/>
      <c r="I9" s="1"/>
      <c r="J9" s="1"/>
      <c r="K9" s="1"/>
    </row>
    <row r="10" spans="2:12" ht="26.1" customHeight="1" x14ac:dyDescent="0.15">
      <c r="B10" s="2" t="s">
        <v>6</v>
      </c>
      <c r="C10" s="3">
        <f>8004-3600+27934</f>
        <v>32338</v>
      </c>
      <c r="D10" s="3">
        <f>20552.83+2130</f>
        <v>22682.83</v>
      </c>
      <c r="E10" s="3">
        <f>87028.32+215874.07+141.5</f>
        <v>303043.89</v>
      </c>
      <c r="F10" s="3">
        <f>89983.56+16785.86</f>
        <v>106769.42</v>
      </c>
      <c r="G10" s="1"/>
      <c r="H10" s="1"/>
      <c r="I10" s="1"/>
      <c r="J10" s="1"/>
      <c r="K10" s="1"/>
    </row>
    <row r="11" spans="2:12" ht="26.1" customHeight="1" x14ac:dyDescent="0.15">
      <c r="C11" s="1"/>
      <c r="D11" s="1"/>
      <c r="E11" s="1"/>
      <c r="F11" s="1"/>
      <c r="G11" s="1"/>
      <c r="H11" s="1"/>
      <c r="I11" s="1"/>
      <c r="J11" s="1"/>
      <c r="K11" s="1"/>
    </row>
    <row r="12" spans="2:12" ht="26.1" customHeight="1" x14ac:dyDescent="0.15">
      <c r="B12" t="s">
        <v>7</v>
      </c>
      <c r="C12" s="1">
        <f>SUM(C4:C11)</f>
        <v>13186294.469999999</v>
      </c>
      <c r="D12" s="1">
        <f>SUM(D4:D11)</f>
        <v>13078613.100000001</v>
      </c>
      <c r="E12" s="1">
        <f>SUM(E4:E11)</f>
        <v>12200283.300000001</v>
      </c>
      <c r="F12" s="1">
        <f>SUM(F4:F11)</f>
        <v>7971429.5899999999</v>
      </c>
      <c r="G12" s="1">
        <f>SUM(G4:G11)</f>
        <v>0</v>
      </c>
      <c r="H12" s="1"/>
      <c r="I12" s="1"/>
      <c r="J12" s="1"/>
      <c r="K12" s="1"/>
    </row>
    <row r="13" spans="2:12" ht="26.1" customHeight="1" x14ac:dyDescent="0.1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ht="26.1" customHeight="1" x14ac:dyDescent="0.15">
      <c r="B14" s="3" t="s">
        <v>8</v>
      </c>
      <c r="C14" s="3">
        <v>3308028.13</v>
      </c>
      <c r="D14" s="3">
        <v>2867235.79</v>
      </c>
      <c r="E14" s="3">
        <v>2646708.4700000002</v>
      </c>
      <c r="F14" s="3">
        <v>1905876.91</v>
      </c>
      <c r="G14" s="1"/>
      <c r="H14" s="1"/>
      <c r="I14" s="1"/>
      <c r="J14" s="1"/>
      <c r="K14" s="1"/>
      <c r="L14" s="1"/>
    </row>
    <row r="15" spans="2:12" ht="26.1" customHeight="1" x14ac:dyDescent="0.15">
      <c r="B15" s="3" t="s">
        <v>9</v>
      </c>
      <c r="C15" s="3">
        <v>425664.11</v>
      </c>
      <c r="D15" s="3">
        <v>170408.21</v>
      </c>
      <c r="E15" s="3">
        <v>211972.56</v>
      </c>
      <c r="F15" s="3">
        <v>80536.899999999994</v>
      </c>
      <c r="G15" s="1"/>
      <c r="H15" s="1"/>
      <c r="I15" s="1"/>
      <c r="J15" s="1"/>
      <c r="K15" s="1"/>
      <c r="L15" s="1"/>
    </row>
    <row r="16" spans="2:12" ht="26.1" customHeight="1" x14ac:dyDescent="0.15">
      <c r="B16" s="3" t="s">
        <v>10</v>
      </c>
      <c r="C16" s="3">
        <v>2143.73</v>
      </c>
      <c r="D16" s="3">
        <v>1214.79</v>
      </c>
      <c r="E16" s="3">
        <v>404.6</v>
      </c>
      <c r="F16" s="3">
        <v>24.27</v>
      </c>
      <c r="G16" s="1"/>
      <c r="H16" s="1"/>
      <c r="I16" s="1"/>
      <c r="J16" s="1"/>
      <c r="K16" s="1"/>
      <c r="L16" s="1"/>
    </row>
    <row r="17" spans="2:12" ht="26.1" customHeight="1" x14ac:dyDescent="0.15">
      <c r="B17" s="3" t="s">
        <v>11</v>
      </c>
      <c r="C17" s="3">
        <v>914326.49</v>
      </c>
      <c r="D17" s="3">
        <v>562728.68999999994</v>
      </c>
      <c r="E17" s="3">
        <v>533616.30000000005</v>
      </c>
      <c r="F17" s="3">
        <v>370645.93</v>
      </c>
      <c r="G17" s="1"/>
      <c r="H17" s="1"/>
      <c r="I17" s="1"/>
      <c r="J17" s="1"/>
      <c r="K17" s="1"/>
      <c r="L17" s="1"/>
    </row>
    <row r="18" spans="2:12" ht="26.1" customHeight="1" x14ac:dyDescent="0.15">
      <c r="B18" s="3" t="s">
        <v>12</v>
      </c>
      <c r="C18" s="3">
        <v>692846.28</v>
      </c>
      <c r="D18" s="3">
        <v>563484.05000000005</v>
      </c>
      <c r="E18" s="3">
        <v>273949.55</v>
      </c>
      <c r="F18" s="3">
        <v>105681.4</v>
      </c>
      <c r="G18" s="1"/>
      <c r="H18" s="1"/>
      <c r="I18" s="1"/>
      <c r="J18" s="1"/>
      <c r="K18" s="1"/>
      <c r="L18" s="1"/>
    </row>
    <row r="19" spans="2:12" ht="26.1" customHeight="1" x14ac:dyDescent="0.15">
      <c r="B19" s="3" t="s">
        <v>13</v>
      </c>
      <c r="C19" s="3">
        <v>2591.21</v>
      </c>
      <c r="D19" s="3">
        <v>2195.35</v>
      </c>
      <c r="E19" s="3">
        <v>1700.56</v>
      </c>
      <c r="F19" s="3">
        <v>1018.06</v>
      </c>
      <c r="G19" s="1"/>
      <c r="H19" s="1"/>
      <c r="I19" s="1"/>
      <c r="J19" s="1"/>
      <c r="K19" s="1"/>
      <c r="L19" s="1"/>
    </row>
    <row r="20" spans="2:12" ht="26.1" customHeight="1" x14ac:dyDescent="0.15">
      <c r="B20" s="3" t="s">
        <v>14</v>
      </c>
      <c r="C20" s="3">
        <v>15317.33</v>
      </c>
      <c r="D20" s="3"/>
      <c r="E20" s="3">
        <v>1401.85</v>
      </c>
      <c r="F20" s="3"/>
      <c r="G20" s="1"/>
      <c r="H20" s="1"/>
      <c r="I20" s="1"/>
      <c r="J20" s="1"/>
      <c r="K20" s="1"/>
      <c r="L20" s="1"/>
    </row>
    <row r="21" spans="2:12" ht="26.1" customHeight="1" x14ac:dyDescent="0.15">
      <c r="B21" s="3" t="s">
        <v>15</v>
      </c>
      <c r="C21" s="3">
        <v>971734.35</v>
      </c>
      <c r="D21" s="3">
        <v>671886.69</v>
      </c>
      <c r="E21" s="3">
        <v>791036.42</v>
      </c>
      <c r="F21" s="3">
        <v>541097.75</v>
      </c>
      <c r="G21" s="1"/>
      <c r="H21" s="1"/>
      <c r="I21" s="1"/>
      <c r="J21" s="1"/>
      <c r="K21" s="1"/>
      <c r="L21" s="1"/>
    </row>
    <row r="22" spans="2:12" ht="26.1" customHeight="1" x14ac:dyDescent="0.15">
      <c r="B22" s="3" t="s">
        <v>16</v>
      </c>
      <c r="C22" s="3">
        <f>3329167.74-C21</f>
        <v>2357433.39</v>
      </c>
      <c r="D22" s="3">
        <f>2833020.77-D21</f>
        <v>2161134.08</v>
      </c>
      <c r="E22" s="3">
        <f>2747624.32-E21+31</f>
        <v>1956618.9</v>
      </c>
      <c r="F22" s="3">
        <f>2578332.57-F21</f>
        <v>2037234.8199999998</v>
      </c>
      <c r="G22" s="1"/>
      <c r="H22" s="1"/>
      <c r="I22" s="1"/>
      <c r="J22" s="1"/>
      <c r="K22" s="1"/>
      <c r="L22" s="1"/>
    </row>
    <row r="23" spans="2:12" ht="26.1" customHeight="1" x14ac:dyDescent="0.1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2:12" ht="26.1" customHeight="1" x14ac:dyDescent="0.15">
      <c r="B24" s="1" t="s">
        <v>17</v>
      </c>
      <c r="C24" s="1">
        <f>SUM(C14:C23)</f>
        <v>8690085.0199999996</v>
      </c>
      <c r="D24" s="1">
        <f>SUM(D14:D23)</f>
        <v>7000287.6500000004</v>
      </c>
      <c r="E24" s="1">
        <f>SUM(E14:E23)</f>
        <v>6417409.2100000009</v>
      </c>
      <c r="F24" s="1">
        <f>SUM(F14:F23)</f>
        <v>5042116.0399999991</v>
      </c>
      <c r="G24" s="1">
        <f>SUM(G14:G23)</f>
        <v>0</v>
      </c>
      <c r="H24" s="1"/>
      <c r="I24" s="1"/>
      <c r="J24" s="1"/>
      <c r="K24" s="1"/>
      <c r="L24" s="1"/>
    </row>
    <row r="25" spans="2:12" ht="26.1" customHeight="1" x14ac:dyDescent="0.1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 ht="26.1" customHeight="1" x14ac:dyDescent="0.15">
      <c r="B26" s="1" t="s">
        <v>18</v>
      </c>
      <c r="C26" s="1">
        <f>+C12-C24</f>
        <v>4496209.4499999993</v>
      </c>
      <c r="D26" s="1">
        <f>+D12-D24</f>
        <v>6078325.4500000011</v>
      </c>
      <c r="E26" s="1">
        <f>+E12-E24</f>
        <v>5782874.0899999999</v>
      </c>
      <c r="F26" s="1">
        <f>+F12-F24</f>
        <v>2929313.5500000007</v>
      </c>
      <c r="G26" s="1">
        <f>+G12-G24</f>
        <v>0</v>
      </c>
      <c r="H26" s="1"/>
      <c r="I26" s="1"/>
      <c r="J26" s="1"/>
      <c r="K26" s="1"/>
      <c r="L26" s="1"/>
    </row>
    <row r="27" spans="2:12" x14ac:dyDescent="0.1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2:12" x14ac:dyDescent="0.1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2:12" x14ac:dyDescent="0.1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 x14ac:dyDescent="0.1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 x14ac:dyDescent="0.15">
      <c r="E31" s="1"/>
    </row>
    <row r="32" spans="2:12" x14ac:dyDescent="0.15">
      <c r="E32" s="1"/>
    </row>
    <row r="33" spans="5:5" x14ac:dyDescent="0.15">
      <c r="E33" s="1"/>
    </row>
    <row r="34" spans="5:5" x14ac:dyDescent="0.15">
      <c r="E34" s="1"/>
    </row>
    <row r="35" spans="5:5" x14ac:dyDescent="0.15">
      <c r="E35" s="1"/>
    </row>
    <row r="36" spans="5:5" x14ac:dyDescent="0.15">
      <c r="E36" s="1"/>
    </row>
    <row r="37" spans="5:5" x14ac:dyDescent="0.15">
      <c r="E37" s="1"/>
    </row>
    <row r="38" spans="5:5" x14ac:dyDescent="0.15">
      <c r="E38" s="1"/>
    </row>
    <row r="39" spans="5:5" x14ac:dyDescent="0.15">
      <c r="E39" s="1"/>
    </row>
    <row r="40" spans="5:5" x14ac:dyDescent="0.15">
      <c r="E40" s="1"/>
    </row>
    <row r="41" spans="5:5" x14ac:dyDescent="0.15">
      <c r="E41" s="1"/>
    </row>
  </sheetData>
  <mergeCells count="1">
    <mergeCell ref="B1:F1"/>
  </mergeCells>
  <phoneticPr fontId="4" type="noConversion"/>
  <pageMargins left="0.75" right="0.75" top="1" bottom="1" header="0.51180555555555596" footer="0.51180555555555596"/>
  <pageSetup paperSize="9" scale="88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5093-76D3-43A6-B80C-1F9811423D1F}">
  <dimension ref="B1:R87"/>
  <sheetViews>
    <sheetView showGridLines="0" tabSelected="1" zoomScaleNormal="100" workbookViewId="0"/>
  </sheetViews>
  <sheetFormatPr defaultRowHeight="15.95" customHeight="1" x14ac:dyDescent="0.15"/>
  <cols>
    <col min="1" max="1" width="2.625" style="4" customWidth="1"/>
    <col min="2" max="2" width="11.375" style="4" bestFit="1" customWidth="1"/>
    <col min="3" max="3" width="15.125" style="4" bestFit="1" customWidth="1"/>
    <col min="4" max="5" width="14.125" style="4" bestFit="1" customWidth="1"/>
    <col min="6" max="10" width="11.25" style="4" bestFit="1" customWidth="1"/>
    <col min="11" max="11" width="9" style="4"/>
    <col min="12" max="12" width="10.75" style="4" customWidth="1"/>
    <col min="13" max="16" width="12.625" style="4" customWidth="1"/>
    <col min="17" max="17" width="20.625" style="4" customWidth="1"/>
    <col min="18" max="16384" width="9" style="4"/>
  </cols>
  <sheetData>
    <row r="1" spans="2:18" ht="21.75" customHeight="1" x14ac:dyDescent="0.15"/>
    <row r="2" spans="2:18" ht="15.95" customHeight="1" x14ac:dyDescent="0.15">
      <c r="B2" s="26" t="s">
        <v>46</v>
      </c>
      <c r="C2" s="19" t="s">
        <v>19</v>
      </c>
      <c r="D2" s="19">
        <v>2015</v>
      </c>
      <c r="E2" s="19">
        <v>2016</v>
      </c>
      <c r="F2" s="19">
        <v>2016</v>
      </c>
      <c r="G2" s="19">
        <v>2017</v>
      </c>
      <c r="H2" s="19">
        <v>2017</v>
      </c>
      <c r="I2" s="19" t="s">
        <v>26</v>
      </c>
      <c r="J2" s="19" t="s">
        <v>26</v>
      </c>
      <c r="R2" s="30" t="s">
        <v>51</v>
      </c>
    </row>
    <row r="3" spans="2:18" ht="15.95" customHeight="1" x14ac:dyDescent="0.15">
      <c r="B3" s="20" t="s">
        <v>29</v>
      </c>
      <c r="C3" s="21">
        <v>8747667.8399999999</v>
      </c>
      <c r="D3" s="22"/>
      <c r="E3" s="21">
        <v>8560388.0700000003</v>
      </c>
      <c r="F3" s="22"/>
      <c r="G3" s="21">
        <v>8889548.5500000007</v>
      </c>
      <c r="H3" s="22"/>
      <c r="I3" s="21">
        <v>6541932.4699999997</v>
      </c>
      <c r="J3" s="23"/>
    </row>
    <row r="4" spans="2:18" ht="15.95" customHeight="1" x14ac:dyDescent="0.15">
      <c r="B4" s="20" t="s">
        <v>30</v>
      </c>
      <c r="C4" s="21">
        <v>1157404.7</v>
      </c>
      <c r="D4" s="22"/>
      <c r="E4" s="21">
        <v>435365.06</v>
      </c>
      <c r="F4" s="22"/>
      <c r="G4" s="21">
        <v>597153.78</v>
      </c>
      <c r="H4" s="22"/>
      <c r="I4" s="21">
        <v>249184.4</v>
      </c>
      <c r="J4" s="23"/>
    </row>
    <row r="5" spans="2:18" ht="15.95" customHeight="1" x14ac:dyDescent="0.15">
      <c r="B5" s="20" t="s">
        <v>31</v>
      </c>
      <c r="C5" s="21">
        <v>246339.5</v>
      </c>
      <c r="D5" s="22"/>
      <c r="E5" s="21">
        <v>123943.17</v>
      </c>
      <c r="F5" s="22"/>
      <c r="G5" s="21">
        <v>242996.23</v>
      </c>
      <c r="H5" s="22"/>
      <c r="I5" s="21">
        <v>166098.10999999999</v>
      </c>
      <c r="J5" s="23"/>
    </row>
    <row r="6" spans="2:18" ht="15.95" customHeight="1" x14ac:dyDescent="0.15">
      <c r="B6" s="20" t="s">
        <v>32</v>
      </c>
      <c r="C6" s="21">
        <v>10179</v>
      </c>
      <c r="D6" s="22"/>
      <c r="E6" s="21">
        <v>9559.4</v>
      </c>
      <c r="F6" s="22"/>
      <c r="G6" s="21">
        <v>7224.05</v>
      </c>
      <c r="H6" s="22"/>
      <c r="I6" s="21">
        <v>4305.18</v>
      </c>
      <c r="J6" s="23"/>
    </row>
    <row r="7" spans="2:18" ht="15.95" customHeight="1" x14ac:dyDescent="0.15">
      <c r="B7" s="20" t="s">
        <v>33</v>
      </c>
      <c r="C7" s="21">
        <v>2992365.43</v>
      </c>
      <c r="D7" s="22"/>
      <c r="E7" s="21">
        <v>3926674.57</v>
      </c>
      <c r="F7" s="22"/>
      <c r="G7" s="21">
        <v>2160316.7999999998</v>
      </c>
      <c r="H7" s="22"/>
      <c r="I7" s="21">
        <v>903140.01</v>
      </c>
      <c r="J7" s="23"/>
    </row>
    <row r="8" spans="2:18" ht="15.95" customHeight="1" x14ac:dyDescent="0.15">
      <c r="B8" s="20" t="s">
        <v>34</v>
      </c>
      <c r="C8" s="21">
        <v>32338</v>
      </c>
      <c r="D8" s="22"/>
      <c r="E8" s="21">
        <v>22682.83</v>
      </c>
      <c r="F8" s="22"/>
      <c r="G8" s="21">
        <v>303043.89</v>
      </c>
      <c r="H8" s="22"/>
      <c r="I8" s="21">
        <v>106769.42</v>
      </c>
      <c r="J8" s="23"/>
    </row>
    <row r="9" spans="2:18" ht="15.95" customHeight="1" x14ac:dyDescent="0.15">
      <c r="B9" s="20" t="s">
        <v>35</v>
      </c>
      <c r="C9" s="22"/>
      <c r="D9" s="21">
        <v>3308028.13</v>
      </c>
      <c r="E9" s="22"/>
      <c r="F9" s="21">
        <v>2867235.79</v>
      </c>
      <c r="G9" s="22"/>
      <c r="H9" s="21">
        <v>2646708.4700000002</v>
      </c>
      <c r="I9" s="22"/>
      <c r="J9" s="24">
        <v>1905876.91</v>
      </c>
    </row>
    <row r="10" spans="2:18" ht="15.95" customHeight="1" x14ac:dyDescent="0.15">
      <c r="B10" s="20" t="s">
        <v>36</v>
      </c>
      <c r="C10" s="22"/>
      <c r="D10" s="21">
        <v>425664.11</v>
      </c>
      <c r="E10" s="22"/>
      <c r="F10" s="21">
        <v>170408.21</v>
      </c>
      <c r="G10" s="22"/>
      <c r="H10" s="21">
        <v>211972.56</v>
      </c>
      <c r="I10" s="22"/>
      <c r="J10" s="24">
        <v>80536.899999999994</v>
      </c>
    </row>
    <row r="11" spans="2:18" ht="15.95" customHeight="1" x14ac:dyDescent="0.15">
      <c r="B11" s="20" t="s">
        <v>37</v>
      </c>
      <c r="C11" s="22"/>
      <c r="D11" s="21">
        <v>2143.73</v>
      </c>
      <c r="E11" s="22"/>
      <c r="F11" s="21">
        <v>1214.79</v>
      </c>
      <c r="G11" s="22"/>
      <c r="H11" s="21">
        <v>404.6</v>
      </c>
      <c r="I11" s="22"/>
      <c r="J11" s="24">
        <v>24.27</v>
      </c>
    </row>
    <row r="12" spans="2:18" ht="15.95" customHeight="1" x14ac:dyDescent="0.15">
      <c r="B12" s="20" t="s">
        <v>38</v>
      </c>
      <c r="C12" s="22"/>
      <c r="D12" s="21">
        <v>914326.49</v>
      </c>
      <c r="E12" s="22"/>
      <c r="F12" s="21">
        <v>562728.68999999994</v>
      </c>
      <c r="G12" s="22"/>
      <c r="H12" s="21">
        <v>533616.30000000005</v>
      </c>
      <c r="I12" s="22"/>
      <c r="J12" s="24">
        <v>370645.93</v>
      </c>
    </row>
    <row r="13" spans="2:18" ht="15.95" customHeight="1" x14ac:dyDescent="0.15">
      <c r="B13" s="20" t="s">
        <v>39</v>
      </c>
      <c r="C13" s="22"/>
      <c r="D13" s="21">
        <v>692846.28</v>
      </c>
      <c r="E13" s="22"/>
      <c r="F13" s="21">
        <v>563484.05000000005</v>
      </c>
      <c r="G13" s="22"/>
      <c r="H13" s="21">
        <v>273949.55</v>
      </c>
      <c r="I13" s="22"/>
      <c r="J13" s="24">
        <v>105681.4</v>
      </c>
    </row>
    <row r="14" spans="2:18" ht="15.95" customHeight="1" x14ac:dyDescent="0.15">
      <c r="B14" s="20" t="s">
        <v>40</v>
      </c>
      <c r="C14" s="22"/>
      <c r="D14" s="21">
        <v>2591.21</v>
      </c>
      <c r="E14" s="22"/>
      <c r="F14" s="21">
        <v>2195.35</v>
      </c>
      <c r="G14" s="22"/>
      <c r="H14" s="21">
        <v>1700.56</v>
      </c>
      <c r="I14" s="22"/>
      <c r="J14" s="24">
        <v>1018.06</v>
      </c>
    </row>
    <row r="15" spans="2:18" ht="15.95" customHeight="1" x14ac:dyDescent="0.15">
      <c r="B15" s="20" t="s">
        <v>41</v>
      </c>
      <c r="C15" s="22"/>
      <c r="D15" s="21">
        <v>15317.33</v>
      </c>
      <c r="E15" s="22"/>
      <c r="F15" s="21"/>
      <c r="G15" s="22"/>
      <c r="H15" s="21">
        <v>1401.85</v>
      </c>
      <c r="I15" s="22"/>
      <c r="J15" s="24"/>
    </row>
    <row r="16" spans="2:18" ht="15.95" customHeight="1" x14ac:dyDescent="0.15">
      <c r="B16" s="20" t="s">
        <v>42</v>
      </c>
      <c r="C16" s="22"/>
      <c r="D16" s="21">
        <v>971734.35</v>
      </c>
      <c r="E16" s="22"/>
      <c r="F16" s="21">
        <v>671886.69</v>
      </c>
      <c r="G16" s="22"/>
      <c r="H16" s="21">
        <v>791036.42</v>
      </c>
      <c r="I16" s="22"/>
      <c r="J16" s="24">
        <v>541097.75</v>
      </c>
    </row>
    <row r="17" spans="2:16" ht="15.95" customHeight="1" x14ac:dyDescent="0.15">
      <c r="B17" s="20" t="s">
        <v>43</v>
      </c>
      <c r="C17" s="22"/>
      <c r="D17" s="21">
        <v>2357433.39</v>
      </c>
      <c r="E17" s="22"/>
      <c r="F17" s="21">
        <v>2161134.08</v>
      </c>
      <c r="G17" s="22"/>
      <c r="H17" s="21">
        <v>1956618.9</v>
      </c>
      <c r="I17" s="22"/>
      <c r="J17" s="24">
        <v>2037234.8199999998</v>
      </c>
    </row>
    <row r="18" spans="2:16" ht="15.95" customHeight="1" x14ac:dyDescent="0.15">
      <c r="B18" s="20"/>
      <c r="C18" s="22"/>
      <c r="D18" s="22"/>
      <c r="E18" s="22"/>
      <c r="F18" s="22"/>
      <c r="G18" s="22"/>
      <c r="H18" s="22"/>
      <c r="I18" s="22"/>
      <c r="J18" s="23"/>
    </row>
    <row r="19" spans="2:16" ht="15.95" customHeight="1" x14ac:dyDescent="0.15">
      <c r="B19" s="20" t="s">
        <v>44</v>
      </c>
      <c r="C19" s="25">
        <f>SUM(C3:C17)</f>
        <v>13186294.469999999</v>
      </c>
      <c r="D19" s="22"/>
      <c r="E19" s="25">
        <f>SUM(E3:E17)</f>
        <v>13078613.100000001</v>
      </c>
      <c r="F19" s="22"/>
      <c r="G19" s="25">
        <f>SUM(G3:G17)</f>
        <v>12200283.300000001</v>
      </c>
      <c r="H19" s="22"/>
      <c r="I19" s="25">
        <f>SUM(I3:I17)</f>
        <v>7971429.5899999999</v>
      </c>
      <c r="J19" s="23"/>
    </row>
    <row r="20" spans="2:16" ht="15.95" customHeight="1" x14ac:dyDescent="0.15">
      <c r="B20" s="16" t="s">
        <v>45</v>
      </c>
      <c r="C20" s="17"/>
      <c r="D20" s="17">
        <f>SUM(D3:D17)</f>
        <v>8690085.0199999996</v>
      </c>
      <c r="E20" s="17"/>
      <c r="F20" s="17">
        <f>SUM(F3:F17)</f>
        <v>7000287.6500000004</v>
      </c>
      <c r="G20" s="17"/>
      <c r="H20" s="17">
        <f>SUM(H3:H17)</f>
        <v>6417409.2100000009</v>
      </c>
      <c r="I20" s="17"/>
      <c r="J20" s="18">
        <f>SUM(J3:J17)</f>
        <v>5042116.0399999991</v>
      </c>
    </row>
    <row r="22" spans="2:16" ht="15.95" customHeight="1" x14ac:dyDescent="0.15">
      <c r="B22" s="4" t="s">
        <v>23</v>
      </c>
      <c r="C22" s="4" t="s">
        <v>24</v>
      </c>
      <c r="D22" s="5">
        <v>1.5</v>
      </c>
      <c r="E22" s="5">
        <v>3.5</v>
      </c>
      <c r="F22" s="5">
        <v>5.5</v>
      </c>
      <c r="G22" s="5">
        <v>7.5</v>
      </c>
    </row>
    <row r="23" spans="2:16" ht="15.95" customHeight="1" x14ac:dyDescent="0.15">
      <c r="C23" s="4" t="s">
        <v>25</v>
      </c>
      <c r="D23" s="15">
        <f>M28/M26</f>
        <v>0.34097596259732244</v>
      </c>
      <c r="E23" s="15">
        <f>N28/N26</f>
        <v>0.46475305932859201</v>
      </c>
      <c r="F23" s="15">
        <f>O28/O26</f>
        <v>0.47399506616375042</v>
      </c>
      <c r="G23" s="15">
        <f>P28/P26</f>
        <v>0.36747656325971523</v>
      </c>
    </row>
    <row r="25" spans="2:16" ht="15.95" customHeight="1" x14ac:dyDescent="0.15">
      <c r="B25" s="4" t="s">
        <v>28</v>
      </c>
      <c r="C25" s="4" t="s">
        <v>24</v>
      </c>
      <c r="D25" s="5">
        <v>1.5</v>
      </c>
      <c r="E25" s="5">
        <v>3.5</v>
      </c>
      <c r="F25" s="5">
        <v>5.5</v>
      </c>
      <c r="G25" s="5">
        <v>7.5</v>
      </c>
      <c r="L25" s="9" t="s">
        <v>22</v>
      </c>
      <c r="M25" s="10" t="s">
        <v>19</v>
      </c>
      <c r="N25" s="10" t="s">
        <v>20</v>
      </c>
      <c r="O25" s="10" t="s">
        <v>21</v>
      </c>
      <c r="P25" s="11" t="s">
        <v>27</v>
      </c>
    </row>
    <row r="26" spans="2:16" ht="15.95" customHeight="1" x14ac:dyDescent="0.15">
      <c r="C26" s="4" t="s">
        <v>25</v>
      </c>
      <c r="D26" s="5">
        <v>0</v>
      </c>
      <c r="E26" s="5">
        <v>0</v>
      </c>
      <c r="F26" s="5">
        <v>0</v>
      </c>
      <c r="G26" s="5">
        <v>0</v>
      </c>
      <c r="L26" s="12" t="s">
        <v>7</v>
      </c>
      <c r="M26" s="13">
        <v>13186294.469999999</v>
      </c>
      <c r="N26" s="13">
        <v>13078613.100000001</v>
      </c>
      <c r="O26" s="13">
        <v>12200283.300000001</v>
      </c>
      <c r="P26" s="14">
        <v>7971429.5899999999</v>
      </c>
    </row>
    <row r="27" spans="2:16" ht="15.95" customHeight="1" x14ac:dyDescent="0.15">
      <c r="L27" s="12" t="s">
        <v>17</v>
      </c>
      <c r="M27" s="13">
        <v>8690085.0199999996</v>
      </c>
      <c r="N27" s="13">
        <v>7000287.6500000004</v>
      </c>
      <c r="O27" s="13">
        <v>6417409.2100000009</v>
      </c>
      <c r="P27" s="14">
        <v>5042116.0399999991</v>
      </c>
    </row>
    <row r="28" spans="2:16" ht="15.95" customHeight="1" x14ac:dyDescent="0.15">
      <c r="B28" s="30" t="s">
        <v>52</v>
      </c>
      <c r="L28" s="6" t="s">
        <v>18</v>
      </c>
      <c r="M28" s="7">
        <v>4496209.4499999993</v>
      </c>
      <c r="N28" s="7">
        <v>6078325.4500000011</v>
      </c>
      <c r="O28" s="7">
        <v>5782874.0899999999</v>
      </c>
      <c r="P28" s="8">
        <v>2929313.5500000007</v>
      </c>
    </row>
    <row r="29" spans="2:16" ht="15.95" customHeight="1" x14ac:dyDescent="0.15">
      <c r="L29" s="6" t="s">
        <v>48</v>
      </c>
      <c r="M29" s="7">
        <v>814.34</v>
      </c>
      <c r="N29" s="7">
        <v>846.72</v>
      </c>
      <c r="O29" s="7">
        <v>892.38</v>
      </c>
      <c r="P29" s="8">
        <v>655.25</v>
      </c>
    </row>
    <row r="30" spans="2:16" ht="15.95" customHeight="1" x14ac:dyDescent="0.15">
      <c r="L30" s="6" t="s">
        <v>47</v>
      </c>
      <c r="M30" s="27">
        <v>0.56299999999999994</v>
      </c>
      <c r="N30" s="27">
        <v>0.6179</v>
      </c>
      <c r="O30" s="27">
        <v>0.74529999999999996</v>
      </c>
      <c r="P30" s="28">
        <v>0.65959999999999996</v>
      </c>
    </row>
    <row r="31" spans="2:16" ht="15.95" customHeight="1" x14ac:dyDescent="0.15">
      <c r="L31" s="6" t="s">
        <v>49</v>
      </c>
      <c r="M31" s="7">
        <v>286.3</v>
      </c>
      <c r="N31" s="7">
        <v>309.76</v>
      </c>
      <c r="O31" s="7">
        <v>344.27</v>
      </c>
      <c r="P31" s="8">
        <v>316.67</v>
      </c>
    </row>
    <row r="32" spans="2:16" ht="15.95" customHeight="1" x14ac:dyDescent="0.15">
      <c r="L32" s="6" t="s">
        <v>50</v>
      </c>
      <c r="M32" s="7">
        <v>508.13</v>
      </c>
      <c r="N32" s="7">
        <v>505.7</v>
      </c>
      <c r="O32" s="7">
        <v>461.73</v>
      </c>
      <c r="P32" s="8">
        <v>479.2</v>
      </c>
    </row>
    <row r="71" spans="2:5" ht="15.95" customHeight="1" x14ac:dyDescent="0.15">
      <c r="B71" s="30" t="s">
        <v>53</v>
      </c>
    </row>
    <row r="72" spans="2:5" ht="15.95" customHeight="1" x14ac:dyDescent="0.15">
      <c r="B72" s="31"/>
      <c r="C72" s="32" t="s">
        <v>44</v>
      </c>
      <c r="D72" s="32" t="s">
        <v>45</v>
      </c>
      <c r="E72" s="33" t="s">
        <v>54</v>
      </c>
    </row>
    <row r="73" spans="2:5" ht="15.95" customHeight="1" x14ac:dyDescent="0.15">
      <c r="B73" s="34"/>
      <c r="C73" s="35"/>
      <c r="D73" s="35"/>
      <c r="E73" s="36"/>
    </row>
    <row r="74" spans="2:5" ht="15.95" customHeight="1" x14ac:dyDescent="0.15">
      <c r="B74" s="34">
        <v>2015</v>
      </c>
      <c r="C74" s="37">
        <v>13186294.469999999</v>
      </c>
      <c r="D74" s="37"/>
      <c r="E74" s="38"/>
    </row>
    <row r="75" spans="2:5" ht="15.95" customHeight="1" x14ac:dyDescent="0.15">
      <c r="B75" s="34"/>
      <c r="C75" s="37"/>
      <c r="D75" s="37">
        <v>8690085.0199999996</v>
      </c>
      <c r="E75" s="38">
        <v>4496209.4499999993</v>
      </c>
    </row>
    <row r="76" spans="2:5" ht="15.95" customHeight="1" x14ac:dyDescent="0.15">
      <c r="B76" s="34"/>
      <c r="C76" s="37"/>
      <c r="D76" s="37"/>
      <c r="E76" s="38"/>
    </row>
    <row r="77" spans="2:5" ht="15.95" customHeight="1" x14ac:dyDescent="0.15">
      <c r="B77" s="34">
        <v>2016</v>
      </c>
      <c r="C77" s="37">
        <v>13078613.100000001</v>
      </c>
      <c r="D77" s="37"/>
      <c r="E77" s="38"/>
    </row>
    <row r="78" spans="2:5" ht="15.95" customHeight="1" x14ac:dyDescent="0.15">
      <c r="B78" s="34"/>
      <c r="C78" s="37"/>
      <c r="D78" s="37">
        <v>7000287.6500000004</v>
      </c>
      <c r="E78" s="38">
        <v>6078325.4500000011</v>
      </c>
    </row>
    <row r="79" spans="2:5" ht="15.95" customHeight="1" x14ac:dyDescent="0.15">
      <c r="B79" s="34"/>
      <c r="C79" s="37"/>
      <c r="D79" s="37"/>
      <c r="E79" s="38"/>
    </row>
    <row r="80" spans="2:5" ht="15.95" customHeight="1" x14ac:dyDescent="0.15">
      <c r="B80" s="34">
        <v>2017</v>
      </c>
      <c r="C80" s="37">
        <v>12200283.300000001</v>
      </c>
      <c r="D80" s="37"/>
      <c r="E80" s="38"/>
    </row>
    <row r="81" spans="2:5" ht="15.95" customHeight="1" x14ac:dyDescent="0.15">
      <c r="B81" s="34"/>
      <c r="C81" s="37"/>
      <c r="D81" s="37">
        <v>6417409.2100000009</v>
      </c>
      <c r="E81" s="38">
        <v>5782874.0899999999</v>
      </c>
    </row>
    <row r="82" spans="2:5" ht="15.95" customHeight="1" x14ac:dyDescent="0.15">
      <c r="B82" s="34"/>
      <c r="C82" s="37"/>
      <c r="D82" s="37"/>
      <c r="E82" s="38"/>
    </row>
    <row r="83" spans="2:5" ht="15.95" customHeight="1" x14ac:dyDescent="0.15">
      <c r="B83" s="34" t="s">
        <v>55</v>
      </c>
      <c r="C83" s="37">
        <v>7971429.5899999999</v>
      </c>
      <c r="D83" s="37"/>
      <c r="E83" s="38"/>
    </row>
    <row r="84" spans="2:5" ht="15.95" customHeight="1" x14ac:dyDescent="0.15">
      <c r="B84" s="34"/>
      <c r="C84" s="37"/>
      <c r="D84" s="37">
        <v>5042116.0399999991</v>
      </c>
      <c r="E84" s="38">
        <v>2929313.5500000007</v>
      </c>
    </row>
    <row r="85" spans="2:5" ht="15.95" customHeight="1" x14ac:dyDescent="0.15">
      <c r="B85" s="39"/>
      <c r="C85" s="40"/>
      <c r="D85" s="40"/>
      <c r="E85" s="41"/>
    </row>
    <row r="86" spans="2:5" ht="15.95" customHeight="1" x14ac:dyDescent="0.15">
      <c r="C86" s="5"/>
      <c r="D86" s="5"/>
      <c r="E86" s="5"/>
    </row>
    <row r="87" spans="2:5" ht="15.95" customHeight="1" x14ac:dyDescent="0.15">
      <c r="C87" s="5"/>
      <c r="D87" s="5"/>
      <c r="E87" s="5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Administrator</cp:lastModifiedBy>
  <dcterms:created xsi:type="dcterms:W3CDTF">2018-02-27T11:14:00Z</dcterms:created>
  <dcterms:modified xsi:type="dcterms:W3CDTF">2018-11-03T05:47:10Z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  <property fmtid="{D5CDD505-2E9C-101B-9397-08002B2CF9AE}" pid="3" name="WorkbookGuid">
    <vt:lpwstr>b1c53a57-c9d8-4017-9926-57affde70706</vt:lpwstr>
  </property>
</Properties>
</file>