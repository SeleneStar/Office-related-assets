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hidePivotFieldList="1"/>
  <xr:revisionPtr revIDLastSave="0" documentId="13_ncr:1_{6546FB15-285B-40B4-99E3-06EA463EC524}" xr6:coauthVersionLast="37" xr6:coauthVersionMax="37" xr10:uidLastSave="{00000000-0000-0000-0000-000000000000}"/>
  <bookViews>
    <workbookView xWindow="240" yWindow="105" windowWidth="8835" windowHeight="6825" xr2:uid="{00000000-000D-0000-FFFF-FFFF00000000}"/>
  </bookViews>
  <sheets>
    <sheet name="历史价格分析" sheetId="1" r:id="rId1"/>
    <sheet name="采购记录分析" sheetId="2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10" i="2" l="1"/>
  <c r="T14" i="2" s="1"/>
  <c r="U10" i="2"/>
  <c r="U14" i="2" s="1"/>
  <c r="V10" i="2"/>
  <c r="V14" i="2" s="1"/>
  <c r="W10" i="2"/>
  <c r="W14" i="2" s="1"/>
  <c r="X10" i="2"/>
  <c r="X14" i="2" s="1"/>
  <c r="Y10" i="2"/>
  <c r="Y14" i="2" s="1"/>
  <c r="Z10" i="2"/>
  <c r="Z14" i="2" s="1"/>
  <c r="AA10" i="2"/>
  <c r="AA14" i="2" s="1"/>
  <c r="AB10" i="2"/>
  <c r="AB14" i="2" s="1"/>
  <c r="AC10" i="2"/>
  <c r="AC14" i="2" s="1"/>
  <c r="AD10" i="2"/>
  <c r="AD14" i="2" s="1"/>
  <c r="AE10" i="2"/>
  <c r="AE14" i="2" s="1"/>
  <c r="U9" i="2"/>
  <c r="U13" i="2" s="1"/>
  <c r="V9" i="2"/>
  <c r="V13" i="2" s="1"/>
  <c r="W9" i="2"/>
  <c r="W13" i="2" s="1"/>
  <c r="X9" i="2"/>
  <c r="X13" i="2" s="1"/>
  <c r="Y9" i="2"/>
  <c r="Y13" i="2" s="1"/>
  <c r="Z9" i="2"/>
  <c r="Z13" i="2" s="1"/>
  <c r="AA9" i="2"/>
  <c r="AA13" i="2" s="1"/>
  <c r="AB9" i="2"/>
  <c r="AB13" i="2" s="1"/>
  <c r="AC9" i="2"/>
  <c r="AC13" i="2" s="1"/>
  <c r="AD9" i="2"/>
  <c r="AD13" i="2" s="1"/>
  <c r="AE9" i="2"/>
  <c r="AE13" i="2" s="1"/>
  <c r="T9" i="2"/>
  <c r="T13" i="2" s="1"/>
  <c r="L51" i="2" l="1"/>
  <c r="L50" i="2"/>
</calcChain>
</file>

<file path=xl/sharedStrings.xml><?xml version="1.0" encoding="utf-8"?>
<sst xmlns="http://schemas.openxmlformats.org/spreadsheetml/2006/main" count="480" uniqueCount="65">
  <si>
    <t>x</t>
    <phoneticPr fontId="2" type="noConversion"/>
  </si>
  <si>
    <t>y</t>
    <phoneticPr fontId="2" type="noConversion"/>
  </si>
  <si>
    <t>z</t>
    <phoneticPr fontId="2" type="noConversion"/>
  </si>
  <si>
    <t>z</t>
    <phoneticPr fontId="2" type="noConversion"/>
  </si>
  <si>
    <t>label</t>
    <phoneticPr fontId="2" type="noConversion"/>
  </si>
  <si>
    <r>
      <rPr>
        <sz val="10"/>
        <color theme="1"/>
        <rFont val="Arial Unicode MS"/>
        <family val="2"/>
        <charset val="134"/>
      </rPr>
      <t>日期</t>
    </r>
    <phoneticPr fontId="2" type="noConversion"/>
  </si>
  <si>
    <r>
      <rPr>
        <sz val="10"/>
        <color theme="1"/>
        <rFont val="Arial Unicode MS"/>
        <family val="2"/>
        <charset val="134"/>
      </rPr>
      <t>卓创市场
月均未税价</t>
    </r>
    <phoneticPr fontId="2" type="noConversion"/>
  </si>
  <si>
    <r>
      <rPr>
        <sz val="10"/>
        <color theme="1"/>
        <rFont val="Arial Unicode MS"/>
        <family val="2"/>
        <charset val="134"/>
      </rPr>
      <t>实际采购
平均未税价</t>
    </r>
    <phoneticPr fontId="2" type="noConversion"/>
  </si>
  <si>
    <r>
      <rPr>
        <sz val="10"/>
        <rFont val="微软雅黑"/>
        <family val="2"/>
        <charset val="134"/>
      </rPr>
      <t>日期</t>
    </r>
  </si>
  <si>
    <r>
      <rPr>
        <sz val="10"/>
        <rFont val="微软雅黑"/>
        <family val="2"/>
        <charset val="134"/>
      </rPr>
      <t>物料名称</t>
    </r>
  </si>
  <si>
    <r>
      <rPr>
        <sz val="10"/>
        <rFont val="微软雅黑"/>
        <family val="2"/>
        <charset val="134"/>
      </rPr>
      <t>单位</t>
    </r>
  </si>
  <si>
    <r>
      <rPr>
        <sz val="10"/>
        <rFont val="微软雅黑"/>
        <family val="2"/>
        <charset val="134"/>
      </rPr>
      <t>单价</t>
    </r>
  </si>
  <si>
    <r>
      <rPr>
        <sz val="10"/>
        <rFont val="微软雅黑"/>
        <family val="2"/>
        <charset val="134"/>
      </rPr>
      <t>实收数量</t>
    </r>
  </si>
  <si>
    <r>
      <rPr>
        <sz val="10"/>
        <rFont val="微软雅黑"/>
        <family val="2"/>
        <charset val="134"/>
      </rPr>
      <t>液氮</t>
    </r>
  </si>
  <si>
    <r>
      <rPr>
        <sz val="10"/>
        <rFont val="微软雅黑"/>
        <family val="2"/>
        <charset val="134"/>
      </rPr>
      <t>公斤</t>
    </r>
  </si>
  <si>
    <r>
      <rPr>
        <b/>
        <sz val="10"/>
        <color theme="0"/>
        <rFont val="Arial Unicode MS"/>
        <family val="2"/>
        <charset val="134"/>
      </rPr>
      <t>年</t>
    </r>
    <phoneticPr fontId="2" type="noConversion"/>
  </si>
  <si>
    <r>
      <rPr>
        <b/>
        <sz val="10"/>
        <color theme="0"/>
        <rFont val="Arial Unicode MS"/>
        <family val="2"/>
        <charset val="134"/>
      </rPr>
      <t>日期</t>
    </r>
    <phoneticPr fontId="2" type="noConversion"/>
  </si>
  <si>
    <r>
      <rPr>
        <b/>
        <sz val="10"/>
        <color theme="0"/>
        <rFont val="Arial Unicode MS"/>
        <family val="2"/>
        <charset val="134"/>
      </rPr>
      <t>日期标签</t>
    </r>
    <phoneticPr fontId="2" type="noConversion"/>
  </si>
  <si>
    <r>
      <rPr>
        <b/>
        <sz val="10"/>
        <color theme="0"/>
        <rFont val="Arial Unicode MS"/>
        <family val="2"/>
        <charset val="134"/>
      </rPr>
      <t>采购数量</t>
    </r>
    <phoneticPr fontId="2" type="noConversion"/>
  </si>
  <si>
    <r>
      <rPr>
        <b/>
        <sz val="10"/>
        <color theme="0"/>
        <rFont val="Arial Unicode MS"/>
        <family val="2"/>
        <charset val="134"/>
      </rPr>
      <t>实际采购总价</t>
    </r>
    <r>
      <rPr>
        <b/>
        <sz val="10"/>
        <color theme="0"/>
        <rFont val="Arial"/>
        <family val="2"/>
      </rPr>
      <t>(</t>
    </r>
    <r>
      <rPr>
        <b/>
        <sz val="10"/>
        <color theme="0"/>
        <rFont val="Arial Unicode MS"/>
        <family val="2"/>
        <charset val="134"/>
      </rPr>
      <t>未税</t>
    </r>
    <r>
      <rPr>
        <b/>
        <sz val="10"/>
        <color theme="0"/>
        <rFont val="Arial"/>
        <family val="2"/>
      </rPr>
      <t>)</t>
    </r>
    <phoneticPr fontId="2" type="noConversion"/>
  </si>
  <si>
    <r>
      <rPr>
        <b/>
        <sz val="10"/>
        <color theme="0"/>
        <rFont val="Arial Unicode MS"/>
        <family val="2"/>
        <charset val="134"/>
      </rPr>
      <t>卓创市场月均未税价</t>
    </r>
    <phoneticPr fontId="2" type="noConversion"/>
  </si>
  <si>
    <r>
      <rPr>
        <b/>
        <sz val="10"/>
        <color theme="0"/>
        <rFont val="Arial Unicode MS"/>
        <family val="2"/>
        <charset val="134"/>
      </rPr>
      <t>卓创市场价采购总价</t>
    </r>
    <phoneticPr fontId="2" type="noConversion"/>
  </si>
  <si>
    <r>
      <t>2017</t>
    </r>
    <r>
      <rPr>
        <sz val="10"/>
        <color theme="1"/>
        <rFont val="Arial Unicode MS"/>
        <family val="2"/>
        <charset val="134"/>
      </rPr>
      <t>年</t>
    </r>
  </si>
  <si>
    <r>
      <t>1</t>
    </r>
    <r>
      <rPr>
        <sz val="10"/>
        <color theme="1"/>
        <rFont val="Arial Unicode MS"/>
        <family val="2"/>
        <charset val="134"/>
      </rPr>
      <t>月</t>
    </r>
  </si>
  <si>
    <r>
      <t>2</t>
    </r>
    <r>
      <rPr>
        <sz val="10"/>
        <color theme="1"/>
        <rFont val="Arial Unicode MS"/>
        <family val="2"/>
        <charset val="134"/>
      </rPr>
      <t>月</t>
    </r>
  </si>
  <si>
    <r>
      <t>3</t>
    </r>
    <r>
      <rPr>
        <sz val="10"/>
        <color theme="1"/>
        <rFont val="Arial Unicode MS"/>
        <family val="2"/>
        <charset val="134"/>
      </rPr>
      <t>月</t>
    </r>
  </si>
  <si>
    <r>
      <t>4</t>
    </r>
    <r>
      <rPr>
        <sz val="10"/>
        <color theme="1"/>
        <rFont val="Arial Unicode MS"/>
        <family val="2"/>
        <charset val="134"/>
      </rPr>
      <t>月</t>
    </r>
  </si>
  <si>
    <r>
      <t>5</t>
    </r>
    <r>
      <rPr>
        <sz val="10"/>
        <color theme="1"/>
        <rFont val="Arial Unicode MS"/>
        <family val="2"/>
        <charset val="134"/>
      </rPr>
      <t>月</t>
    </r>
  </si>
  <si>
    <r>
      <t>6</t>
    </r>
    <r>
      <rPr>
        <sz val="10"/>
        <color theme="1"/>
        <rFont val="Arial Unicode MS"/>
        <family val="2"/>
        <charset val="134"/>
      </rPr>
      <t>月</t>
    </r>
  </si>
  <si>
    <r>
      <t>7</t>
    </r>
    <r>
      <rPr>
        <sz val="10"/>
        <color theme="1"/>
        <rFont val="Arial Unicode MS"/>
        <family val="2"/>
        <charset val="134"/>
      </rPr>
      <t>月</t>
    </r>
  </si>
  <si>
    <r>
      <t>8</t>
    </r>
    <r>
      <rPr>
        <sz val="10"/>
        <color theme="1"/>
        <rFont val="Arial Unicode MS"/>
        <family val="2"/>
        <charset val="134"/>
      </rPr>
      <t>月</t>
    </r>
  </si>
  <si>
    <r>
      <t>9</t>
    </r>
    <r>
      <rPr>
        <sz val="10"/>
        <color theme="1"/>
        <rFont val="Arial Unicode MS"/>
        <family val="2"/>
        <charset val="134"/>
      </rPr>
      <t>月</t>
    </r>
  </si>
  <si>
    <r>
      <t>10</t>
    </r>
    <r>
      <rPr>
        <sz val="10"/>
        <color theme="1"/>
        <rFont val="Arial Unicode MS"/>
        <family val="2"/>
        <charset val="134"/>
      </rPr>
      <t>月</t>
    </r>
  </si>
  <si>
    <r>
      <t>11</t>
    </r>
    <r>
      <rPr>
        <sz val="10"/>
        <color theme="1"/>
        <rFont val="Arial Unicode MS"/>
        <family val="2"/>
        <charset val="134"/>
      </rPr>
      <t>月</t>
    </r>
  </si>
  <si>
    <r>
      <t>12</t>
    </r>
    <r>
      <rPr>
        <sz val="10"/>
        <color theme="1"/>
        <rFont val="Arial Unicode MS"/>
        <family val="2"/>
        <charset val="134"/>
      </rPr>
      <t>月</t>
    </r>
  </si>
  <si>
    <r>
      <t>2018</t>
    </r>
    <r>
      <rPr>
        <sz val="10"/>
        <color theme="1"/>
        <rFont val="Arial Unicode MS"/>
        <family val="2"/>
        <charset val="134"/>
      </rPr>
      <t>年</t>
    </r>
  </si>
  <si>
    <r>
      <t>2017</t>
    </r>
    <r>
      <rPr>
        <sz val="10"/>
        <color theme="1"/>
        <rFont val="Arial Unicode MS"/>
        <family val="2"/>
        <charset val="134"/>
      </rPr>
      <t>年</t>
    </r>
    <r>
      <rPr>
        <sz val="10"/>
        <color theme="1"/>
        <rFont val="Arial"/>
        <family val="2"/>
      </rPr>
      <t>9</t>
    </r>
    <r>
      <rPr>
        <sz val="10"/>
        <color theme="1"/>
        <rFont val="Arial Unicode MS"/>
        <family val="2"/>
        <charset val="134"/>
      </rPr>
      <t>月至</t>
    </r>
    <r>
      <rPr>
        <sz val="10"/>
        <color theme="1"/>
        <rFont val="Arial"/>
        <family val="2"/>
      </rPr>
      <t>2018</t>
    </r>
    <r>
      <rPr>
        <sz val="10"/>
        <color theme="1"/>
        <rFont val="Arial Unicode MS"/>
        <family val="2"/>
        <charset val="134"/>
      </rPr>
      <t>年</t>
    </r>
    <r>
      <rPr>
        <sz val="10"/>
        <color theme="1"/>
        <rFont val="Arial"/>
        <family val="2"/>
      </rPr>
      <t>9</t>
    </r>
    <r>
      <rPr>
        <sz val="10"/>
        <color theme="1"/>
        <rFont val="Arial Unicode MS"/>
        <family val="2"/>
        <charset val="134"/>
      </rPr>
      <t>月的采购总金额汇总</t>
    </r>
    <phoneticPr fontId="2" type="noConversion"/>
  </si>
  <si>
    <r>
      <rPr>
        <sz val="10"/>
        <color theme="1"/>
        <rFont val="宋体"/>
        <family val="2"/>
      </rPr>
      <t>实际采购总价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未税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</si>
  <si>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宋体"/>
        <family val="2"/>
      </rPr>
      <t>卓创市场价采购总价</t>
    </r>
  </si>
  <si>
    <t>Jan</t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</si>
  <si>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</si>
  <si>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</si>
  <si>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</si>
  <si>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</si>
  <si>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</si>
  <si>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</si>
  <si>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</si>
  <si>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</si>
  <si>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</si>
  <si>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</si>
  <si>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</si>
  <si>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</si>
  <si>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  <phoneticPr fontId="2" type="noConversion"/>
  </si>
  <si>
    <t>价格同比</t>
    <phoneticPr fontId="2" type="noConversion"/>
  </si>
  <si>
    <t>2017</t>
  </si>
  <si>
    <t>2017</t>
    <phoneticPr fontId="2" type="noConversion"/>
  </si>
  <si>
    <t>2018</t>
  </si>
  <si>
    <t>2018</t>
    <phoneticPr fontId="2" type="noConversion"/>
  </si>
  <si>
    <t>两年每月份对比，观察月度趋势和年度对比</t>
    <phoneticPr fontId="2" type="noConversion"/>
  </si>
  <si>
    <t>分别对比全年变化趋势，观察其季节性。</t>
    <phoneticPr fontId="2" type="noConversion"/>
  </si>
  <si>
    <t>offset</t>
    <phoneticPr fontId="2" type="noConversion"/>
  </si>
  <si>
    <t>gaps</t>
    <phoneticPr fontId="2" type="noConversion"/>
  </si>
  <si>
    <t>gaps1</t>
    <phoneticPr fontId="2" type="noConversion"/>
  </si>
  <si>
    <t>gaps0</t>
    <phoneticPr fontId="2" type="noConversion"/>
  </si>
  <si>
    <t>Activity + gaps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</si>
</sst>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 * #,##0_ ;_ * \-#,##0_ ;_ * &quot;-&quot;??_ ;_ @_ "/>
  </numFmts>
  <fonts count="12">
    <font>
      <sz val="11"/>
      <color theme="1"/>
      <name val="宋体"/>
      <family val="2"/>
      <scheme val="minor"/>
    </font>
    <font>
      <sz val="10"/>
      <color theme="1"/>
      <name val="Arial Unicode MS"/>
      <family val="2"/>
      <charset val="134"/>
    </font>
    <font>
      <sz val="9"/>
      <name val="宋体"/>
      <family val="3"/>
      <charset val="134"/>
      <scheme val="minor"/>
    </font>
    <font>
      <sz val="10"/>
      <name val="MS Sans Serif"/>
      <family val="2"/>
    </font>
    <font>
      <sz val="10"/>
      <name val="微软雅黑"/>
      <family val="2"/>
      <charset val="134"/>
    </font>
    <font>
      <b/>
      <sz val="10"/>
      <color theme="0"/>
      <name val="Arial Unicode MS"/>
      <family val="2"/>
      <charset val="134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宋体"/>
      <family val="2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/>
      <right/>
      <top style="medium">
        <color theme="1" tint="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theme="1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1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14" fontId="8" fillId="0" borderId="1" xfId="1" applyNumberFormat="1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8" fillId="0" borderId="1" xfId="1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14" fontId="6" fillId="0" borderId="3" xfId="0" applyNumberFormat="1" applyFont="1" applyBorder="1" applyAlignment="1">
      <alignment vertical="center"/>
    </xf>
    <xf numFmtId="17" fontId="6" fillId="0" borderId="3" xfId="0" applyNumberFormat="1" applyFont="1" applyBorder="1" applyAlignment="1">
      <alignment horizontal="right" vertical="center"/>
    </xf>
    <xf numFmtId="0" fontId="6" fillId="0" borderId="3" xfId="0" applyNumberFormat="1" applyFont="1" applyBorder="1" applyAlignment="1">
      <alignment horizontal="right" vertical="center"/>
    </xf>
    <xf numFmtId="43" fontId="6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17" fontId="6" fillId="0" borderId="4" xfId="0" applyNumberFormat="1" applyFont="1" applyBorder="1" applyAlignment="1">
      <alignment horizontal="right" vertical="center"/>
    </xf>
    <xf numFmtId="0" fontId="6" fillId="0" borderId="4" xfId="0" applyNumberFormat="1" applyFont="1" applyBorder="1" applyAlignment="1">
      <alignment horizontal="right" vertical="center"/>
    </xf>
    <xf numFmtId="43" fontId="6" fillId="0" borderId="4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14" fontId="6" fillId="0" borderId="5" xfId="0" applyNumberFormat="1" applyFont="1" applyBorder="1" applyAlignment="1">
      <alignment vertical="center"/>
    </xf>
    <xf numFmtId="17" fontId="6" fillId="0" borderId="5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right" vertical="center"/>
    </xf>
    <xf numFmtId="43" fontId="6" fillId="0" borderId="5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11" fillId="2" borderId="9" xfId="0" applyFont="1" applyFill="1" applyBorder="1" applyAlignment="1">
      <alignment vertical="center"/>
    </xf>
    <xf numFmtId="0" fontId="7" fillId="2" borderId="10" xfId="0" applyNumberFormat="1" applyFont="1" applyFill="1" applyBorder="1" applyAlignment="1">
      <alignment horizontal="right" vertical="center"/>
    </xf>
    <xf numFmtId="0" fontId="7" fillId="2" borderId="11" xfId="0" applyNumberFormat="1" applyFont="1" applyFill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 applyAlignment="1">
      <alignment horizontal="right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right" vertical="center"/>
    </xf>
  </cellXfs>
  <cellStyles count="2">
    <cellStyle name="常规" xfId="0" builtinId="0"/>
    <cellStyle name="常规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\-yy"/>
      <alignment horizontal="left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C09AA415-8741-4DD7-B926-EA8623E293EB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0">
                <a:latin typeface="Arial" panose="020B0604020202020204" pitchFamily="34" charset="0"/>
                <a:ea typeface="华文中宋" panose="02010600040101010101" pitchFamily="2" charset="-122"/>
                <a:cs typeface="Arial" panose="020B0604020202020204" pitchFamily="34" charset="0"/>
              </a:defRPr>
            </a:pPr>
            <a:r>
              <a:rPr lang="en-US" altLang="zh-CN" sz="1100" b="0">
                <a:latin typeface="Arial" panose="020B0604020202020204" pitchFamily="34" charset="0"/>
                <a:ea typeface="华文中宋" panose="02010600040101010101" pitchFamily="2" charset="-122"/>
                <a:cs typeface="Arial" panose="020B0604020202020204" pitchFamily="34" charset="0"/>
              </a:rPr>
              <a:t>2018</a:t>
            </a:r>
            <a:r>
              <a:rPr lang="zh-CN" altLang="en-US" sz="1100" b="0">
                <a:latin typeface="Arial" panose="020B0604020202020204" pitchFamily="34" charset="0"/>
                <a:ea typeface="华文中宋" panose="02010600040101010101" pitchFamily="2" charset="-122"/>
                <a:cs typeface="Arial" panose="020B0604020202020204" pitchFamily="34" charset="0"/>
              </a:rPr>
              <a:t>年第二季度以来，卓创市场移动平均价快速攀升，但在</a:t>
            </a:r>
            <a:r>
              <a:rPr lang="en-US" altLang="zh-CN" sz="1100" b="0">
                <a:latin typeface="Arial" panose="020B0604020202020204" pitchFamily="34" charset="0"/>
                <a:ea typeface="华文中宋" panose="02010600040101010101" pitchFamily="2" charset="-122"/>
                <a:cs typeface="Arial" panose="020B0604020202020204" pitchFamily="34" charset="0"/>
              </a:rPr>
              <a:t>9</a:t>
            </a:r>
            <a:r>
              <a:rPr lang="zh-CN" altLang="en-US" sz="1100" b="0">
                <a:latin typeface="Arial" panose="020B0604020202020204" pitchFamily="34" charset="0"/>
                <a:ea typeface="华文中宋" panose="02010600040101010101" pitchFamily="2" charset="-122"/>
                <a:cs typeface="Arial" panose="020B0604020202020204" pitchFamily="34" charset="0"/>
              </a:rPr>
              <a:t>月份出现了剧烈下跌。</a:t>
            </a:r>
          </a:p>
        </c:rich>
      </c:tx>
      <c:layout>
        <c:manualLayout>
          <c:xMode val="edge"/>
          <c:yMode val="edge"/>
          <c:x val="2.6534391534391539E-2"/>
          <c:y val="1.656314339769628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073699120943216"/>
          <c:y val="0.16028884209281621"/>
          <c:w val="0.82696142148898066"/>
          <c:h val="0.70694713009849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历史价格分析!$C$2</c:f>
              <c:strCache>
                <c:ptCount val="1"/>
                <c:pt idx="0">
                  <c:v>卓创市场
月均未税价</c:v>
                </c:pt>
              </c:strCache>
            </c:strRef>
          </c:tx>
          <c:invertIfNegative val="0"/>
          <c:trendline>
            <c:name>卓创市场月移动平均未税价(6个月滚动)</c:name>
            <c:spPr>
              <a:ln w="19050">
                <a:solidFill>
                  <a:srgbClr val="C00000"/>
                </a:solidFill>
                <a:prstDash val="sysDash"/>
              </a:ln>
            </c:spPr>
            <c:trendlineType val="movingAvg"/>
            <c:period val="6"/>
            <c:dispRSqr val="0"/>
            <c:dispEq val="0"/>
          </c:trendline>
          <c:cat>
            <c:numRef>
              <c:f>历史价格分析!$B$3:$B$23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历史价格分析!$C$3:$C$23</c:f>
              <c:numCache>
                <c:formatCode>General</c:formatCode>
                <c:ptCount val="21"/>
                <c:pt idx="0">
                  <c:v>421</c:v>
                </c:pt>
                <c:pt idx="1">
                  <c:v>402</c:v>
                </c:pt>
                <c:pt idx="2">
                  <c:v>616</c:v>
                </c:pt>
                <c:pt idx="3">
                  <c:v>636</c:v>
                </c:pt>
                <c:pt idx="4">
                  <c:v>599</c:v>
                </c:pt>
                <c:pt idx="5">
                  <c:v>598</c:v>
                </c:pt>
                <c:pt idx="6">
                  <c:v>926</c:v>
                </c:pt>
                <c:pt idx="7">
                  <c:v>1050</c:v>
                </c:pt>
                <c:pt idx="8">
                  <c:v>618</c:v>
                </c:pt>
                <c:pt idx="9">
                  <c:v>551</c:v>
                </c:pt>
                <c:pt idx="10">
                  <c:v>680</c:v>
                </c:pt>
                <c:pt idx="11">
                  <c:v>600</c:v>
                </c:pt>
                <c:pt idx="12">
                  <c:v>556</c:v>
                </c:pt>
                <c:pt idx="13">
                  <c:v>522</c:v>
                </c:pt>
                <c:pt idx="14">
                  <c:v>592</c:v>
                </c:pt>
                <c:pt idx="15">
                  <c:v>654</c:v>
                </c:pt>
                <c:pt idx="16">
                  <c:v>687</c:v>
                </c:pt>
                <c:pt idx="17">
                  <c:v>1108</c:v>
                </c:pt>
                <c:pt idx="18">
                  <c:v>1180</c:v>
                </c:pt>
                <c:pt idx="19">
                  <c:v>1285</c:v>
                </c:pt>
                <c:pt idx="20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2-4951-922D-DE5AB59E1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44880768"/>
        <c:axId val="144882688"/>
      </c:barChart>
      <c:lineChart>
        <c:grouping val="standard"/>
        <c:varyColors val="0"/>
        <c:ser>
          <c:idx val="1"/>
          <c:order val="1"/>
          <c:tx>
            <c:strRef>
              <c:f>历史价格分析!$D$2</c:f>
              <c:strCache>
                <c:ptCount val="1"/>
                <c:pt idx="0">
                  <c:v>实际采购
平均未税价</c:v>
                </c:pt>
              </c:strCache>
            </c:strRef>
          </c:tx>
          <c:marker>
            <c:symbol val="none"/>
          </c:marker>
          <c:cat>
            <c:numRef>
              <c:f>历史价格分析!$B$3:$B$23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历史价格分析!$D$3:$D$23</c:f>
              <c:numCache>
                <c:formatCode>General</c:formatCode>
                <c:ptCount val="21"/>
                <c:pt idx="0">
                  <c:v>517</c:v>
                </c:pt>
                <c:pt idx="1">
                  <c:v>517</c:v>
                </c:pt>
                <c:pt idx="2">
                  <c:v>517</c:v>
                </c:pt>
                <c:pt idx="3">
                  <c:v>517</c:v>
                </c:pt>
                <c:pt idx="4">
                  <c:v>517</c:v>
                </c:pt>
                <c:pt idx="5">
                  <c:v>517</c:v>
                </c:pt>
                <c:pt idx="6">
                  <c:v>517</c:v>
                </c:pt>
                <c:pt idx="7">
                  <c:v>517</c:v>
                </c:pt>
                <c:pt idx="8">
                  <c:v>641</c:v>
                </c:pt>
                <c:pt idx="9">
                  <c:v>641</c:v>
                </c:pt>
                <c:pt idx="10">
                  <c:v>641</c:v>
                </c:pt>
                <c:pt idx="11">
                  <c:v>641</c:v>
                </c:pt>
                <c:pt idx="12">
                  <c:v>641</c:v>
                </c:pt>
                <c:pt idx="13">
                  <c:v>641</c:v>
                </c:pt>
                <c:pt idx="14">
                  <c:v>641</c:v>
                </c:pt>
                <c:pt idx="15">
                  <c:v>641</c:v>
                </c:pt>
                <c:pt idx="16">
                  <c:v>641</c:v>
                </c:pt>
                <c:pt idx="17">
                  <c:v>641</c:v>
                </c:pt>
                <c:pt idx="18">
                  <c:v>641</c:v>
                </c:pt>
                <c:pt idx="19">
                  <c:v>641</c:v>
                </c:pt>
                <c:pt idx="20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42-4951-922D-DE5AB59E1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97184"/>
        <c:axId val="145577088"/>
      </c:lineChart>
      <c:dateAx>
        <c:axId val="144880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44882688"/>
        <c:crosses val="autoZero"/>
        <c:auto val="1"/>
        <c:lblOffset val="100"/>
        <c:baseTimeUnit val="months"/>
      </c:dateAx>
      <c:valAx>
        <c:axId val="144882688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44880768"/>
        <c:crosses val="autoZero"/>
        <c:crossBetween val="between"/>
      </c:valAx>
      <c:valAx>
        <c:axId val="145577088"/>
        <c:scaling>
          <c:orientation val="minMax"/>
          <c:max val="140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45597184"/>
        <c:crosses val="max"/>
        <c:crossBetween val="midCat"/>
      </c:valAx>
      <c:dateAx>
        <c:axId val="145597184"/>
        <c:scaling>
          <c:orientation val="minMax"/>
        </c:scaling>
        <c:delete val="0"/>
        <c:axPos val="t"/>
        <c:numFmt formatCode="mmm\-yy" sourceLinked="1"/>
        <c:majorTickMark val="none"/>
        <c:minorTickMark val="none"/>
        <c:tickLblPos val="none"/>
        <c:spPr>
          <a:ln>
            <a:noFill/>
          </a:ln>
        </c:spPr>
        <c:crossAx val="145577088"/>
        <c:crosses val="max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9.4071721697771199E-2"/>
          <c:y val="0.16287091007734683"/>
          <c:w val="0.85925925925925928"/>
          <c:h val="0.10079346586166602"/>
        </c:manualLayout>
      </c:layout>
      <c:overlay val="0"/>
      <c:txPr>
        <a:bodyPr/>
        <a:lstStyle/>
        <a:p>
          <a:pPr>
            <a:defRPr sz="900"/>
          </a:pPr>
          <a:endParaRPr lang="zh-CN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txPr>
        <a:bodyPr/>
        <a:lstStyle/>
        <a:p>
          <a:pPr>
            <a:defRPr sz="1400" b="0"/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2506996637436935E-2"/>
          <c:y val="0.13612329450554217"/>
          <c:w val="0.81198457606941143"/>
          <c:h val="0.72672111234029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采购记录分析!$K$2</c:f>
              <c:strCache>
                <c:ptCount val="1"/>
                <c:pt idx="0">
                  <c:v>实际采购总价(未税)</c:v>
                </c:pt>
              </c:strCache>
            </c:strRef>
          </c:tx>
          <c:invertIfNegative val="0"/>
          <c:cat>
            <c:numRef>
              <c:f>采购记录分析!$I$3:$I$23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采购记录分析!$K$3:$K$23</c:f>
              <c:numCache>
                <c:formatCode>_(* #,##0.00_);_(* \(#,##0.00\);_(* "-"??_);_(@_)</c:formatCode>
                <c:ptCount val="21"/>
                <c:pt idx="0">
                  <c:v>182081.7691</c:v>
                </c:pt>
                <c:pt idx="1">
                  <c:v>62900.044000000002</c:v>
                </c:pt>
                <c:pt idx="2">
                  <c:v>204694.03500000003</c:v>
                </c:pt>
                <c:pt idx="3">
                  <c:v>222825.83624</c:v>
                </c:pt>
                <c:pt idx="4">
                  <c:v>408926.80487970007</c:v>
                </c:pt>
                <c:pt idx="5">
                  <c:v>237559.8768</c:v>
                </c:pt>
                <c:pt idx="6">
                  <c:v>330116.84684000001</c:v>
                </c:pt>
                <c:pt idx="7">
                  <c:v>378091.10960000003</c:v>
                </c:pt>
                <c:pt idx="8">
                  <c:v>523930.89100000006</c:v>
                </c:pt>
                <c:pt idx="9">
                  <c:v>335770.01199999999</c:v>
                </c:pt>
                <c:pt idx="10">
                  <c:v>970182.59458399995</c:v>
                </c:pt>
                <c:pt idx="11">
                  <c:v>412628.4362</c:v>
                </c:pt>
                <c:pt idx="12">
                  <c:v>653282.75844399992</c:v>
                </c:pt>
                <c:pt idx="13">
                  <c:v>305928.37644799997</c:v>
                </c:pt>
                <c:pt idx="14">
                  <c:v>597354.18067200005</c:v>
                </c:pt>
                <c:pt idx="15">
                  <c:v>409551.69931</c:v>
                </c:pt>
                <c:pt idx="16">
                  <c:v>31752.168720000001</c:v>
                </c:pt>
                <c:pt idx="17">
                  <c:v>320380.5293696</c:v>
                </c:pt>
                <c:pt idx="18">
                  <c:v>366959.01585240004</c:v>
                </c:pt>
                <c:pt idx="19">
                  <c:v>84019.09839839999</c:v>
                </c:pt>
                <c:pt idx="20">
                  <c:v>413445.77587800001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4-439C-93D5-9F6180711BF4}"/>
            </c:ext>
          </c:extLst>
        </c:ser>
        <c:ser>
          <c:idx val="1"/>
          <c:order val="1"/>
          <c:tx>
            <c:strRef>
              <c:f>采购记录分析!$M$2</c:f>
              <c:strCache>
                <c:ptCount val="1"/>
                <c:pt idx="0">
                  <c:v>卓创市场价采购总价</c:v>
                </c:pt>
              </c:strCache>
            </c:strRef>
          </c:tx>
          <c:invertIfNegative val="0"/>
          <c:cat>
            <c:numRef>
              <c:f>采购记录分析!$I$3:$I$23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采购记录分析!$M$3:$M$23</c:f>
              <c:numCache>
                <c:formatCode>_(* #,##0.00_);_(* \(#,##0.00\);_(* "-"??_);_(@_)</c:formatCode>
                <c:ptCount val="21"/>
                <c:pt idx="0">
                  <c:v>211775.62999999998</c:v>
                </c:pt>
                <c:pt idx="1">
                  <c:v>122248.2</c:v>
                </c:pt>
                <c:pt idx="2">
                  <c:v>348347.99999999994</c:v>
                </c:pt>
                <c:pt idx="3">
                  <c:v>342576.94799999997</c:v>
                </c:pt>
                <c:pt idx="4">
                  <c:v>473699.38300000003</c:v>
                </c:pt>
                <c:pt idx="5">
                  <c:v>343407.48</c:v>
                </c:pt>
                <c:pt idx="6">
                  <c:v>537417.06400000001</c:v>
                </c:pt>
                <c:pt idx="7">
                  <c:v>767734.8</c:v>
                </c:pt>
                <c:pt idx="8">
                  <c:v>569239.80000000005</c:v>
                </c:pt>
                <c:pt idx="9">
                  <c:v>377435</c:v>
                </c:pt>
                <c:pt idx="10">
                  <c:v>735120.8</c:v>
                </c:pt>
                <c:pt idx="11">
                  <c:v>386220</c:v>
                </c:pt>
                <c:pt idx="12">
                  <c:v>435870.64000000007</c:v>
                </c:pt>
                <c:pt idx="13">
                  <c:v>311404.32</c:v>
                </c:pt>
                <c:pt idx="14">
                  <c:v>459723.52000000008</c:v>
                </c:pt>
                <c:pt idx="15">
                  <c:v>417480.9</c:v>
                </c:pt>
                <c:pt idx="16">
                  <c:v>112461.90000000001</c:v>
                </c:pt>
                <c:pt idx="17">
                  <c:v>612365.00800000003</c:v>
                </c:pt>
                <c:pt idx="18">
                  <c:v>750543.72</c:v>
                </c:pt>
                <c:pt idx="19">
                  <c:v>421058.52000000008</c:v>
                </c:pt>
                <c:pt idx="20">
                  <c:v>493758.07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4-439C-93D5-9F618071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6378112"/>
        <c:axId val="146453632"/>
      </c:barChart>
      <c:dateAx>
        <c:axId val="146378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46453632"/>
        <c:crosses val="autoZero"/>
        <c:auto val="1"/>
        <c:lblOffset val="100"/>
        <c:baseTimeUnit val="months"/>
      </c:dateAx>
      <c:valAx>
        <c:axId val="146453632"/>
        <c:scaling>
          <c:orientation val="minMax"/>
          <c:max val="1000000"/>
        </c:scaling>
        <c:delete val="0"/>
        <c:axPos val="r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zh-CN"/>
          </a:p>
        </c:txPr>
        <c:crossAx val="146378112"/>
        <c:crosses val="max"/>
        <c:crossBetween val="between"/>
        <c:majorUnit val="200000"/>
      </c:valAx>
    </c:plotArea>
    <c:legend>
      <c:legendPos val="l"/>
      <c:layout>
        <c:manualLayout>
          <c:xMode val="edge"/>
          <c:yMode val="edge"/>
          <c:x val="4.0260501669346971E-2"/>
          <c:y val="0.14114053925077552"/>
          <c:w val="0.25591469472880196"/>
          <c:h val="0.10614867356456476"/>
        </c:manualLayout>
      </c:layout>
      <c:overlay val="0"/>
      <c:txPr>
        <a:bodyPr/>
        <a:lstStyle/>
        <a:p>
          <a:pPr>
            <a:defRPr sz="900"/>
          </a:pPr>
          <a:endParaRPr lang="zh-CN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Arial Unicode MS" panose="020B0604020202020204" pitchFamily="34" charset="-122"/>
          <a:ea typeface="Arial Unicode MS" panose="020B0604020202020204" pitchFamily="34" charset="-122"/>
          <a:cs typeface="Arial Unicode MS" panose="020B0604020202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txPr>
        <a:bodyPr/>
        <a:lstStyle/>
        <a:p>
          <a:pPr>
            <a:defRPr sz="1400" b="0"/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2506996637436935E-2"/>
          <c:y val="0.13612329450554217"/>
          <c:w val="0.81198457606941143"/>
          <c:h val="0.72672111234029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采购记录分析!$K$2</c:f>
              <c:strCache>
                <c:ptCount val="1"/>
                <c:pt idx="0">
                  <c:v>实际采购总价(未税)</c:v>
                </c:pt>
              </c:strCache>
            </c:strRef>
          </c:tx>
          <c:invertIfNegative val="0"/>
          <c:cat>
            <c:numRef>
              <c:f>采购记录分析!$I$3:$I$23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采购记录分析!$K$3:$K$23</c:f>
              <c:numCache>
                <c:formatCode>_(* #,##0.00_);_(* \(#,##0.00\);_(* "-"??_);_(@_)</c:formatCode>
                <c:ptCount val="21"/>
                <c:pt idx="0">
                  <c:v>182081.7691</c:v>
                </c:pt>
                <c:pt idx="1">
                  <c:v>62900.044000000002</c:v>
                </c:pt>
                <c:pt idx="2">
                  <c:v>204694.03500000003</c:v>
                </c:pt>
                <c:pt idx="3">
                  <c:v>222825.83624</c:v>
                </c:pt>
                <c:pt idx="4">
                  <c:v>408926.80487970007</c:v>
                </c:pt>
                <c:pt idx="5">
                  <c:v>237559.8768</c:v>
                </c:pt>
                <c:pt idx="6">
                  <c:v>330116.84684000001</c:v>
                </c:pt>
                <c:pt idx="7">
                  <c:v>378091.10960000003</c:v>
                </c:pt>
                <c:pt idx="8">
                  <c:v>523930.89100000006</c:v>
                </c:pt>
                <c:pt idx="9">
                  <c:v>335770.01199999999</c:v>
                </c:pt>
                <c:pt idx="10">
                  <c:v>970182.59458399995</c:v>
                </c:pt>
                <c:pt idx="11">
                  <c:v>412628.4362</c:v>
                </c:pt>
                <c:pt idx="12">
                  <c:v>653282.75844399992</c:v>
                </c:pt>
                <c:pt idx="13">
                  <c:v>305928.37644799997</c:v>
                </c:pt>
                <c:pt idx="14">
                  <c:v>597354.18067200005</c:v>
                </c:pt>
                <c:pt idx="15">
                  <c:v>409551.69931</c:v>
                </c:pt>
                <c:pt idx="16">
                  <c:v>31752.168720000001</c:v>
                </c:pt>
                <c:pt idx="17">
                  <c:v>320380.5293696</c:v>
                </c:pt>
                <c:pt idx="18">
                  <c:v>366959.01585240004</c:v>
                </c:pt>
                <c:pt idx="19">
                  <c:v>84019.09839839999</c:v>
                </c:pt>
                <c:pt idx="20">
                  <c:v>413445.77587800001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5-43CF-A5F8-A5B291A7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7011840"/>
        <c:axId val="147027072"/>
      </c:barChart>
      <c:barChart>
        <c:barDir val="col"/>
        <c:grouping val="clustered"/>
        <c:varyColors val="0"/>
        <c:ser>
          <c:idx val="1"/>
          <c:order val="1"/>
          <c:tx>
            <c:strRef>
              <c:f>采购记录分析!$M$2</c:f>
              <c:strCache>
                <c:ptCount val="1"/>
                <c:pt idx="0">
                  <c:v>卓创市场价采购总价</c:v>
                </c:pt>
              </c:strCache>
            </c:strRef>
          </c:tx>
          <c:spPr>
            <a:noFill/>
            <a:ln w="25400">
              <a:solidFill>
                <a:schemeClr val="accent2"/>
              </a:solidFill>
            </a:ln>
          </c:spPr>
          <c:invertIfNegative val="0"/>
          <c:cat>
            <c:numRef>
              <c:f>采购记录分析!$I$3:$I$23</c:f>
              <c:numCache>
                <c:formatCode>mmm\-yy</c:formatCode>
                <c:ptCount val="21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</c:numCache>
            </c:numRef>
          </c:cat>
          <c:val>
            <c:numRef>
              <c:f>采购记录分析!$M$3:$M$23</c:f>
              <c:numCache>
                <c:formatCode>_(* #,##0.00_);_(* \(#,##0.00\);_(* "-"??_);_(@_)</c:formatCode>
                <c:ptCount val="21"/>
                <c:pt idx="0">
                  <c:v>211775.62999999998</c:v>
                </c:pt>
                <c:pt idx="1">
                  <c:v>122248.2</c:v>
                </c:pt>
                <c:pt idx="2">
                  <c:v>348347.99999999994</c:v>
                </c:pt>
                <c:pt idx="3">
                  <c:v>342576.94799999997</c:v>
                </c:pt>
                <c:pt idx="4">
                  <c:v>473699.38300000003</c:v>
                </c:pt>
                <c:pt idx="5">
                  <c:v>343407.48</c:v>
                </c:pt>
                <c:pt idx="6">
                  <c:v>537417.06400000001</c:v>
                </c:pt>
                <c:pt idx="7">
                  <c:v>767734.8</c:v>
                </c:pt>
                <c:pt idx="8">
                  <c:v>569239.80000000005</c:v>
                </c:pt>
                <c:pt idx="9">
                  <c:v>377435</c:v>
                </c:pt>
                <c:pt idx="10">
                  <c:v>735120.8</c:v>
                </c:pt>
                <c:pt idx="11">
                  <c:v>386220</c:v>
                </c:pt>
                <c:pt idx="12">
                  <c:v>435870.64000000007</c:v>
                </c:pt>
                <c:pt idx="13">
                  <c:v>311404.32</c:v>
                </c:pt>
                <c:pt idx="14">
                  <c:v>459723.52000000008</c:v>
                </c:pt>
                <c:pt idx="15">
                  <c:v>417480.9</c:v>
                </c:pt>
                <c:pt idx="16">
                  <c:v>112461.90000000001</c:v>
                </c:pt>
                <c:pt idx="17">
                  <c:v>612365.00800000003</c:v>
                </c:pt>
                <c:pt idx="18">
                  <c:v>750543.72</c:v>
                </c:pt>
                <c:pt idx="19">
                  <c:v>421058.52000000008</c:v>
                </c:pt>
                <c:pt idx="20">
                  <c:v>493758.07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5-43CF-A5F8-A5B291A7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47055360"/>
        <c:axId val="147028608"/>
      </c:barChart>
      <c:dateAx>
        <c:axId val="147011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47027072"/>
        <c:crosses val="autoZero"/>
        <c:auto val="1"/>
        <c:lblOffset val="100"/>
        <c:baseTimeUnit val="months"/>
      </c:dateAx>
      <c:valAx>
        <c:axId val="147027072"/>
        <c:scaling>
          <c:orientation val="minMax"/>
          <c:max val="1000000"/>
        </c:scaling>
        <c:delete val="0"/>
        <c:axPos val="r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zh-CN"/>
          </a:p>
        </c:txPr>
        <c:crossAx val="147011840"/>
        <c:crosses val="max"/>
        <c:crossBetween val="between"/>
        <c:majorUnit val="200000"/>
      </c:valAx>
      <c:valAx>
        <c:axId val="147028608"/>
        <c:scaling>
          <c:orientation val="minMax"/>
          <c:max val="1000000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ln>
            <a:noFill/>
          </a:ln>
        </c:spPr>
        <c:crossAx val="147055360"/>
        <c:crosses val="autoZero"/>
        <c:crossBetween val="between"/>
      </c:valAx>
      <c:dateAx>
        <c:axId val="1470553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7028608"/>
        <c:crosses val="autoZero"/>
        <c:auto val="1"/>
        <c:lblOffset val="100"/>
        <c:baseTimeUnit val="months"/>
      </c:dateAx>
    </c:plotArea>
    <c:legend>
      <c:legendPos val="l"/>
      <c:layout>
        <c:manualLayout>
          <c:xMode val="edge"/>
          <c:yMode val="edge"/>
          <c:x val="4.0260501669346971E-2"/>
          <c:y val="0.14114053925077552"/>
          <c:w val="0.25591469472880196"/>
          <c:h val="0.10614867356456476"/>
        </c:manualLayout>
      </c:layout>
      <c:overlay val="0"/>
      <c:txPr>
        <a:bodyPr/>
        <a:lstStyle/>
        <a:p>
          <a:pPr>
            <a:defRPr sz="900"/>
          </a:pPr>
          <a:endParaRPr lang="zh-CN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Arial Unicode MS" panose="020B0604020202020204" pitchFamily="34" charset="-122"/>
          <a:ea typeface="Arial Unicode MS" panose="020B0604020202020204" pitchFamily="34" charset="-122"/>
          <a:cs typeface="Arial Unicode MS" panose="020B0604020202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采购记录分析!$K$48</c:f>
          <c:strCache>
            <c:ptCount val="1"/>
            <c:pt idx="0">
              <c:v>2017年9月至2018年9月的采购总金额汇总</c:v>
            </c:pt>
          </c:strCache>
        </c:strRef>
      </c:tx>
      <c:overlay val="1"/>
      <c:txPr>
        <a:bodyPr/>
        <a:lstStyle/>
        <a:p>
          <a:pPr>
            <a:defRPr sz="1400" b="0"/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175853018372702E-2"/>
          <c:y val="0.12361111111111112"/>
          <c:w val="0.86496303587051615"/>
          <c:h val="0.75126567512394282"/>
        </c:manualLayout>
      </c:layout>
      <c:bubbleChart>
        <c:varyColors val="0"/>
        <c:ser>
          <c:idx val="0"/>
          <c:order val="0"/>
          <c:tx>
            <c:strRef>
              <c:f>采购记录分析!$K$48</c:f>
              <c:strCache>
                <c:ptCount val="1"/>
                <c:pt idx="0">
                  <c:v>2017年9月至2018年9月的采购总金额汇总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采购记录分析!$I$50:$I$51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采购记录分析!$J$50:$J$51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bubbleSize>
            <c:numRef>
              <c:f>采购记录分析!$L$50:$L$51</c:f>
              <c:numCache>
                <c:formatCode>_ * #,##0_ ;_ * \-#,##0_ ;_ * "-"??_ ;_ @_ </c:formatCode>
                <c:ptCount val="2"/>
                <c:pt idx="0">
                  <c:v>5425185.5368764</c:v>
                </c:pt>
                <c:pt idx="1">
                  <c:v>6082682.1980000008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E04-4229-90BB-53B88B2A79C3}"/>
            </c:ext>
          </c:extLst>
        </c:ser>
        <c:ser>
          <c:idx val="1"/>
          <c:order val="1"/>
          <c:tx>
            <c:strRef>
              <c:f>采购记录分析!$L$53</c:f>
              <c:strCache>
                <c:ptCount val="1"/>
                <c:pt idx="0">
                  <c:v>label</c:v>
                </c:pt>
              </c:strCache>
            </c:strRef>
          </c:tx>
          <c:spPr>
            <a:ln w="25400">
              <a:noFill/>
            </a:ln>
          </c:spPr>
          <c:invertIfNegative val="0"/>
          <c:dLbls>
            <c:dLbl>
              <c:idx val="0"/>
              <c:tx>
                <c:strRef>
                  <c:f>采购记录分析!$L$54</c:f>
                  <c:strCache>
                    <c:ptCount val="1"/>
                    <c:pt idx="0">
                      <c:v>实际采购总价(未税)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00" b="0" i="0" u="none" strike="noStrike">
                      <a:latin typeface="宋体"/>
                    </a:defRPr>
                  </a:pPr>
                  <a:endParaRPr lang="zh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{28396E59-E720-4C88-9A90-C6A9B347B019}</c15:txfldGUID>
                      <c15:f>采购记录分析!$L$54</c15:f>
                      <c15:dlblFieldTableCache>
                        <c:ptCount val="1"/>
                        <c:pt idx="0">
                          <c:v>实际采购总价(未税)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E04-4229-90BB-53B88B2A79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1000" b="0" i="0" u="none" strike="noStrike">
                        <a:latin typeface="宋体"/>
                      </a:defRPr>
                    </a:pPr>
                    <a:r>
                      <a:rPr lang="zh-CN" altLang="en-US" sz="1000"/>
                      <a:t>卓创市场价</a:t>
                    </a:r>
                    <a:endParaRPr lang="zh-CN" altLang="en-US" sz="1050"/>
                  </a:p>
                  <a:p>
                    <a:pPr>
                      <a:defRPr sz="1000" b="0" i="0" u="none" strike="noStrike">
                        <a:latin typeface="宋体"/>
                      </a:defRPr>
                    </a:pPr>
                    <a:r>
                      <a:rPr lang="zh-CN" altLang="en-US" sz="1000"/>
                      <a:t>采购总价</a:t>
                    </a:r>
                    <a:endParaRPr lang="zh-CN" altLang="en-US"/>
                  </a:p>
                </c:rich>
              </c:tx>
              <c:spPr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04-4229-90BB-53B88B2A79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采购记录分析!$I$54:$I$55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采购记录分析!$J$54:$J$55</c:f>
              <c:numCache>
                <c:formatCode>General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yVal>
          <c:bubbleSize>
            <c:numRef>
              <c:f>采购记录分析!$K$54:$K$55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0E04-4229-90BB-53B88B2A7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0"/>
        <c:showNegBubbles val="0"/>
        <c:axId val="147205504"/>
        <c:axId val="147231872"/>
      </c:bubbleChart>
      <c:valAx>
        <c:axId val="147205504"/>
        <c:scaling>
          <c:orientation val="minMax"/>
          <c:min val="0.5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47231872"/>
        <c:crosses val="autoZero"/>
        <c:crossBetween val="midCat"/>
      </c:valAx>
      <c:valAx>
        <c:axId val="147231872"/>
        <c:scaling>
          <c:orientation val="minMax"/>
          <c:max val="1.5"/>
          <c:min val="0.5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47205504"/>
        <c:crosses val="autoZero"/>
        <c:crossBetween val="midCat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atin typeface="Arial Unicode MS" panose="020B0604020202020204" pitchFamily="34" charset="-122"/>
          <a:ea typeface="Arial Unicode MS" panose="020B0604020202020204" pitchFamily="34" charset="-122"/>
          <a:cs typeface="Arial Unicode MS" panose="020B0604020202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70141232345956"/>
          <c:y val="0.14046639231824418"/>
          <c:w val="0.86219805857601128"/>
          <c:h val="0.7684546839052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采购记录分析!$P$2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采购记录分析!$O$3:$O$14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采购记录分析!$P$3:$P$14</c:f>
              <c:numCache>
                <c:formatCode>General</c:formatCode>
                <c:ptCount val="12"/>
                <c:pt idx="0">
                  <c:v>421</c:v>
                </c:pt>
                <c:pt idx="1">
                  <c:v>402</c:v>
                </c:pt>
                <c:pt idx="2">
                  <c:v>616</c:v>
                </c:pt>
                <c:pt idx="3">
                  <c:v>636</c:v>
                </c:pt>
                <c:pt idx="4">
                  <c:v>599</c:v>
                </c:pt>
                <c:pt idx="5">
                  <c:v>598</c:v>
                </c:pt>
                <c:pt idx="6">
                  <c:v>926</c:v>
                </c:pt>
                <c:pt idx="7">
                  <c:v>1050</c:v>
                </c:pt>
                <c:pt idx="8">
                  <c:v>618</c:v>
                </c:pt>
                <c:pt idx="9">
                  <c:v>551</c:v>
                </c:pt>
                <c:pt idx="10">
                  <c:v>680</c:v>
                </c:pt>
                <c:pt idx="1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D-4D5D-BA5C-04A5A503DCA2}"/>
            </c:ext>
          </c:extLst>
        </c:ser>
        <c:ser>
          <c:idx val="1"/>
          <c:order val="1"/>
          <c:tx>
            <c:strRef>
              <c:f>采购记录分析!$Q$2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采购记录分析!$O$3:$O$14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采购记录分析!$Q$3:$Q$14</c:f>
              <c:numCache>
                <c:formatCode>General</c:formatCode>
                <c:ptCount val="12"/>
                <c:pt idx="0">
                  <c:v>556</c:v>
                </c:pt>
                <c:pt idx="1">
                  <c:v>522</c:v>
                </c:pt>
                <c:pt idx="2">
                  <c:v>592</c:v>
                </c:pt>
                <c:pt idx="3">
                  <c:v>654</c:v>
                </c:pt>
                <c:pt idx="4">
                  <c:v>687</c:v>
                </c:pt>
                <c:pt idx="5">
                  <c:v>1108</c:v>
                </c:pt>
                <c:pt idx="6">
                  <c:v>1180</c:v>
                </c:pt>
                <c:pt idx="7">
                  <c:v>1285</c:v>
                </c:pt>
                <c:pt idx="8">
                  <c:v>689</c:v>
                </c:pt>
                <c:pt idx="9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D-4D5D-BA5C-04A5A503D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89237072"/>
        <c:axId val="985101040"/>
      </c:barChart>
      <c:catAx>
        <c:axId val="8892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101040"/>
        <c:crosses val="autoZero"/>
        <c:auto val="1"/>
        <c:lblAlgn val="ctr"/>
        <c:lblOffset val="100"/>
        <c:noMultiLvlLbl val="0"/>
      </c:catAx>
      <c:valAx>
        <c:axId val="9851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92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074761488147315"/>
          <c:y val="0.14595336076817558"/>
          <c:w val="0.20836791234429031"/>
          <c:h val="5.149237543654151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928342290547014"/>
          <c:y val="0.14046639231824418"/>
          <c:w val="0.82780652418447709"/>
          <c:h val="0.7684546839052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采购记录分析!$O$3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采购记录分析!$P$3:$Q$3</c:f>
              <c:numCache>
                <c:formatCode>General</c:formatCode>
                <c:ptCount val="2"/>
                <c:pt idx="0">
                  <c:v>421</c:v>
                </c:pt>
                <c:pt idx="1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2-4C33-82BA-9AA9B4926F0E}"/>
            </c:ext>
          </c:extLst>
        </c:ser>
        <c:ser>
          <c:idx val="1"/>
          <c:order val="1"/>
          <c:tx>
            <c:strRef>
              <c:f>采购记录分析!$O$4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采购记录分析!$P$4:$Q$4</c:f>
              <c:numCache>
                <c:formatCode>General</c:formatCode>
                <c:ptCount val="2"/>
                <c:pt idx="0">
                  <c:v>402</c:v>
                </c:pt>
                <c:pt idx="1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2-4C33-82BA-9AA9B4926F0E}"/>
            </c:ext>
          </c:extLst>
        </c:ser>
        <c:ser>
          <c:idx val="2"/>
          <c:order val="2"/>
          <c:tx>
            <c:strRef>
              <c:f>采购记录分析!$O$5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采购记录分析!$P$5:$Q$5</c:f>
              <c:numCache>
                <c:formatCode>General</c:formatCode>
                <c:ptCount val="2"/>
                <c:pt idx="0">
                  <c:v>616</c:v>
                </c:pt>
                <c:pt idx="1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2-4C33-82BA-9AA9B4926F0E}"/>
            </c:ext>
          </c:extLst>
        </c:ser>
        <c:ser>
          <c:idx val="3"/>
          <c:order val="3"/>
          <c:tx>
            <c:strRef>
              <c:f>采购记录分析!$O$6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采购记录分析!$P$6:$Q$6</c:f>
              <c:numCache>
                <c:formatCode>General</c:formatCode>
                <c:ptCount val="2"/>
                <c:pt idx="0">
                  <c:v>636</c:v>
                </c:pt>
                <c:pt idx="1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2-4C33-82BA-9AA9B4926F0E}"/>
            </c:ext>
          </c:extLst>
        </c:ser>
        <c:ser>
          <c:idx val="4"/>
          <c:order val="4"/>
          <c:tx>
            <c:strRef>
              <c:f>采购记录分析!$O$7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采购记录分析!$P$7:$Q$7</c:f>
              <c:numCache>
                <c:formatCode>General</c:formatCode>
                <c:ptCount val="2"/>
                <c:pt idx="0">
                  <c:v>599</c:v>
                </c:pt>
                <c:pt idx="1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2-4C33-82BA-9AA9B4926F0E}"/>
            </c:ext>
          </c:extLst>
        </c:ser>
        <c:ser>
          <c:idx val="5"/>
          <c:order val="5"/>
          <c:tx>
            <c:strRef>
              <c:f>采购记录分析!$O$8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采购记录分析!$P$8:$Q$8</c:f>
              <c:numCache>
                <c:formatCode>General</c:formatCode>
                <c:ptCount val="2"/>
                <c:pt idx="0">
                  <c:v>598</c:v>
                </c:pt>
                <c:pt idx="1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42-4C33-82BA-9AA9B4926F0E}"/>
            </c:ext>
          </c:extLst>
        </c:ser>
        <c:ser>
          <c:idx val="6"/>
          <c:order val="6"/>
          <c:tx>
            <c:strRef>
              <c:f>采购记录分析!$O$9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采购记录分析!$P$9:$Q$9</c:f>
              <c:numCache>
                <c:formatCode>General</c:formatCode>
                <c:ptCount val="2"/>
                <c:pt idx="0">
                  <c:v>926</c:v>
                </c:pt>
                <c:pt idx="1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42-4C33-82BA-9AA9B4926F0E}"/>
            </c:ext>
          </c:extLst>
        </c:ser>
        <c:ser>
          <c:idx val="7"/>
          <c:order val="7"/>
          <c:tx>
            <c:strRef>
              <c:f>采购记录分析!$O$10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采购记录分析!$P$10:$Q$10</c:f>
              <c:numCache>
                <c:formatCode>General</c:formatCode>
                <c:ptCount val="2"/>
                <c:pt idx="0">
                  <c:v>1050</c:v>
                </c:pt>
                <c:pt idx="1">
                  <c:v>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42-4C33-82BA-9AA9B4926F0E}"/>
            </c:ext>
          </c:extLst>
        </c:ser>
        <c:ser>
          <c:idx val="8"/>
          <c:order val="8"/>
          <c:tx>
            <c:strRef>
              <c:f>采购记录分析!$O$11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采购记录分析!$P$11:$Q$11</c:f>
              <c:numCache>
                <c:formatCode>General</c:formatCode>
                <c:ptCount val="2"/>
                <c:pt idx="0">
                  <c:v>618</c:v>
                </c:pt>
                <c:pt idx="1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42-4C33-82BA-9AA9B4926F0E}"/>
            </c:ext>
          </c:extLst>
        </c:ser>
        <c:ser>
          <c:idx val="9"/>
          <c:order val="9"/>
          <c:tx>
            <c:strRef>
              <c:f>采购记录分析!$O$12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采购记录分析!$P$12:$Q$12</c:f>
              <c:numCache>
                <c:formatCode>General</c:formatCode>
                <c:ptCount val="2"/>
                <c:pt idx="0">
                  <c:v>551</c:v>
                </c:pt>
                <c:pt idx="1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42-4C33-82BA-9AA9B4926F0E}"/>
            </c:ext>
          </c:extLst>
        </c:ser>
        <c:ser>
          <c:idx val="10"/>
          <c:order val="10"/>
          <c:tx>
            <c:strRef>
              <c:f>采购记录分析!$O$13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采购记录分析!$P$13:$Q$13</c:f>
              <c:numCache>
                <c:formatCode>General</c:formatCode>
                <c:ptCount val="2"/>
                <c:pt idx="0">
                  <c:v>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42-4C33-82BA-9AA9B4926F0E}"/>
            </c:ext>
          </c:extLst>
        </c:ser>
        <c:ser>
          <c:idx val="11"/>
          <c:order val="11"/>
          <c:tx>
            <c:strRef>
              <c:f>采购记录分析!$O$14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采购记录分析!$P$2:$Q$2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采购记录分析!$P$14:$Q$14</c:f>
              <c:numCache>
                <c:formatCode>General</c:formatCode>
                <c:ptCount val="2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42-4C33-82BA-9AA9B4926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89237072"/>
        <c:axId val="985101040"/>
      </c:barChart>
      <c:catAx>
        <c:axId val="8892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101040"/>
        <c:crosses val="autoZero"/>
        <c:auto val="1"/>
        <c:lblAlgn val="ctr"/>
        <c:lblOffset val="100"/>
        <c:noMultiLvlLbl val="0"/>
      </c:catAx>
      <c:valAx>
        <c:axId val="9851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92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采购记录分析!$P$2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采购记录分析!$O$3:$O$14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采购记录分析!$P$3:$P$14</c:f>
              <c:numCache>
                <c:formatCode>General</c:formatCode>
                <c:ptCount val="12"/>
                <c:pt idx="0">
                  <c:v>421</c:v>
                </c:pt>
                <c:pt idx="1">
                  <c:v>402</c:v>
                </c:pt>
                <c:pt idx="2">
                  <c:v>616</c:v>
                </c:pt>
                <c:pt idx="3">
                  <c:v>636</c:v>
                </c:pt>
                <c:pt idx="4">
                  <c:v>599</c:v>
                </c:pt>
                <c:pt idx="5">
                  <c:v>598</c:v>
                </c:pt>
                <c:pt idx="6">
                  <c:v>926</c:v>
                </c:pt>
                <c:pt idx="7">
                  <c:v>1050</c:v>
                </c:pt>
                <c:pt idx="8">
                  <c:v>618</c:v>
                </c:pt>
                <c:pt idx="9">
                  <c:v>551</c:v>
                </c:pt>
                <c:pt idx="10">
                  <c:v>680</c:v>
                </c:pt>
                <c:pt idx="1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E-4562-9DC5-7622FE72F2CE}"/>
            </c:ext>
          </c:extLst>
        </c:ser>
        <c:ser>
          <c:idx val="1"/>
          <c:order val="1"/>
          <c:tx>
            <c:strRef>
              <c:f>采购记录分析!$Q$2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采购记录分析!$O$3:$O$14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采购记录分析!$Q$3:$Q$14</c:f>
              <c:numCache>
                <c:formatCode>General</c:formatCode>
                <c:ptCount val="12"/>
                <c:pt idx="0">
                  <c:v>556</c:v>
                </c:pt>
                <c:pt idx="1">
                  <c:v>522</c:v>
                </c:pt>
                <c:pt idx="2">
                  <c:v>592</c:v>
                </c:pt>
                <c:pt idx="3">
                  <c:v>654</c:v>
                </c:pt>
                <c:pt idx="4">
                  <c:v>687</c:v>
                </c:pt>
                <c:pt idx="5">
                  <c:v>1108</c:v>
                </c:pt>
                <c:pt idx="6">
                  <c:v>1180</c:v>
                </c:pt>
                <c:pt idx="7">
                  <c:v>1285</c:v>
                </c:pt>
                <c:pt idx="8">
                  <c:v>689</c:v>
                </c:pt>
                <c:pt idx="9">
                  <c:v>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E-4562-9DC5-7622FE72F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794528"/>
        <c:axId val="845795184"/>
      </c:lineChart>
      <c:catAx>
        <c:axId val="8457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795184"/>
        <c:crosses val="autoZero"/>
        <c:auto val="1"/>
        <c:lblAlgn val="ctr"/>
        <c:lblOffset val="100"/>
        <c:noMultiLvlLbl val="0"/>
      </c:catAx>
      <c:valAx>
        <c:axId val="8457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79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采购记录分析!$S$13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采购记录分析!$T$2:$AE$2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采购记录分析!$T$13:$AE$13</c:f>
              <c:numCache>
                <c:formatCode>General</c:formatCode>
                <c:ptCount val="12"/>
                <c:pt idx="0">
                  <c:v>1421</c:v>
                </c:pt>
                <c:pt idx="1">
                  <c:v>1402</c:v>
                </c:pt>
                <c:pt idx="2">
                  <c:v>1616</c:v>
                </c:pt>
                <c:pt idx="3">
                  <c:v>1636</c:v>
                </c:pt>
                <c:pt idx="4">
                  <c:v>1599</c:v>
                </c:pt>
                <c:pt idx="5">
                  <c:v>1598</c:v>
                </c:pt>
                <c:pt idx="6">
                  <c:v>1926</c:v>
                </c:pt>
                <c:pt idx="7">
                  <c:v>2050</c:v>
                </c:pt>
                <c:pt idx="8">
                  <c:v>1618</c:v>
                </c:pt>
                <c:pt idx="9">
                  <c:v>1551</c:v>
                </c:pt>
                <c:pt idx="10">
                  <c:v>1680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E-4AF6-A2D7-4F40836ED957}"/>
            </c:ext>
          </c:extLst>
        </c:ser>
        <c:ser>
          <c:idx val="2"/>
          <c:order val="1"/>
          <c:tx>
            <c:strRef>
              <c:f>采购记录分析!$S$9</c:f>
              <c:strCache>
                <c:ptCount val="1"/>
                <c:pt idx="0">
                  <c:v>gaps1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strRef>
              <c:f>采购记录分析!$T$2:$AE$2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采购记录分析!$T$9:$AE$9</c:f>
              <c:numCache>
                <c:formatCode>General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E-4AF6-A2D7-4F40836ED957}"/>
            </c:ext>
          </c:extLst>
        </c:ser>
        <c:ser>
          <c:idx val="1"/>
          <c:order val="2"/>
          <c:tx>
            <c:strRef>
              <c:f>采购记录分析!$S$14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采购记录分析!$T$2:$AE$2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采购记录分析!$T$14:$AE$14</c:f>
              <c:numCache>
                <c:formatCode>General</c:formatCode>
                <c:ptCount val="12"/>
                <c:pt idx="0">
                  <c:v>556</c:v>
                </c:pt>
                <c:pt idx="1">
                  <c:v>522</c:v>
                </c:pt>
                <c:pt idx="2">
                  <c:v>592</c:v>
                </c:pt>
                <c:pt idx="3">
                  <c:v>654</c:v>
                </c:pt>
                <c:pt idx="4">
                  <c:v>687</c:v>
                </c:pt>
                <c:pt idx="5">
                  <c:v>1108</c:v>
                </c:pt>
                <c:pt idx="6">
                  <c:v>1180</c:v>
                </c:pt>
                <c:pt idx="7">
                  <c:v>1285</c:v>
                </c:pt>
                <c:pt idx="8">
                  <c:v>689</c:v>
                </c:pt>
                <c:pt idx="9">
                  <c:v>541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E-4AF6-A2D7-4F40836ED957}"/>
            </c:ext>
          </c:extLst>
        </c:ser>
        <c:ser>
          <c:idx val="3"/>
          <c:order val="3"/>
          <c:tx>
            <c:strRef>
              <c:f>采购记录分析!$S$10</c:f>
              <c:strCache>
                <c:ptCount val="1"/>
                <c:pt idx="0">
                  <c:v>gaps0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采购记录分析!$T$2:$AE$2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采购记录分析!$T$10:$AE$10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E-4AF6-A2D7-4F40836ED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399120"/>
        <c:axId val="1219399448"/>
      </c:areaChart>
      <c:catAx>
        <c:axId val="121939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9399448"/>
        <c:crosses val="autoZero"/>
        <c:auto val="1"/>
        <c:lblAlgn val="ctr"/>
        <c:lblOffset val="100"/>
        <c:noMultiLvlLbl val="0"/>
      </c:catAx>
      <c:valAx>
        <c:axId val="1219399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939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380999</xdr:rowOff>
    </xdr:from>
    <xdr:to>
      <xdr:col>12</xdr:col>
      <xdr:colOff>114300</xdr:colOff>
      <xdr:row>25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24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9524</xdr:colOff>
      <xdr:row>24</xdr:row>
      <xdr:rowOff>0</xdr:rowOff>
    </xdr:from>
    <xdr:to>
      <xdr:col>18</xdr:col>
      <xdr:colOff>0</xdr:colOff>
      <xdr:row>46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200024</xdr:colOff>
      <xdr:row>56</xdr:row>
      <xdr:rowOff>0</xdr:rowOff>
    </xdr:from>
    <xdr:to>
      <xdr:col>11</xdr:col>
      <xdr:colOff>1371599</xdr:colOff>
      <xdr:row>73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24</xdr:row>
      <xdr:rowOff>0</xdr:rowOff>
    </xdr:from>
    <xdr:to>
      <xdr:col>25</xdr:col>
      <xdr:colOff>0</xdr:colOff>
      <xdr:row>46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AA28172-B2DD-485D-B741-F0A86A1E9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24</xdr:row>
      <xdr:rowOff>0</xdr:rowOff>
    </xdr:from>
    <xdr:to>
      <xdr:col>32</xdr:col>
      <xdr:colOff>0</xdr:colOff>
      <xdr:row>46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A959A3E-A466-4D1B-B657-2CB060E5E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1F83B59-C485-4C9C-B51C-B9D88C936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7</xdr:row>
      <xdr:rowOff>104775</xdr:rowOff>
    </xdr:from>
    <xdr:to>
      <xdr:col>38</xdr:col>
      <xdr:colOff>457200</xdr:colOff>
      <xdr:row>23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CBB2CF6-E1D2-457D-A812-FC5C2A9C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1189D-A019-4EE6-A22F-F8A0F1EE6DCE}" name="表1" displayName="表1" ref="B2:D23" totalsRowShown="0">
  <tableColumns count="3">
    <tableColumn id="1" xr3:uid="{708C21D4-5E2E-4B6E-85AB-378DF64E7B67}" name="日期" dataDxfId="2"/>
    <tableColumn id="2" xr3:uid="{1A8289D3-FFE8-485F-B18C-AE446DD65412}" name="卓创市场_x000a_月均未税价" dataDxfId="1"/>
    <tableColumn id="3" xr3:uid="{CFC18698-0BFB-4311-9138-2A99FE29C7C7}" name="实际采购_x000a_平均未税价" dataDxfId="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橙灰组合">
      <a:dk1>
        <a:sysClr val="windowText" lastClr="000000"/>
      </a:dk1>
      <a:lt1>
        <a:sysClr val="window" lastClr="FFFFFF"/>
      </a:lt1>
      <a:dk2>
        <a:srgbClr val="0666B1"/>
      </a:dk2>
      <a:lt2>
        <a:srgbClr val="D8DFF1"/>
      </a:lt2>
      <a:accent1>
        <a:srgbClr val="FF9618"/>
      </a:accent1>
      <a:accent2>
        <a:srgbClr val="526573"/>
      </a:accent2>
      <a:accent3>
        <a:srgbClr val="E7BA10"/>
      </a:accent3>
      <a:accent4>
        <a:srgbClr val="639629"/>
      </a:accent4>
      <a:accent5>
        <a:srgbClr val="9C55AD"/>
      </a:accent5>
      <a:accent6>
        <a:srgbClr val="CEC3C6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showGridLines="0" tabSelected="1" workbookViewId="0"/>
  </sheetViews>
  <sheetFormatPr defaultRowHeight="15.95" customHeight="1"/>
  <cols>
    <col min="1" max="1" width="2.625" style="1" customWidth="1"/>
    <col min="2" max="2" width="9" style="1"/>
    <col min="3" max="4" width="9" style="4"/>
    <col min="5" max="16384" width="9" style="1"/>
  </cols>
  <sheetData>
    <row r="2" spans="2:4" ht="24">
      <c r="B2" s="1" t="s">
        <v>5</v>
      </c>
      <c r="C2" s="2" t="s">
        <v>6</v>
      </c>
      <c r="D2" s="2" t="s">
        <v>7</v>
      </c>
    </row>
    <row r="3" spans="2:4" ht="15.95" customHeight="1">
      <c r="B3" s="3">
        <v>42736</v>
      </c>
      <c r="C3" s="4">
        <v>421</v>
      </c>
      <c r="D3" s="4">
        <v>517</v>
      </c>
    </row>
    <row r="4" spans="2:4" ht="15.95" customHeight="1">
      <c r="B4" s="3">
        <v>42767</v>
      </c>
      <c r="C4" s="4">
        <v>402</v>
      </c>
      <c r="D4" s="4">
        <v>517</v>
      </c>
    </row>
    <row r="5" spans="2:4" ht="15.95" customHeight="1">
      <c r="B5" s="3">
        <v>42795</v>
      </c>
      <c r="C5" s="4">
        <v>616</v>
      </c>
      <c r="D5" s="4">
        <v>517</v>
      </c>
    </row>
    <row r="6" spans="2:4" ht="15.95" customHeight="1">
      <c r="B6" s="3">
        <v>42826</v>
      </c>
      <c r="C6" s="4">
        <v>636</v>
      </c>
      <c r="D6" s="4">
        <v>517</v>
      </c>
    </row>
    <row r="7" spans="2:4" ht="15.95" customHeight="1">
      <c r="B7" s="3">
        <v>42856</v>
      </c>
      <c r="C7" s="4">
        <v>599</v>
      </c>
      <c r="D7" s="4">
        <v>517</v>
      </c>
    </row>
    <row r="8" spans="2:4" ht="15.95" customHeight="1">
      <c r="B8" s="3">
        <v>42887</v>
      </c>
      <c r="C8" s="4">
        <v>598</v>
      </c>
      <c r="D8" s="4">
        <v>517</v>
      </c>
    </row>
    <row r="9" spans="2:4" ht="15.95" customHeight="1">
      <c r="B9" s="3">
        <v>42917</v>
      </c>
      <c r="C9" s="4">
        <v>926</v>
      </c>
      <c r="D9" s="4">
        <v>517</v>
      </c>
    </row>
    <row r="10" spans="2:4" ht="15.95" customHeight="1">
      <c r="B10" s="3">
        <v>42948</v>
      </c>
      <c r="C10" s="4">
        <v>1050</v>
      </c>
      <c r="D10" s="4">
        <v>517</v>
      </c>
    </row>
    <row r="11" spans="2:4" ht="15.95" customHeight="1">
      <c r="B11" s="3">
        <v>42979</v>
      </c>
      <c r="C11" s="4">
        <v>618</v>
      </c>
      <c r="D11" s="4">
        <v>641</v>
      </c>
    </row>
    <row r="12" spans="2:4" ht="15.95" customHeight="1">
      <c r="B12" s="3">
        <v>43009</v>
      </c>
      <c r="C12" s="4">
        <v>551</v>
      </c>
      <c r="D12" s="4">
        <v>641</v>
      </c>
    </row>
    <row r="13" spans="2:4" ht="15.95" customHeight="1">
      <c r="B13" s="3">
        <v>43040</v>
      </c>
      <c r="C13" s="4">
        <v>680</v>
      </c>
      <c r="D13" s="4">
        <v>641</v>
      </c>
    </row>
    <row r="14" spans="2:4" ht="15.95" customHeight="1">
      <c r="B14" s="3">
        <v>43070</v>
      </c>
      <c r="C14" s="4">
        <v>600</v>
      </c>
      <c r="D14" s="4">
        <v>641</v>
      </c>
    </row>
    <row r="15" spans="2:4" ht="15.95" customHeight="1">
      <c r="B15" s="3">
        <v>43101</v>
      </c>
      <c r="C15" s="4">
        <v>556</v>
      </c>
      <c r="D15" s="4">
        <v>641</v>
      </c>
    </row>
    <row r="16" spans="2:4" ht="15.95" customHeight="1">
      <c r="B16" s="3">
        <v>43132</v>
      </c>
      <c r="C16" s="4">
        <v>522</v>
      </c>
      <c r="D16" s="4">
        <v>641</v>
      </c>
    </row>
    <row r="17" spans="2:4" ht="15.95" customHeight="1">
      <c r="B17" s="3">
        <v>43160</v>
      </c>
      <c r="C17" s="4">
        <v>592</v>
      </c>
      <c r="D17" s="4">
        <v>641</v>
      </c>
    </row>
    <row r="18" spans="2:4" ht="15.95" customHeight="1">
      <c r="B18" s="3">
        <v>43191</v>
      </c>
      <c r="C18" s="4">
        <v>654</v>
      </c>
      <c r="D18" s="4">
        <v>641</v>
      </c>
    </row>
    <row r="19" spans="2:4" ht="15.95" customHeight="1">
      <c r="B19" s="3">
        <v>43221</v>
      </c>
      <c r="C19" s="4">
        <v>687</v>
      </c>
      <c r="D19" s="4">
        <v>641</v>
      </c>
    </row>
    <row r="20" spans="2:4" ht="15.95" customHeight="1">
      <c r="B20" s="3">
        <v>43252</v>
      </c>
      <c r="C20" s="4">
        <v>1108</v>
      </c>
      <c r="D20" s="4">
        <v>641</v>
      </c>
    </row>
    <row r="21" spans="2:4" ht="15.95" customHeight="1">
      <c r="B21" s="3">
        <v>43282</v>
      </c>
      <c r="C21" s="4">
        <v>1180</v>
      </c>
      <c r="D21" s="4">
        <v>641</v>
      </c>
    </row>
    <row r="22" spans="2:4" ht="15.95" customHeight="1">
      <c r="B22" s="3">
        <v>43313</v>
      </c>
      <c r="C22" s="4">
        <v>1285</v>
      </c>
      <c r="D22" s="4">
        <v>641</v>
      </c>
    </row>
    <row r="23" spans="2:4" ht="15.95" customHeight="1">
      <c r="B23" s="3">
        <v>43344</v>
      </c>
      <c r="C23" s="4">
        <v>689</v>
      </c>
      <c r="D23" s="4">
        <v>641</v>
      </c>
    </row>
    <row r="24" spans="2:4" ht="15.95" customHeight="1">
      <c r="B24" s="3"/>
    </row>
    <row r="25" spans="2:4" ht="15.95" customHeight="1">
      <c r="B25" s="3"/>
    </row>
    <row r="26" spans="2:4" ht="15.95" customHeight="1">
      <c r="B26" s="3"/>
    </row>
    <row r="27" spans="2:4" ht="15.95" customHeight="1">
      <c r="B27" s="3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87"/>
  <sheetViews>
    <sheetView showGridLines="0" workbookViewId="0"/>
  </sheetViews>
  <sheetFormatPr defaultRowHeight="12.75"/>
  <cols>
    <col min="1" max="1" width="11.125" style="1" bestFit="1" customWidth="1"/>
    <col min="2" max="2" width="8" style="7" bestFit="1" customWidth="1"/>
    <col min="3" max="3" width="4.75" style="7" bestFit="1" customWidth="1"/>
    <col min="4" max="5" width="9" style="4"/>
    <col min="6" max="6" width="2.625" style="7" customWidth="1"/>
    <col min="7" max="7" width="6.625" style="7" bestFit="1" customWidth="1"/>
    <col min="8" max="8" width="5" style="7" bestFit="1" customWidth="1"/>
    <col min="9" max="10" width="8.5" style="4" bestFit="1" customWidth="1"/>
    <col min="11" max="11" width="17.5" style="4" bestFit="1" customWidth="1"/>
    <col min="12" max="13" width="18" style="4" bestFit="1" customWidth="1"/>
    <col min="14" max="16384" width="9" style="7"/>
  </cols>
  <sheetData>
    <row r="1" spans="1:31" ht="17.25" thickBot="1">
      <c r="A1" s="5" t="s">
        <v>8</v>
      </c>
      <c r="B1" s="6" t="s">
        <v>9</v>
      </c>
      <c r="C1" s="6" t="s">
        <v>10</v>
      </c>
      <c r="D1" s="13" t="s">
        <v>11</v>
      </c>
      <c r="E1" s="13" t="s">
        <v>12</v>
      </c>
      <c r="P1" s="29" t="s">
        <v>53</v>
      </c>
      <c r="R1" s="29"/>
    </row>
    <row r="2" spans="1:31" ht="17.25" thickBot="1">
      <c r="A2" s="8">
        <v>42736</v>
      </c>
      <c r="B2" s="6" t="s">
        <v>13</v>
      </c>
      <c r="C2" s="6" t="s">
        <v>14</v>
      </c>
      <c r="D2" s="13">
        <v>0.5171</v>
      </c>
      <c r="E2" s="13">
        <v>9000</v>
      </c>
      <c r="G2" s="9" t="s">
        <v>15</v>
      </c>
      <c r="H2" s="9" t="s">
        <v>16</v>
      </c>
      <c r="I2" s="10" t="s">
        <v>17</v>
      </c>
      <c r="J2" s="11" t="s">
        <v>18</v>
      </c>
      <c r="K2" s="11" t="s">
        <v>19</v>
      </c>
      <c r="L2" s="11" t="s">
        <v>20</v>
      </c>
      <c r="M2" s="11" t="s">
        <v>21</v>
      </c>
      <c r="O2" s="33" t="s">
        <v>52</v>
      </c>
      <c r="P2" s="34" t="s">
        <v>55</v>
      </c>
      <c r="Q2" s="35" t="s">
        <v>57</v>
      </c>
      <c r="R2" s="4"/>
      <c r="T2" s="4" t="s">
        <v>39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46</v>
      </c>
      <c r="AA2" s="4" t="s">
        <v>47</v>
      </c>
      <c r="AB2" s="4" t="s">
        <v>48</v>
      </c>
      <c r="AC2" s="4" t="s">
        <v>49</v>
      </c>
      <c r="AD2" s="4" t="s">
        <v>50</v>
      </c>
      <c r="AE2" s="4" t="s">
        <v>51</v>
      </c>
    </row>
    <row r="3" spans="1:31" ht="16.5">
      <c r="A3" s="8">
        <v>42737</v>
      </c>
      <c r="B3" s="6" t="s">
        <v>13</v>
      </c>
      <c r="C3" s="6" t="s">
        <v>14</v>
      </c>
      <c r="D3" s="13">
        <v>0.5171</v>
      </c>
      <c r="E3" s="13">
        <v>10980</v>
      </c>
      <c r="G3" s="14" t="s">
        <v>22</v>
      </c>
      <c r="H3" s="15" t="s">
        <v>23</v>
      </c>
      <c r="I3" s="16">
        <v>42736</v>
      </c>
      <c r="J3" s="17">
        <v>50303</v>
      </c>
      <c r="K3" s="18">
        <v>182081.7691</v>
      </c>
      <c r="L3" s="18">
        <v>421</v>
      </c>
      <c r="M3" s="18">
        <v>211775.62999999998</v>
      </c>
      <c r="O3" s="36" t="s">
        <v>40</v>
      </c>
      <c r="P3" s="37">
        <v>421</v>
      </c>
      <c r="Q3" s="38">
        <v>556</v>
      </c>
      <c r="R3" s="4"/>
      <c r="S3" s="39" t="s">
        <v>54</v>
      </c>
      <c r="T3" s="40">
        <v>421</v>
      </c>
      <c r="U3" s="40">
        <v>402</v>
      </c>
      <c r="V3" s="40">
        <v>616</v>
      </c>
      <c r="W3" s="40">
        <v>636</v>
      </c>
      <c r="X3" s="40">
        <v>599</v>
      </c>
      <c r="Y3" s="40">
        <v>598</v>
      </c>
      <c r="Z3" s="40">
        <v>926</v>
      </c>
      <c r="AA3" s="40">
        <v>1050</v>
      </c>
      <c r="AB3" s="40">
        <v>618</v>
      </c>
      <c r="AC3" s="40">
        <v>551</v>
      </c>
      <c r="AD3" s="40">
        <v>680</v>
      </c>
      <c r="AE3" s="40">
        <v>600</v>
      </c>
    </row>
    <row r="4" spans="1:31" ht="17.25" thickBot="1">
      <c r="A4" s="8">
        <v>42738</v>
      </c>
      <c r="B4" s="6" t="s">
        <v>13</v>
      </c>
      <c r="C4" s="6" t="s">
        <v>14</v>
      </c>
      <c r="D4" s="13">
        <v>0.5171</v>
      </c>
      <c r="E4" s="13">
        <v>882</v>
      </c>
      <c r="G4" s="19" t="s">
        <v>22</v>
      </c>
      <c r="H4" s="20" t="s">
        <v>24</v>
      </c>
      <c r="I4" s="21">
        <v>42767</v>
      </c>
      <c r="J4" s="22">
        <v>30410</v>
      </c>
      <c r="K4" s="23">
        <v>62900.044000000002</v>
      </c>
      <c r="L4" s="23">
        <v>402</v>
      </c>
      <c r="M4" s="23">
        <v>122248.2</v>
      </c>
      <c r="O4" s="36" t="s">
        <v>41</v>
      </c>
      <c r="P4" s="37">
        <v>402</v>
      </c>
      <c r="Q4" s="38">
        <v>522</v>
      </c>
      <c r="R4" s="4"/>
      <c r="S4" s="41" t="s">
        <v>56</v>
      </c>
      <c r="T4" s="42">
        <v>556</v>
      </c>
      <c r="U4" s="42">
        <v>522</v>
      </c>
      <c r="V4" s="42">
        <v>592</v>
      </c>
      <c r="W4" s="42">
        <v>654</v>
      </c>
      <c r="X4" s="42">
        <v>687</v>
      </c>
      <c r="Y4" s="42">
        <v>1108</v>
      </c>
      <c r="Z4" s="42">
        <v>1180</v>
      </c>
      <c r="AA4" s="42">
        <v>1285</v>
      </c>
      <c r="AB4" s="42">
        <v>689</v>
      </c>
      <c r="AC4" s="42">
        <v>541</v>
      </c>
      <c r="AD4" s="42"/>
      <c r="AE4" s="42"/>
    </row>
    <row r="5" spans="1:31" ht="16.5">
      <c r="A5" s="8">
        <v>42738</v>
      </c>
      <c r="B5" s="6" t="s">
        <v>13</v>
      </c>
      <c r="C5" s="6" t="s">
        <v>14</v>
      </c>
      <c r="D5" s="13">
        <v>0.5171</v>
      </c>
      <c r="E5" s="13">
        <v>8720</v>
      </c>
      <c r="G5" s="19" t="s">
        <v>22</v>
      </c>
      <c r="H5" s="20" t="s">
        <v>25</v>
      </c>
      <c r="I5" s="21">
        <v>42795</v>
      </c>
      <c r="J5" s="22">
        <v>56550</v>
      </c>
      <c r="K5" s="23">
        <v>204694.03500000003</v>
      </c>
      <c r="L5" s="23">
        <v>616</v>
      </c>
      <c r="M5" s="23">
        <v>348347.99999999994</v>
      </c>
      <c r="O5" s="36" t="s">
        <v>42</v>
      </c>
      <c r="P5" s="37">
        <v>616</v>
      </c>
      <c r="Q5" s="38">
        <v>592</v>
      </c>
      <c r="R5" s="4"/>
    </row>
    <row r="6" spans="1:31" ht="16.5">
      <c r="A6" s="8">
        <v>42746</v>
      </c>
      <c r="B6" s="6" t="s">
        <v>13</v>
      </c>
      <c r="C6" s="6" t="s">
        <v>14</v>
      </c>
      <c r="D6" s="13">
        <v>0.5171</v>
      </c>
      <c r="E6" s="13">
        <v>5814</v>
      </c>
      <c r="G6" s="19" t="s">
        <v>22</v>
      </c>
      <c r="H6" s="20" t="s">
        <v>26</v>
      </c>
      <c r="I6" s="21">
        <v>42826</v>
      </c>
      <c r="J6" s="22">
        <v>53864.3</v>
      </c>
      <c r="K6" s="23">
        <v>222825.83624</v>
      </c>
      <c r="L6" s="23">
        <v>636</v>
      </c>
      <c r="M6" s="23">
        <v>342576.94799999997</v>
      </c>
      <c r="O6" s="36" t="s">
        <v>43</v>
      </c>
      <c r="P6" s="37">
        <v>636</v>
      </c>
      <c r="Q6" s="38">
        <v>654</v>
      </c>
      <c r="R6" s="4"/>
      <c r="S6" s="7" t="s">
        <v>60</v>
      </c>
      <c r="T6" s="7">
        <v>1000</v>
      </c>
    </row>
    <row r="7" spans="1:31" ht="16.5">
      <c r="A7" s="8">
        <v>42746</v>
      </c>
      <c r="B7" s="6" t="s">
        <v>13</v>
      </c>
      <c r="C7" s="6" t="s">
        <v>14</v>
      </c>
      <c r="D7" s="13">
        <v>0.5171</v>
      </c>
      <c r="E7" s="13">
        <v>8400</v>
      </c>
      <c r="G7" s="19" t="s">
        <v>22</v>
      </c>
      <c r="H7" s="20" t="s">
        <v>27</v>
      </c>
      <c r="I7" s="21">
        <v>42856</v>
      </c>
      <c r="J7" s="22">
        <v>79081.7</v>
      </c>
      <c r="K7" s="23">
        <v>408926.80487970007</v>
      </c>
      <c r="L7" s="23">
        <v>599</v>
      </c>
      <c r="M7" s="23">
        <v>473699.38300000003</v>
      </c>
      <c r="O7" s="36" t="s">
        <v>44</v>
      </c>
      <c r="P7" s="37">
        <v>599</v>
      </c>
      <c r="Q7" s="38">
        <v>687</v>
      </c>
      <c r="R7" s="4"/>
    </row>
    <row r="8" spans="1:31" ht="16.5">
      <c r="A8" s="8">
        <v>42753</v>
      </c>
      <c r="B8" s="6" t="s">
        <v>13</v>
      </c>
      <c r="C8" s="6" t="s">
        <v>14</v>
      </c>
      <c r="D8" s="13">
        <v>0.5171</v>
      </c>
      <c r="E8" s="13">
        <v>6507</v>
      </c>
      <c r="G8" s="19" t="s">
        <v>22</v>
      </c>
      <c r="H8" s="20" t="s">
        <v>28</v>
      </c>
      <c r="I8" s="21">
        <v>42887</v>
      </c>
      <c r="J8" s="22">
        <v>57426</v>
      </c>
      <c r="K8" s="23">
        <v>237559.8768</v>
      </c>
      <c r="L8" s="23">
        <v>598</v>
      </c>
      <c r="M8" s="23">
        <v>343407.48</v>
      </c>
      <c r="O8" s="36" t="s">
        <v>45</v>
      </c>
      <c r="P8" s="37">
        <v>598</v>
      </c>
      <c r="Q8" s="38">
        <v>1108</v>
      </c>
      <c r="R8" s="4"/>
      <c r="S8" s="7" t="s">
        <v>61</v>
      </c>
    </row>
    <row r="9" spans="1:31" ht="16.5">
      <c r="A9" s="8">
        <v>42775</v>
      </c>
      <c r="B9" s="6" t="s">
        <v>13</v>
      </c>
      <c r="C9" s="6" t="s">
        <v>14</v>
      </c>
      <c r="D9" s="13">
        <v>0.5171</v>
      </c>
      <c r="E9" s="13">
        <v>11100</v>
      </c>
      <c r="G9" s="19" t="s">
        <v>22</v>
      </c>
      <c r="H9" s="20" t="s">
        <v>29</v>
      </c>
      <c r="I9" s="21">
        <v>42917</v>
      </c>
      <c r="J9" s="22">
        <v>58036.4</v>
      </c>
      <c r="K9" s="23">
        <v>330116.84684000001</v>
      </c>
      <c r="L9" s="23">
        <v>926</v>
      </c>
      <c r="M9" s="23">
        <v>537417.06400000001</v>
      </c>
      <c r="O9" s="36" t="s">
        <v>46</v>
      </c>
      <c r="P9" s="37">
        <v>926</v>
      </c>
      <c r="Q9" s="38">
        <v>1180</v>
      </c>
      <c r="R9" s="4">
        <v>1</v>
      </c>
      <c r="S9" s="7" t="s">
        <v>62</v>
      </c>
      <c r="T9" s="7">
        <f>$R9*$T$6</f>
        <v>1000</v>
      </c>
      <c r="U9" s="7">
        <f t="shared" ref="U9:AE10" si="0">$R9*$T$6</f>
        <v>1000</v>
      </c>
      <c r="V9" s="7">
        <f t="shared" si="0"/>
        <v>1000</v>
      </c>
      <c r="W9" s="7">
        <f t="shared" si="0"/>
        <v>1000</v>
      </c>
      <c r="X9" s="7">
        <f t="shared" si="0"/>
        <v>1000</v>
      </c>
      <c r="Y9" s="7">
        <f t="shared" si="0"/>
        <v>1000</v>
      </c>
      <c r="Z9" s="7">
        <f t="shared" si="0"/>
        <v>1000</v>
      </c>
      <c r="AA9" s="7">
        <f t="shared" si="0"/>
        <v>1000</v>
      </c>
      <c r="AB9" s="7">
        <f t="shared" si="0"/>
        <v>1000</v>
      </c>
      <c r="AC9" s="7">
        <f t="shared" si="0"/>
        <v>1000</v>
      </c>
      <c r="AD9" s="7">
        <f t="shared" si="0"/>
        <v>1000</v>
      </c>
      <c r="AE9" s="7">
        <f t="shared" si="0"/>
        <v>1000</v>
      </c>
    </row>
    <row r="10" spans="1:31" ht="16.5">
      <c r="A10" s="8">
        <v>42779</v>
      </c>
      <c r="B10" s="6" t="s">
        <v>13</v>
      </c>
      <c r="C10" s="6" t="s">
        <v>14</v>
      </c>
      <c r="D10" s="13">
        <v>0.5171</v>
      </c>
      <c r="E10" s="13">
        <v>4520</v>
      </c>
      <c r="G10" s="19" t="s">
        <v>22</v>
      </c>
      <c r="H10" s="20" t="s">
        <v>30</v>
      </c>
      <c r="I10" s="21">
        <v>42948</v>
      </c>
      <c r="J10" s="22">
        <v>73117.600000000006</v>
      </c>
      <c r="K10" s="23">
        <v>378091.10960000003</v>
      </c>
      <c r="L10" s="23">
        <v>1050</v>
      </c>
      <c r="M10" s="23">
        <v>767734.8</v>
      </c>
      <c r="O10" s="36" t="s">
        <v>47</v>
      </c>
      <c r="P10" s="37">
        <v>1050</v>
      </c>
      <c r="Q10" s="38">
        <v>1285</v>
      </c>
      <c r="R10" s="4">
        <v>0</v>
      </c>
      <c r="S10" s="7" t="s">
        <v>63</v>
      </c>
      <c r="T10" s="7">
        <f>$R10*$T$6</f>
        <v>0</v>
      </c>
      <c r="U10" s="7">
        <f t="shared" si="0"/>
        <v>0</v>
      </c>
      <c r="V10" s="7">
        <f t="shared" si="0"/>
        <v>0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0</v>
      </c>
      <c r="AA10" s="7">
        <f t="shared" si="0"/>
        <v>0</v>
      </c>
      <c r="AB10" s="7">
        <f t="shared" si="0"/>
        <v>0</v>
      </c>
      <c r="AC10" s="7">
        <f t="shared" si="0"/>
        <v>0</v>
      </c>
      <c r="AD10" s="7">
        <f t="shared" si="0"/>
        <v>0</v>
      </c>
      <c r="AE10" s="7">
        <f t="shared" si="0"/>
        <v>0</v>
      </c>
    </row>
    <row r="11" spans="1:31" ht="16.5">
      <c r="A11" s="8">
        <v>42782</v>
      </c>
      <c r="B11" s="6" t="s">
        <v>13</v>
      </c>
      <c r="C11" s="6" t="s">
        <v>14</v>
      </c>
      <c r="D11" s="13">
        <v>0.5171</v>
      </c>
      <c r="E11" s="13">
        <v>9300</v>
      </c>
      <c r="G11" s="19" t="s">
        <v>22</v>
      </c>
      <c r="H11" s="20" t="s">
        <v>31</v>
      </c>
      <c r="I11" s="21">
        <v>42979</v>
      </c>
      <c r="J11" s="22">
        <v>92110</v>
      </c>
      <c r="K11" s="23">
        <v>523930.89100000006</v>
      </c>
      <c r="L11" s="23">
        <v>618</v>
      </c>
      <c r="M11" s="23">
        <v>569239.80000000005</v>
      </c>
      <c r="O11" s="36" t="s">
        <v>48</v>
      </c>
      <c r="P11" s="37">
        <v>618</v>
      </c>
      <c r="Q11" s="38">
        <v>689</v>
      </c>
      <c r="R11" s="4"/>
    </row>
    <row r="12" spans="1:31" ht="17.25" thickBot="1">
      <c r="A12" s="8">
        <v>42786</v>
      </c>
      <c r="B12" s="6" t="s">
        <v>13</v>
      </c>
      <c r="C12" s="6" t="s">
        <v>14</v>
      </c>
      <c r="D12" s="13">
        <v>0.5171</v>
      </c>
      <c r="E12" s="13">
        <v>5490</v>
      </c>
      <c r="G12" s="19" t="s">
        <v>22</v>
      </c>
      <c r="H12" s="20" t="s">
        <v>32</v>
      </c>
      <c r="I12" s="21">
        <v>43009</v>
      </c>
      <c r="J12" s="22">
        <v>68500</v>
      </c>
      <c r="K12" s="23">
        <v>335770.01199999999</v>
      </c>
      <c r="L12" s="23">
        <v>551</v>
      </c>
      <c r="M12" s="23">
        <v>377435</v>
      </c>
      <c r="O12" s="36" t="s">
        <v>49</v>
      </c>
      <c r="P12" s="37">
        <v>551</v>
      </c>
      <c r="Q12" s="38">
        <v>541</v>
      </c>
      <c r="R12" s="4"/>
      <c r="S12" s="7" t="s">
        <v>64</v>
      </c>
    </row>
    <row r="13" spans="1:31" ht="16.5">
      <c r="A13" s="8">
        <v>42795</v>
      </c>
      <c r="B13" s="6" t="s">
        <v>13</v>
      </c>
      <c r="C13" s="6" t="s">
        <v>14</v>
      </c>
      <c r="D13" s="13">
        <v>0.5171</v>
      </c>
      <c r="E13" s="13">
        <v>10000</v>
      </c>
      <c r="G13" s="19" t="s">
        <v>22</v>
      </c>
      <c r="H13" s="20" t="s">
        <v>33</v>
      </c>
      <c r="I13" s="21">
        <v>43040</v>
      </c>
      <c r="J13" s="22">
        <v>108106</v>
      </c>
      <c r="K13" s="23">
        <v>970182.59458399995</v>
      </c>
      <c r="L13" s="23">
        <v>680</v>
      </c>
      <c r="M13" s="23">
        <v>735120.8</v>
      </c>
      <c r="O13" s="36" t="s">
        <v>50</v>
      </c>
      <c r="P13" s="37">
        <v>680</v>
      </c>
      <c r="Q13" s="38"/>
      <c r="R13" s="4"/>
      <c r="S13" s="39" t="s">
        <v>54</v>
      </c>
      <c r="T13" s="40">
        <f>T3+T9</f>
        <v>1421</v>
      </c>
      <c r="U13" s="40">
        <f t="shared" ref="U13:AE14" si="1">U3+U9</f>
        <v>1402</v>
      </c>
      <c r="V13" s="40">
        <f t="shared" si="1"/>
        <v>1616</v>
      </c>
      <c r="W13" s="40">
        <f t="shared" si="1"/>
        <v>1636</v>
      </c>
      <c r="X13" s="40">
        <f t="shared" si="1"/>
        <v>1599</v>
      </c>
      <c r="Y13" s="40">
        <f t="shared" si="1"/>
        <v>1598</v>
      </c>
      <c r="Z13" s="40">
        <f t="shared" si="1"/>
        <v>1926</v>
      </c>
      <c r="AA13" s="40">
        <f t="shared" si="1"/>
        <v>2050</v>
      </c>
      <c r="AB13" s="40">
        <f t="shared" si="1"/>
        <v>1618</v>
      </c>
      <c r="AC13" s="40">
        <f t="shared" si="1"/>
        <v>1551</v>
      </c>
      <c r="AD13" s="40">
        <f t="shared" si="1"/>
        <v>1680</v>
      </c>
      <c r="AE13" s="40">
        <f t="shared" si="1"/>
        <v>1600</v>
      </c>
    </row>
    <row r="14" spans="1:31" ht="17.25" thickBot="1">
      <c r="A14" s="8">
        <v>42796</v>
      </c>
      <c r="B14" s="6" t="s">
        <v>13</v>
      </c>
      <c r="C14" s="6" t="s">
        <v>14</v>
      </c>
      <c r="D14" s="13">
        <v>0.5171</v>
      </c>
      <c r="E14" s="13">
        <v>9560</v>
      </c>
      <c r="G14" s="19" t="s">
        <v>22</v>
      </c>
      <c r="H14" s="20" t="s">
        <v>34</v>
      </c>
      <c r="I14" s="21">
        <v>43070</v>
      </c>
      <c r="J14" s="22">
        <v>64370</v>
      </c>
      <c r="K14" s="23">
        <v>412628.4362</v>
      </c>
      <c r="L14" s="23">
        <v>600</v>
      </c>
      <c r="M14" s="23">
        <v>386220</v>
      </c>
      <c r="O14" s="30" t="s">
        <v>51</v>
      </c>
      <c r="P14" s="31">
        <v>600</v>
      </c>
      <c r="Q14" s="32"/>
      <c r="R14" s="4"/>
      <c r="S14" s="41" t="s">
        <v>56</v>
      </c>
      <c r="T14" s="42">
        <f>T4+T10</f>
        <v>556</v>
      </c>
      <c r="U14" s="42">
        <f t="shared" si="1"/>
        <v>522</v>
      </c>
      <c r="V14" s="42">
        <f t="shared" si="1"/>
        <v>592</v>
      </c>
      <c r="W14" s="42">
        <f t="shared" si="1"/>
        <v>654</v>
      </c>
      <c r="X14" s="42">
        <f t="shared" si="1"/>
        <v>687</v>
      </c>
      <c r="Y14" s="42">
        <f t="shared" si="1"/>
        <v>1108</v>
      </c>
      <c r="Z14" s="42">
        <f t="shared" si="1"/>
        <v>1180</v>
      </c>
      <c r="AA14" s="42">
        <f t="shared" si="1"/>
        <v>1285</v>
      </c>
      <c r="AB14" s="42">
        <f t="shared" si="1"/>
        <v>689</v>
      </c>
      <c r="AC14" s="42">
        <f t="shared" si="1"/>
        <v>541</v>
      </c>
      <c r="AD14" s="42">
        <f t="shared" si="1"/>
        <v>0</v>
      </c>
      <c r="AE14" s="42">
        <f t="shared" si="1"/>
        <v>0</v>
      </c>
    </row>
    <row r="15" spans="1:31" ht="16.5">
      <c r="A15" s="8">
        <v>42801</v>
      </c>
      <c r="B15" s="6" t="s">
        <v>13</v>
      </c>
      <c r="C15" s="6" t="s">
        <v>14</v>
      </c>
      <c r="D15" s="13">
        <v>0.5171</v>
      </c>
      <c r="E15" s="13">
        <v>4060</v>
      </c>
      <c r="G15" s="19" t="s">
        <v>35</v>
      </c>
      <c r="H15" s="20" t="s">
        <v>23</v>
      </c>
      <c r="I15" s="21">
        <v>43101</v>
      </c>
      <c r="J15" s="22">
        <v>78394</v>
      </c>
      <c r="K15" s="23">
        <v>653282.75844399992</v>
      </c>
      <c r="L15" s="23">
        <v>556</v>
      </c>
      <c r="M15" s="23">
        <v>435870.64000000007</v>
      </c>
    </row>
    <row r="16" spans="1:31" ht="16.5">
      <c r="A16" s="8">
        <v>42803</v>
      </c>
      <c r="B16" s="6" t="s">
        <v>13</v>
      </c>
      <c r="C16" s="6" t="s">
        <v>14</v>
      </c>
      <c r="D16" s="13">
        <v>0.5171</v>
      </c>
      <c r="E16" s="13">
        <v>6200</v>
      </c>
      <c r="G16" s="19" t="s">
        <v>35</v>
      </c>
      <c r="H16" s="20" t="s">
        <v>24</v>
      </c>
      <c r="I16" s="21">
        <v>43132</v>
      </c>
      <c r="J16" s="22">
        <v>59656</v>
      </c>
      <c r="K16" s="23">
        <v>305928.37644799997</v>
      </c>
      <c r="L16" s="23">
        <v>522</v>
      </c>
      <c r="M16" s="23">
        <v>311404.32</v>
      </c>
    </row>
    <row r="17" spans="1:26" ht="16.5">
      <c r="A17" s="8">
        <v>42803</v>
      </c>
      <c r="B17" s="6" t="s">
        <v>13</v>
      </c>
      <c r="C17" s="6" t="s">
        <v>14</v>
      </c>
      <c r="D17" s="13">
        <v>0.5171</v>
      </c>
      <c r="E17" s="13">
        <v>6630</v>
      </c>
      <c r="G17" s="19" t="s">
        <v>35</v>
      </c>
      <c r="H17" s="20" t="s">
        <v>25</v>
      </c>
      <c r="I17" s="21">
        <v>43160</v>
      </c>
      <c r="J17" s="22">
        <v>77656</v>
      </c>
      <c r="K17" s="23">
        <v>597354.18067200005</v>
      </c>
      <c r="L17" s="23">
        <v>592</v>
      </c>
      <c r="M17" s="23">
        <v>459723.52000000008</v>
      </c>
    </row>
    <row r="18" spans="1:26" ht="16.5">
      <c r="A18" s="8">
        <v>42811</v>
      </c>
      <c r="B18" s="6" t="s">
        <v>13</v>
      </c>
      <c r="C18" s="6" t="s">
        <v>14</v>
      </c>
      <c r="D18" s="13">
        <v>0.5171</v>
      </c>
      <c r="E18" s="13">
        <v>8400</v>
      </c>
      <c r="G18" s="19" t="s">
        <v>35</v>
      </c>
      <c r="H18" s="20" t="s">
        <v>26</v>
      </c>
      <c r="I18" s="21">
        <v>43191</v>
      </c>
      <c r="J18" s="22">
        <v>63835</v>
      </c>
      <c r="K18" s="23">
        <v>409551.69931</v>
      </c>
      <c r="L18" s="23">
        <v>654</v>
      </c>
      <c r="M18" s="23">
        <v>417480.9</v>
      </c>
    </row>
    <row r="19" spans="1:26" ht="16.5">
      <c r="A19" s="8">
        <v>42818</v>
      </c>
      <c r="B19" s="6" t="s">
        <v>13</v>
      </c>
      <c r="C19" s="6" t="s">
        <v>14</v>
      </c>
      <c r="D19" s="13">
        <v>0.5171</v>
      </c>
      <c r="E19" s="13">
        <v>11700</v>
      </c>
      <c r="G19" s="19" t="s">
        <v>35</v>
      </c>
      <c r="H19" s="20" t="s">
        <v>27</v>
      </c>
      <c r="I19" s="21">
        <v>43221</v>
      </c>
      <c r="J19" s="22">
        <v>16370</v>
      </c>
      <c r="K19" s="23">
        <v>31752.168720000001</v>
      </c>
      <c r="L19" s="23">
        <v>687</v>
      </c>
      <c r="M19" s="23">
        <v>112461.90000000001</v>
      </c>
    </row>
    <row r="20" spans="1:26" ht="16.5">
      <c r="A20" s="8">
        <v>42826</v>
      </c>
      <c r="B20" s="6" t="s">
        <v>13</v>
      </c>
      <c r="C20" s="6" t="s">
        <v>14</v>
      </c>
      <c r="D20" s="13">
        <v>0.5171</v>
      </c>
      <c r="E20" s="13">
        <v>6700</v>
      </c>
      <c r="G20" s="19" t="s">
        <v>35</v>
      </c>
      <c r="H20" s="20" t="s">
        <v>28</v>
      </c>
      <c r="I20" s="21">
        <v>43252</v>
      </c>
      <c r="J20" s="22">
        <v>55267.6</v>
      </c>
      <c r="K20" s="23">
        <v>320380.5293696</v>
      </c>
      <c r="L20" s="23">
        <v>1108</v>
      </c>
      <c r="M20" s="23">
        <v>612365.00800000003</v>
      </c>
    </row>
    <row r="21" spans="1:26" ht="16.5">
      <c r="A21" s="8">
        <v>42826</v>
      </c>
      <c r="B21" s="6" t="s">
        <v>13</v>
      </c>
      <c r="C21" s="6" t="s">
        <v>14</v>
      </c>
      <c r="D21" s="13">
        <v>0.5171</v>
      </c>
      <c r="E21" s="13">
        <v>6780</v>
      </c>
      <c r="G21" s="19" t="s">
        <v>35</v>
      </c>
      <c r="H21" s="20" t="s">
        <v>29</v>
      </c>
      <c r="I21" s="21">
        <v>43282</v>
      </c>
      <c r="J21" s="22">
        <v>63605.4</v>
      </c>
      <c r="K21" s="23">
        <v>366959.01585240004</v>
      </c>
      <c r="L21" s="23">
        <v>1180</v>
      </c>
      <c r="M21" s="23">
        <v>750543.72</v>
      </c>
    </row>
    <row r="22" spans="1:26" ht="16.5">
      <c r="A22" s="8">
        <v>42826</v>
      </c>
      <c r="B22" s="6" t="s">
        <v>13</v>
      </c>
      <c r="C22" s="6" t="s">
        <v>14</v>
      </c>
      <c r="D22" s="13">
        <v>0.5171</v>
      </c>
      <c r="E22" s="13">
        <v>9600</v>
      </c>
      <c r="G22" s="19" t="s">
        <v>35</v>
      </c>
      <c r="H22" s="20" t="s">
        <v>30</v>
      </c>
      <c r="I22" s="21">
        <v>43313</v>
      </c>
      <c r="J22" s="22">
        <v>32767.200000000001</v>
      </c>
      <c r="K22" s="23">
        <v>84019.09839839999</v>
      </c>
      <c r="L22" s="23">
        <v>1285</v>
      </c>
      <c r="M22" s="23">
        <v>421058.52000000008</v>
      </c>
    </row>
    <row r="23" spans="1:26" ht="17.25" thickBot="1">
      <c r="A23" s="8">
        <v>42835</v>
      </c>
      <c r="B23" s="6" t="s">
        <v>13</v>
      </c>
      <c r="C23" s="6" t="s">
        <v>14</v>
      </c>
      <c r="D23" s="13">
        <v>0.5171</v>
      </c>
      <c r="E23" s="13">
        <v>8900</v>
      </c>
      <c r="G23" s="24" t="s">
        <v>35</v>
      </c>
      <c r="H23" s="25" t="s">
        <v>31</v>
      </c>
      <c r="I23" s="26">
        <v>43344</v>
      </c>
      <c r="J23" s="27">
        <v>71663</v>
      </c>
      <c r="K23" s="28">
        <v>413445.77587800001</v>
      </c>
      <c r="L23" s="28">
        <v>689</v>
      </c>
      <c r="M23" s="28">
        <v>493758.07</v>
      </c>
    </row>
    <row r="24" spans="1:26" ht="16.5">
      <c r="A24" s="8">
        <v>42842</v>
      </c>
      <c r="B24" s="6" t="s">
        <v>13</v>
      </c>
      <c r="C24" s="6" t="s">
        <v>14</v>
      </c>
      <c r="D24" s="13">
        <v>0.5171</v>
      </c>
      <c r="E24" s="13">
        <v>5620</v>
      </c>
      <c r="S24" s="29" t="s">
        <v>58</v>
      </c>
      <c r="Z24" s="29" t="s">
        <v>59</v>
      </c>
    </row>
    <row r="25" spans="1:26" ht="16.5">
      <c r="A25" s="8">
        <v>42843</v>
      </c>
      <c r="B25" s="6" t="s">
        <v>13</v>
      </c>
      <c r="C25" s="6" t="s">
        <v>14</v>
      </c>
      <c r="D25" s="13">
        <v>0.5171</v>
      </c>
      <c r="E25" s="13">
        <v>8500</v>
      </c>
    </row>
    <row r="26" spans="1:26" ht="16.5">
      <c r="A26" s="8">
        <v>42846</v>
      </c>
      <c r="B26" s="6" t="s">
        <v>13</v>
      </c>
      <c r="C26" s="6" t="s">
        <v>14</v>
      </c>
      <c r="D26" s="13">
        <v>0.5171</v>
      </c>
      <c r="E26" s="13">
        <v>7.3</v>
      </c>
    </row>
    <row r="27" spans="1:26" ht="16.5">
      <c r="A27" s="8">
        <v>42849</v>
      </c>
      <c r="B27" s="6" t="s">
        <v>13</v>
      </c>
      <c r="C27" s="6" t="s">
        <v>14</v>
      </c>
      <c r="D27" s="13">
        <v>0.5171</v>
      </c>
      <c r="E27" s="13">
        <v>7757</v>
      </c>
    </row>
    <row r="28" spans="1:26" ht="16.5">
      <c r="A28" s="8">
        <v>42856</v>
      </c>
      <c r="B28" s="6" t="s">
        <v>13</v>
      </c>
      <c r="C28" s="6" t="s">
        <v>14</v>
      </c>
      <c r="D28" s="13">
        <v>0.5171</v>
      </c>
      <c r="E28" s="13">
        <v>6780</v>
      </c>
    </row>
    <row r="29" spans="1:26" ht="16.5">
      <c r="A29" s="8">
        <v>42856</v>
      </c>
      <c r="B29" s="6" t="s">
        <v>13</v>
      </c>
      <c r="C29" s="6" t="s">
        <v>14</v>
      </c>
      <c r="D29" s="13">
        <v>0.51704099999999997</v>
      </c>
      <c r="E29" s="13">
        <v>7232.7</v>
      </c>
    </row>
    <row r="30" spans="1:26" ht="16.5">
      <c r="A30" s="8">
        <v>42860</v>
      </c>
      <c r="B30" s="6" t="s">
        <v>13</v>
      </c>
      <c r="C30" s="6" t="s">
        <v>14</v>
      </c>
      <c r="D30" s="13">
        <v>0.5171</v>
      </c>
      <c r="E30" s="13">
        <v>10000</v>
      </c>
    </row>
    <row r="31" spans="1:26" ht="16.5">
      <c r="A31" s="8">
        <v>42860</v>
      </c>
      <c r="B31" s="6" t="s">
        <v>13</v>
      </c>
      <c r="C31" s="6" t="s">
        <v>14</v>
      </c>
      <c r="D31" s="13">
        <v>0.5171</v>
      </c>
      <c r="E31" s="13">
        <v>6200</v>
      </c>
    </row>
    <row r="32" spans="1:26" ht="16.5">
      <c r="A32" s="8">
        <v>42861</v>
      </c>
      <c r="B32" s="6" t="s">
        <v>13</v>
      </c>
      <c r="C32" s="6" t="s">
        <v>14</v>
      </c>
      <c r="D32" s="13">
        <v>0.5171</v>
      </c>
      <c r="E32" s="13">
        <v>8500</v>
      </c>
    </row>
    <row r="33" spans="1:11" ht="16.5">
      <c r="A33" s="8">
        <v>42865</v>
      </c>
      <c r="B33" s="6" t="s">
        <v>13</v>
      </c>
      <c r="C33" s="6" t="s">
        <v>14</v>
      </c>
      <c r="D33" s="13">
        <v>0.5171</v>
      </c>
      <c r="E33" s="13">
        <v>12200</v>
      </c>
    </row>
    <row r="34" spans="1:11" ht="16.5">
      <c r="A34" s="8">
        <v>42871</v>
      </c>
      <c r="B34" s="6" t="s">
        <v>13</v>
      </c>
      <c r="C34" s="6" t="s">
        <v>14</v>
      </c>
      <c r="D34" s="13">
        <v>0.5171</v>
      </c>
      <c r="E34" s="13">
        <v>9400</v>
      </c>
    </row>
    <row r="35" spans="1:11" ht="16.5">
      <c r="A35" s="8">
        <v>42871</v>
      </c>
      <c r="B35" s="6" t="s">
        <v>13</v>
      </c>
      <c r="C35" s="6" t="s">
        <v>14</v>
      </c>
      <c r="D35" s="13">
        <v>0.5171</v>
      </c>
      <c r="E35" s="13">
        <v>7000</v>
      </c>
    </row>
    <row r="36" spans="1:11" ht="16.5">
      <c r="A36" s="8">
        <v>42877</v>
      </c>
      <c r="B36" s="6" t="s">
        <v>13</v>
      </c>
      <c r="C36" s="6" t="s">
        <v>14</v>
      </c>
      <c r="D36" s="13">
        <v>0.5171</v>
      </c>
      <c r="E36" s="13">
        <v>7700</v>
      </c>
    </row>
    <row r="37" spans="1:11" ht="16.5">
      <c r="A37" s="8">
        <v>42878</v>
      </c>
      <c r="B37" s="6" t="s">
        <v>13</v>
      </c>
      <c r="C37" s="6" t="s">
        <v>14</v>
      </c>
      <c r="D37" s="13">
        <v>0.5171</v>
      </c>
      <c r="E37" s="13">
        <v>4069</v>
      </c>
    </row>
    <row r="38" spans="1:11" ht="16.5">
      <c r="A38" s="8">
        <v>42890</v>
      </c>
      <c r="B38" s="6" t="s">
        <v>13</v>
      </c>
      <c r="C38" s="6" t="s">
        <v>14</v>
      </c>
      <c r="D38" s="13">
        <v>0.5171</v>
      </c>
      <c r="E38" s="13">
        <v>9700</v>
      </c>
    </row>
    <row r="39" spans="1:11" ht="16.5">
      <c r="A39" s="8">
        <v>42890</v>
      </c>
      <c r="B39" s="6" t="s">
        <v>13</v>
      </c>
      <c r="C39" s="6" t="s">
        <v>14</v>
      </c>
      <c r="D39" s="13">
        <v>0.5171</v>
      </c>
      <c r="E39" s="13">
        <v>5100</v>
      </c>
    </row>
    <row r="40" spans="1:11" ht="16.5">
      <c r="A40" s="8">
        <v>42891</v>
      </c>
      <c r="B40" s="6" t="s">
        <v>13</v>
      </c>
      <c r="C40" s="6" t="s">
        <v>14</v>
      </c>
      <c r="D40" s="13">
        <v>0.5171</v>
      </c>
      <c r="E40" s="13">
        <v>1</v>
      </c>
    </row>
    <row r="41" spans="1:11" ht="16.5">
      <c r="A41" s="8">
        <v>42894</v>
      </c>
      <c r="B41" s="6" t="s">
        <v>13</v>
      </c>
      <c r="C41" s="6" t="s">
        <v>14</v>
      </c>
      <c r="D41" s="13">
        <v>0.5171</v>
      </c>
      <c r="E41" s="13">
        <v>9770</v>
      </c>
    </row>
    <row r="42" spans="1:11" ht="16.5">
      <c r="A42" s="8">
        <v>42898</v>
      </c>
      <c r="B42" s="6" t="s">
        <v>13</v>
      </c>
      <c r="C42" s="6" t="s">
        <v>14</v>
      </c>
      <c r="D42" s="13">
        <v>0.5171</v>
      </c>
      <c r="E42" s="13">
        <v>8500</v>
      </c>
    </row>
    <row r="43" spans="1:11" ht="16.5">
      <c r="A43" s="8">
        <v>42901</v>
      </c>
      <c r="B43" s="6" t="s">
        <v>13</v>
      </c>
      <c r="C43" s="6" t="s">
        <v>14</v>
      </c>
      <c r="D43" s="13">
        <v>0.5171</v>
      </c>
      <c r="E43" s="13">
        <v>6395</v>
      </c>
    </row>
    <row r="44" spans="1:11" ht="16.5">
      <c r="A44" s="8">
        <v>42905</v>
      </c>
      <c r="B44" s="6" t="s">
        <v>13</v>
      </c>
      <c r="C44" s="6" t="s">
        <v>14</v>
      </c>
      <c r="D44" s="13">
        <v>0.5171</v>
      </c>
      <c r="E44" s="13">
        <v>7240</v>
      </c>
    </row>
    <row r="45" spans="1:11" ht="16.5">
      <c r="A45" s="8">
        <v>42911</v>
      </c>
      <c r="B45" s="6" t="s">
        <v>13</v>
      </c>
      <c r="C45" s="6" t="s">
        <v>14</v>
      </c>
      <c r="D45" s="13">
        <v>0.5171</v>
      </c>
      <c r="E45" s="13">
        <v>10720</v>
      </c>
    </row>
    <row r="46" spans="1:11" ht="16.5">
      <c r="A46" s="8">
        <v>42917</v>
      </c>
      <c r="B46" s="6" t="s">
        <v>13</v>
      </c>
      <c r="C46" s="6" t="s">
        <v>14</v>
      </c>
      <c r="D46" s="13">
        <v>0.5171</v>
      </c>
      <c r="E46" s="13">
        <v>8700</v>
      </c>
    </row>
    <row r="47" spans="1:11" ht="16.5">
      <c r="A47" s="8">
        <v>42917</v>
      </c>
      <c r="B47" s="6" t="s">
        <v>13</v>
      </c>
      <c r="C47" s="6" t="s">
        <v>14</v>
      </c>
      <c r="D47" s="13">
        <v>0.5171</v>
      </c>
      <c r="E47" s="13">
        <v>9000</v>
      </c>
    </row>
    <row r="48" spans="1:11" ht="16.5">
      <c r="A48" s="8">
        <v>42919</v>
      </c>
      <c r="B48" s="6" t="s">
        <v>13</v>
      </c>
      <c r="C48" s="6" t="s">
        <v>14</v>
      </c>
      <c r="D48" s="13">
        <v>0.5171</v>
      </c>
      <c r="E48" s="13">
        <v>6900</v>
      </c>
      <c r="K48" s="1" t="s">
        <v>36</v>
      </c>
    </row>
    <row r="49" spans="1:12" ht="17.25" thickBot="1">
      <c r="A49" s="8">
        <v>42919</v>
      </c>
      <c r="B49" s="6" t="s">
        <v>13</v>
      </c>
      <c r="C49" s="6" t="s">
        <v>14</v>
      </c>
      <c r="D49" s="13">
        <v>0.5171</v>
      </c>
      <c r="E49" s="13">
        <v>3400</v>
      </c>
      <c r="I49" s="4" t="s">
        <v>0</v>
      </c>
      <c r="J49" s="4" t="s">
        <v>1</v>
      </c>
      <c r="L49" s="4" t="s">
        <v>2</v>
      </c>
    </row>
    <row r="50" spans="1:12" ht="17.25" thickBot="1">
      <c r="A50" s="8">
        <v>42929</v>
      </c>
      <c r="B50" s="6" t="s">
        <v>13</v>
      </c>
      <c r="C50" s="6" t="s">
        <v>14</v>
      </c>
      <c r="D50" s="13">
        <v>0.5171</v>
      </c>
      <c r="E50" s="13">
        <v>4</v>
      </c>
      <c r="I50" s="4">
        <v>1</v>
      </c>
      <c r="J50" s="4">
        <v>1</v>
      </c>
      <c r="K50" s="11" t="s">
        <v>19</v>
      </c>
      <c r="L50" s="12">
        <f>SUM(K11:K23)</f>
        <v>5425185.5368764</v>
      </c>
    </row>
    <row r="51" spans="1:12" ht="16.5">
      <c r="A51" s="8">
        <v>42929</v>
      </c>
      <c r="B51" s="6" t="s">
        <v>13</v>
      </c>
      <c r="C51" s="6" t="s">
        <v>14</v>
      </c>
      <c r="D51" s="13">
        <v>0.5171</v>
      </c>
      <c r="E51" s="13">
        <v>6700</v>
      </c>
      <c r="I51" s="4">
        <v>2</v>
      </c>
      <c r="J51" s="4">
        <v>1</v>
      </c>
      <c r="K51" s="11" t="s">
        <v>21</v>
      </c>
      <c r="L51" s="12">
        <f>SUM(M11:M23)</f>
        <v>6082682.1980000008</v>
      </c>
    </row>
    <row r="52" spans="1:12" ht="16.5">
      <c r="A52" s="8">
        <v>42929</v>
      </c>
      <c r="B52" s="6" t="s">
        <v>13</v>
      </c>
      <c r="C52" s="6" t="s">
        <v>14</v>
      </c>
      <c r="D52" s="13">
        <v>0.5171</v>
      </c>
      <c r="E52" s="13">
        <v>2.4</v>
      </c>
    </row>
    <row r="53" spans="1:12" ht="16.5">
      <c r="A53" s="8">
        <v>42930</v>
      </c>
      <c r="B53" s="6" t="s">
        <v>13</v>
      </c>
      <c r="C53" s="6" t="s">
        <v>14</v>
      </c>
      <c r="D53" s="13">
        <v>0.5171</v>
      </c>
      <c r="E53" s="13">
        <v>8400</v>
      </c>
      <c r="I53" s="4" t="s">
        <v>0</v>
      </c>
      <c r="J53" s="4" t="s">
        <v>1</v>
      </c>
      <c r="K53" s="4" t="s">
        <v>3</v>
      </c>
      <c r="L53" s="4" t="s">
        <v>4</v>
      </c>
    </row>
    <row r="54" spans="1:12" ht="16.5">
      <c r="A54" s="8">
        <v>42936</v>
      </c>
      <c r="B54" s="6" t="s">
        <v>13</v>
      </c>
      <c r="C54" s="6" t="s">
        <v>14</v>
      </c>
      <c r="D54" s="13">
        <v>0.5171</v>
      </c>
      <c r="E54" s="13">
        <v>8500</v>
      </c>
      <c r="I54" s="4">
        <v>1</v>
      </c>
      <c r="J54" s="4">
        <v>0.6</v>
      </c>
      <c r="K54" s="4">
        <v>10</v>
      </c>
      <c r="L54" s="4" t="s">
        <v>37</v>
      </c>
    </row>
    <row r="55" spans="1:12" ht="16.5">
      <c r="A55" s="8">
        <v>42940</v>
      </c>
      <c r="B55" s="6" t="s">
        <v>13</v>
      </c>
      <c r="C55" s="6" t="s">
        <v>14</v>
      </c>
      <c r="D55" s="13">
        <v>0.5171</v>
      </c>
      <c r="E55" s="13">
        <v>4330</v>
      </c>
      <c r="I55" s="4">
        <v>2</v>
      </c>
      <c r="J55" s="4">
        <v>0.6</v>
      </c>
      <c r="K55" s="4">
        <v>10</v>
      </c>
      <c r="L55" s="4" t="s">
        <v>38</v>
      </c>
    </row>
    <row r="56" spans="1:12" ht="16.5">
      <c r="A56" s="8">
        <v>42941</v>
      </c>
      <c r="B56" s="6" t="s">
        <v>13</v>
      </c>
      <c r="C56" s="6" t="s">
        <v>14</v>
      </c>
      <c r="D56" s="13">
        <v>0.5171</v>
      </c>
      <c r="E56" s="13">
        <v>2100</v>
      </c>
    </row>
    <row r="57" spans="1:12" ht="16.5">
      <c r="A57" s="8">
        <v>42948</v>
      </c>
      <c r="B57" s="6" t="s">
        <v>13</v>
      </c>
      <c r="C57" s="6" t="s">
        <v>14</v>
      </c>
      <c r="D57" s="13">
        <v>0.5171</v>
      </c>
      <c r="E57" s="13">
        <v>8850</v>
      </c>
    </row>
    <row r="58" spans="1:12" ht="16.5">
      <c r="A58" s="8">
        <v>42954</v>
      </c>
      <c r="B58" s="6" t="s">
        <v>13</v>
      </c>
      <c r="C58" s="6" t="s">
        <v>14</v>
      </c>
      <c r="D58" s="13">
        <v>0.5171</v>
      </c>
      <c r="E58" s="13">
        <v>5900</v>
      </c>
    </row>
    <row r="59" spans="1:12" ht="16.5">
      <c r="A59" s="8">
        <v>42955</v>
      </c>
      <c r="B59" s="6" t="s">
        <v>13</v>
      </c>
      <c r="C59" s="6" t="s">
        <v>14</v>
      </c>
      <c r="D59" s="13">
        <v>0.5171</v>
      </c>
      <c r="E59" s="13">
        <v>7880</v>
      </c>
    </row>
    <row r="60" spans="1:12" ht="16.5">
      <c r="A60" s="8">
        <v>42956</v>
      </c>
      <c r="B60" s="6" t="s">
        <v>13</v>
      </c>
      <c r="C60" s="6" t="s">
        <v>14</v>
      </c>
      <c r="D60" s="13">
        <v>0.5171</v>
      </c>
      <c r="E60" s="13">
        <v>2397.6</v>
      </c>
    </row>
    <row r="61" spans="1:12" ht="16.5">
      <c r="A61" s="8">
        <v>42957</v>
      </c>
      <c r="B61" s="6" t="s">
        <v>13</v>
      </c>
      <c r="C61" s="6" t="s">
        <v>14</v>
      </c>
      <c r="D61" s="13">
        <v>0.5171</v>
      </c>
      <c r="E61" s="13">
        <v>8590</v>
      </c>
    </row>
    <row r="62" spans="1:12" ht="16.5">
      <c r="A62" s="8">
        <v>42961</v>
      </c>
      <c r="B62" s="6" t="s">
        <v>13</v>
      </c>
      <c r="C62" s="6" t="s">
        <v>14</v>
      </c>
      <c r="D62" s="13">
        <v>0.5171</v>
      </c>
      <c r="E62" s="13">
        <v>4900</v>
      </c>
    </row>
    <row r="63" spans="1:12" ht="16.5">
      <c r="A63" s="8">
        <v>42961</v>
      </c>
      <c r="B63" s="6" t="s">
        <v>13</v>
      </c>
      <c r="C63" s="6" t="s">
        <v>14</v>
      </c>
      <c r="D63" s="13">
        <v>0.5171</v>
      </c>
      <c r="E63" s="13">
        <v>8300</v>
      </c>
    </row>
    <row r="64" spans="1:12" ht="16.5">
      <c r="A64" s="8">
        <v>42968</v>
      </c>
      <c r="B64" s="6" t="s">
        <v>13</v>
      </c>
      <c r="C64" s="6" t="s">
        <v>14</v>
      </c>
      <c r="D64" s="13">
        <v>0.5171</v>
      </c>
      <c r="E64" s="13">
        <v>8500</v>
      </c>
    </row>
    <row r="65" spans="1:5" ht="16.5">
      <c r="A65" s="8">
        <v>42968</v>
      </c>
      <c r="B65" s="6" t="s">
        <v>13</v>
      </c>
      <c r="C65" s="6" t="s">
        <v>14</v>
      </c>
      <c r="D65" s="13">
        <v>0.5171</v>
      </c>
      <c r="E65" s="13">
        <v>7900</v>
      </c>
    </row>
    <row r="66" spans="1:5" ht="16.5">
      <c r="A66" s="8">
        <v>42972</v>
      </c>
      <c r="B66" s="6" t="s">
        <v>13</v>
      </c>
      <c r="C66" s="6" t="s">
        <v>14</v>
      </c>
      <c r="D66" s="13">
        <v>0.5171</v>
      </c>
      <c r="E66" s="13">
        <v>9900</v>
      </c>
    </row>
    <row r="67" spans="1:5" ht="16.5">
      <c r="A67" s="8">
        <v>42979</v>
      </c>
      <c r="B67" s="6" t="s">
        <v>13</v>
      </c>
      <c r="C67" s="6" t="s">
        <v>14</v>
      </c>
      <c r="D67" s="13">
        <v>0.5171</v>
      </c>
      <c r="E67" s="13">
        <v>7100</v>
      </c>
    </row>
    <row r="68" spans="1:5" ht="16.5">
      <c r="A68" s="8">
        <v>42979</v>
      </c>
      <c r="B68" s="6" t="s">
        <v>13</v>
      </c>
      <c r="C68" s="6" t="s">
        <v>14</v>
      </c>
      <c r="D68" s="13">
        <v>0.5171</v>
      </c>
      <c r="E68" s="13">
        <v>6000</v>
      </c>
    </row>
    <row r="69" spans="1:5" ht="16.5">
      <c r="A69" s="8">
        <v>42983</v>
      </c>
      <c r="B69" s="6" t="s">
        <v>13</v>
      </c>
      <c r="C69" s="6" t="s">
        <v>14</v>
      </c>
      <c r="D69" s="13">
        <v>0.5171</v>
      </c>
      <c r="E69" s="13">
        <v>10400</v>
      </c>
    </row>
    <row r="70" spans="1:5" ht="16.5">
      <c r="A70" s="8">
        <v>42983</v>
      </c>
      <c r="B70" s="6" t="s">
        <v>13</v>
      </c>
      <c r="C70" s="6" t="s">
        <v>14</v>
      </c>
      <c r="D70" s="13">
        <v>0.5171</v>
      </c>
      <c r="E70" s="13">
        <v>7560</v>
      </c>
    </row>
    <row r="71" spans="1:5" ht="16.5">
      <c r="A71" s="8">
        <v>42989</v>
      </c>
      <c r="B71" s="6" t="s">
        <v>13</v>
      </c>
      <c r="C71" s="6" t="s">
        <v>14</v>
      </c>
      <c r="D71" s="13">
        <v>0.5171</v>
      </c>
      <c r="E71" s="13">
        <v>10700</v>
      </c>
    </row>
    <row r="72" spans="1:5" ht="16.5">
      <c r="A72" s="8">
        <v>42989</v>
      </c>
      <c r="B72" s="6" t="s">
        <v>13</v>
      </c>
      <c r="C72" s="6" t="s">
        <v>14</v>
      </c>
      <c r="D72" s="13">
        <v>0.5171</v>
      </c>
      <c r="E72" s="13">
        <v>7100</v>
      </c>
    </row>
    <row r="73" spans="1:5" ht="16.5">
      <c r="A73" s="8">
        <v>42996</v>
      </c>
      <c r="B73" s="6" t="s">
        <v>13</v>
      </c>
      <c r="C73" s="6" t="s">
        <v>14</v>
      </c>
      <c r="D73" s="13">
        <v>0.5171</v>
      </c>
      <c r="E73" s="13">
        <v>10000</v>
      </c>
    </row>
    <row r="74" spans="1:5" ht="16.5">
      <c r="A74" s="8">
        <v>42996</v>
      </c>
      <c r="B74" s="6" t="s">
        <v>13</v>
      </c>
      <c r="C74" s="6" t="s">
        <v>14</v>
      </c>
      <c r="D74" s="13">
        <v>0.5171</v>
      </c>
      <c r="E74" s="13">
        <v>6650</v>
      </c>
    </row>
    <row r="75" spans="1:5" ht="16.5">
      <c r="A75" s="8">
        <v>42999</v>
      </c>
      <c r="B75" s="6" t="s">
        <v>13</v>
      </c>
      <c r="C75" s="6" t="s">
        <v>14</v>
      </c>
      <c r="D75" s="13">
        <v>0.5171</v>
      </c>
      <c r="E75" s="13">
        <v>8200</v>
      </c>
    </row>
    <row r="76" spans="1:5" ht="16.5">
      <c r="A76" s="8">
        <v>43003</v>
      </c>
      <c r="B76" s="6" t="s">
        <v>13</v>
      </c>
      <c r="C76" s="6" t="s">
        <v>14</v>
      </c>
      <c r="D76" s="13">
        <v>0.5171</v>
      </c>
      <c r="E76" s="13">
        <v>6900</v>
      </c>
    </row>
    <row r="77" spans="1:5" ht="16.5">
      <c r="A77" s="8">
        <v>43004</v>
      </c>
      <c r="B77" s="6" t="s">
        <v>13</v>
      </c>
      <c r="C77" s="6" t="s">
        <v>14</v>
      </c>
      <c r="D77" s="13">
        <v>0.5171</v>
      </c>
      <c r="E77" s="13">
        <v>11500</v>
      </c>
    </row>
    <row r="78" spans="1:5" ht="16.5">
      <c r="A78" s="8">
        <v>43009</v>
      </c>
      <c r="B78" s="6" t="s">
        <v>13</v>
      </c>
      <c r="C78" s="6" t="s">
        <v>14</v>
      </c>
      <c r="D78" s="13">
        <v>0.5171</v>
      </c>
      <c r="E78" s="13">
        <v>9400</v>
      </c>
    </row>
    <row r="79" spans="1:5" ht="16.5">
      <c r="A79" s="8">
        <v>43019</v>
      </c>
      <c r="B79" s="6" t="s">
        <v>13</v>
      </c>
      <c r="C79" s="6" t="s">
        <v>14</v>
      </c>
      <c r="D79" s="13">
        <v>0.5171</v>
      </c>
      <c r="E79" s="13">
        <v>6600</v>
      </c>
    </row>
    <row r="80" spans="1:5" ht="16.5">
      <c r="A80" s="8">
        <v>43019</v>
      </c>
      <c r="B80" s="6" t="s">
        <v>13</v>
      </c>
      <c r="C80" s="6" t="s">
        <v>14</v>
      </c>
      <c r="D80" s="13">
        <v>0.5171</v>
      </c>
      <c r="E80" s="13">
        <v>5400</v>
      </c>
    </row>
    <row r="81" spans="1:5" ht="16.5">
      <c r="A81" s="8">
        <v>43019</v>
      </c>
      <c r="B81" s="6" t="s">
        <v>13</v>
      </c>
      <c r="C81" s="6" t="s">
        <v>14</v>
      </c>
      <c r="D81" s="13">
        <v>0.5171</v>
      </c>
      <c r="E81" s="13">
        <v>7400</v>
      </c>
    </row>
    <row r="82" spans="1:5" ht="16.5">
      <c r="A82" s="8">
        <v>43026</v>
      </c>
      <c r="B82" s="6" t="s">
        <v>13</v>
      </c>
      <c r="C82" s="6" t="s">
        <v>14</v>
      </c>
      <c r="D82" s="13">
        <v>0.5171</v>
      </c>
      <c r="E82" s="13">
        <v>10000</v>
      </c>
    </row>
    <row r="83" spans="1:5" ht="16.5">
      <c r="A83" s="8">
        <v>43026</v>
      </c>
      <c r="B83" s="6" t="s">
        <v>13</v>
      </c>
      <c r="C83" s="6" t="s">
        <v>14</v>
      </c>
      <c r="D83" s="13">
        <v>0.5171</v>
      </c>
      <c r="E83" s="13">
        <v>7200</v>
      </c>
    </row>
    <row r="84" spans="1:5" ht="16.5">
      <c r="A84" s="8">
        <v>43028</v>
      </c>
      <c r="B84" s="6" t="s">
        <v>13</v>
      </c>
      <c r="C84" s="6" t="s">
        <v>14</v>
      </c>
      <c r="D84" s="13">
        <v>0.5171</v>
      </c>
      <c r="E84" s="13">
        <v>7100</v>
      </c>
    </row>
    <row r="85" spans="1:5" ht="16.5">
      <c r="A85" s="8">
        <v>43033</v>
      </c>
      <c r="B85" s="6" t="s">
        <v>13</v>
      </c>
      <c r="C85" s="6" t="s">
        <v>14</v>
      </c>
      <c r="D85" s="13">
        <v>0.64102599999999998</v>
      </c>
      <c r="E85" s="13">
        <v>8700</v>
      </c>
    </row>
    <row r="86" spans="1:5" ht="16.5">
      <c r="A86" s="8">
        <v>43034</v>
      </c>
      <c r="B86" s="6" t="s">
        <v>13</v>
      </c>
      <c r="C86" s="6" t="s">
        <v>14</v>
      </c>
      <c r="D86" s="13">
        <v>0.64102599999999998</v>
      </c>
      <c r="E86" s="13">
        <v>6700</v>
      </c>
    </row>
    <row r="87" spans="1:5" ht="16.5">
      <c r="A87" s="8">
        <v>43040</v>
      </c>
      <c r="B87" s="6" t="s">
        <v>13</v>
      </c>
      <c r="C87" s="6" t="s">
        <v>14</v>
      </c>
      <c r="D87" s="13">
        <v>0.64102599999999998</v>
      </c>
      <c r="E87" s="13">
        <v>8080</v>
      </c>
    </row>
    <row r="88" spans="1:5" ht="16.5">
      <c r="A88" s="8">
        <v>43040</v>
      </c>
      <c r="B88" s="6" t="s">
        <v>13</v>
      </c>
      <c r="C88" s="6" t="s">
        <v>14</v>
      </c>
      <c r="D88" s="13">
        <v>0.64102599999999998</v>
      </c>
      <c r="E88" s="13">
        <v>7360</v>
      </c>
    </row>
    <row r="89" spans="1:5" ht="16.5">
      <c r="A89" s="8">
        <v>43042</v>
      </c>
      <c r="B89" s="6" t="s">
        <v>13</v>
      </c>
      <c r="C89" s="6" t="s">
        <v>14</v>
      </c>
      <c r="D89" s="13">
        <v>0.64102599999999998</v>
      </c>
      <c r="E89" s="13">
        <v>7810</v>
      </c>
    </row>
    <row r="90" spans="1:5" ht="16.5">
      <c r="A90" s="8">
        <v>43045</v>
      </c>
      <c r="B90" s="6" t="s">
        <v>13</v>
      </c>
      <c r="C90" s="6" t="s">
        <v>14</v>
      </c>
      <c r="D90" s="13">
        <v>0.64102599999999998</v>
      </c>
      <c r="E90" s="13">
        <v>4848</v>
      </c>
    </row>
    <row r="91" spans="1:5" ht="16.5">
      <c r="A91" s="8">
        <v>43046</v>
      </c>
      <c r="B91" s="6" t="s">
        <v>13</v>
      </c>
      <c r="C91" s="6" t="s">
        <v>14</v>
      </c>
      <c r="D91" s="13">
        <v>0.64102599999999998</v>
      </c>
      <c r="E91" s="13">
        <v>6528</v>
      </c>
    </row>
    <row r="92" spans="1:5" ht="16.5">
      <c r="A92" s="8">
        <v>43049</v>
      </c>
      <c r="B92" s="6" t="s">
        <v>13</v>
      </c>
      <c r="C92" s="6" t="s">
        <v>14</v>
      </c>
      <c r="D92" s="13">
        <v>0.64102599999999998</v>
      </c>
      <c r="E92" s="13">
        <v>10100</v>
      </c>
    </row>
    <row r="93" spans="1:5" ht="16.5">
      <c r="A93" s="8">
        <v>43053</v>
      </c>
      <c r="B93" s="6" t="s">
        <v>13</v>
      </c>
      <c r="C93" s="6" t="s">
        <v>14</v>
      </c>
      <c r="D93" s="13">
        <v>0.64102599999999998</v>
      </c>
      <c r="E93" s="13">
        <v>10200</v>
      </c>
    </row>
    <row r="94" spans="1:5" ht="16.5">
      <c r="A94" s="8">
        <v>43055</v>
      </c>
      <c r="B94" s="6" t="s">
        <v>13</v>
      </c>
      <c r="C94" s="6" t="s">
        <v>14</v>
      </c>
      <c r="D94" s="13">
        <v>0.64102599999999998</v>
      </c>
      <c r="E94" s="13">
        <v>9400</v>
      </c>
    </row>
    <row r="95" spans="1:5" ht="16.5">
      <c r="A95" s="8">
        <v>43059</v>
      </c>
      <c r="B95" s="6" t="s">
        <v>13</v>
      </c>
      <c r="C95" s="6" t="s">
        <v>14</v>
      </c>
      <c r="D95" s="13">
        <v>0.64102599999999998</v>
      </c>
      <c r="E95" s="13">
        <v>10000</v>
      </c>
    </row>
    <row r="96" spans="1:5" ht="16.5">
      <c r="A96" s="8">
        <v>43059</v>
      </c>
      <c r="B96" s="6" t="s">
        <v>13</v>
      </c>
      <c r="C96" s="6" t="s">
        <v>14</v>
      </c>
      <c r="D96" s="13">
        <v>0.64102599999999998</v>
      </c>
      <c r="E96" s="13">
        <v>8400</v>
      </c>
    </row>
    <row r="97" spans="1:5" ht="16.5">
      <c r="A97" s="8">
        <v>43059</v>
      </c>
      <c r="B97" s="6" t="s">
        <v>13</v>
      </c>
      <c r="C97" s="6" t="s">
        <v>14</v>
      </c>
      <c r="D97" s="13">
        <v>0.64102599999999998</v>
      </c>
      <c r="E97" s="13">
        <v>3480</v>
      </c>
    </row>
    <row r="98" spans="1:5" ht="16.5">
      <c r="A98" s="8">
        <v>43061</v>
      </c>
      <c r="B98" s="6" t="s">
        <v>13</v>
      </c>
      <c r="C98" s="6" t="s">
        <v>14</v>
      </c>
      <c r="D98" s="13">
        <v>0.64102599999999998</v>
      </c>
      <c r="E98" s="13">
        <v>3100</v>
      </c>
    </row>
    <row r="99" spans="1:5" ht="16.5">
      <c r="A99" s="8">
        <v>43063</v>
      </c>
      <c r="B99" s="6" t="s">
        <v>13</v>
      </c>
      <c r="C99" s="6" t="s">
        <v>14</v>
      </c>
      <c r="D99" s="13">
        <v>0.64102599999999998</v>
      </c>
      <c r="E99" s="13">
        <v>9000</v>
      </c>
    </row>
    <row r="100" spans="1:5" ht="16.5">
      <c r="A100" s="8">
        <v>43064</v>
      </c>
      <c r="B100" s="6" t="s">
        <v>13</v>
      </c>
      <c r="C100" s="6" t="s">
        <v>14</v>
      </c>
      <c r="D100" s="13">
        <v>0.64102599999999998</v>
      </c>
      <c r="E100" s="13">
        <v>9800</v>
      </c>
    </row>
    <row r="101" spans="1:5" ht="16.5">
      <c r="A101" s="8">
        <v>43070</v>
      </c>
      <c r="B101" s="6" t="s">
        <v>13</v>
      </c>
      <c r="C101" s="6" t="s">
        <v>14</v>
      </c>
      <c r="D101" s="13">
        <v>0.64102599999999998</v>
      </c>
      <c r="E101" s="13">
        <v>3100</v>
      </c>
    </row>
    <row r="102" spans="1:5" ht="16.5">
      <c r="A102" s="8">
        <v>43070</v>
      </c>
      <c r="B102" s="6" t="s">
        <v>13</v>
      </c>
      <c r="C102" s="6" t="s">
        <v>14</v>
      </c>
      <c r="D102" s="13">
        <v>0.64102599999999998</v>
      </c>
      <c r="E102" s="13">
        <v>3000</v>
      </c>
    </row>
    <row r="103" spans="1:5" ht="16.5">
      <c r="A103" s="8">
        <v>43070</v>
      </c>
      <c r="B103" s="6" t="s">
        <v>13</v>
      </c>
      <c r="C103" s="6" t="s">
        <v>14</v>
      </c>
      <c r="D103" s="13">
        <v>0.64102599999999998</v>
      </c>
      <c r="E103" s="13">
        <v>9600</v>
      </c>
    </row>
    <row r="104" spans="1:5" ht="16.5">
      <c r="A104" s="8">
        <v>43077</v>
      </c>
      <c r="B104" s="6" t="s">
        <v>13</v>
      </c>
      <c r="C104" s="6" t="s">
        <v>14</v>
      </c>
      <c r="D104" s="13">
        <v>0.64102599999999998</v>
      </c>
      <c r="E104" s="13">
        <v>8800</v>
      </c>
    </row>
    <row r="105" spans="1:5" ht="16.5">
      <c r="A105" s="8">
        <v>43077</v>
      </c>
      <c r="B105" s="6" t="s">
        <v>13</v>
      </c>
      <c r="C105" s="6" t="s">
        <v>14</v>
      </c>
      <c r="D105" s="13">
        <v>0.64102599999999998</v>
      </c>
      <c r="E105" s="13">
        <v>5600</v>
      </c>
    </row>
    <row r="106" spans="1:5" ht="16.5">
      <c r="A106" s="8">
        <v>43083</v>
      </c>
      <c r="B106" s="6" t="s">
        <v>13</v>
      </c>
      <c r="C106" s="6" t="s">
        <v>14</v>
      </c>
      <c r="D106" s="13">
        <v>0.64102599999999998</v>
      </c>
      <c r="E106" s="13">
        <v>5100</v>
      </c>
    </row>
    <row r="107" spans="1:5" ht="16.5">
      <c r="A107" s="8">
        <v>43083</v>
      </c>
      <c r="B107" s="6" t="s">
        <v>13</v>
      </c>
      <c r="C107" s="6" t="s">
        <v>14</v>
      </c>
      <c r="D107" s="13">
        <v>0.64102599999999998</v>
      </c>
      <c r="E107" s="13">
        <v>10400</v>
      </c>
    </row>
    <row r="108" spans="1:5" ht="16.5">
      <c r="A108" s="8">
        <v>43088</v>
      </c>
      <c r="B108" s="6" t="s">
        <v>13</v>
      </c>
      <c r="C108" s="6" t="s">
        <v>14</v>
      </c>
      <c r="D108" s="13">
        <v>0.64102599999999998</v>
      </c>
      <c r="E108" s="13">
        <v>5170</v>
      </c>
    </row>
    <row r="109" spans="1:5" ht="16.5">
      <c r="A109" s="8">
        <v>43088</v>
      </c>
      <c r="B109" s="6" t="s">
        <v>13</v>
      </c>
      <c r="C109" s="6" t="s">
        <v>14</v>
      </c>
      <c r="D109" s="13">
        <v>0.64102599999999998</v>
      </c>
      <c r="E109" s="13">
        <v>8400</v>
      </c>
    </row>
    <row r="110" spans="1:5" ht="16.5">
      <c r="A110" s="8">
        <v>43088</v>
      </c>
      <c r="B110" s="6" t="s">
        <v>13</v>
      </c>
      <c r="C110" s="6" t="s">
        <v>14</v>
      </c>
      <c r="D110" s="13">
        <v>0.64102599999999998</v>
      </c>
      <c r="E110" s="13">
        <v>5200</v>
      </c>
    </row>
    <row r="111" spans="1:5" ht="16.5">
      <c r="A111" s="8">
        <v>43101</v>
      </c>
      <c r="B111" s="6" t="s">
        <v>13</v>
      </c>
      <c r="C111" s="6" t="s">
        <v>14</v>
      </c>
      <c r="D111" s="13">
        <v>0.64102599999999998</v>
      </c>
      <c r="E111" s="13">
        <v>3900</v>
      </c>
    </row>
    <row r="112" spans="1:5" ht="16.5">
      <c r="A112" s="8">
        <v>43103</v>
      </c>
      <c r="B112" s="6" t="s">
        <v>13</v>
      </c>
      <c r="C112" s="6" t="s">
        <v>14</v>
      </c>
      <c r="D112" s="13">
        <v>0.64102599999999998</v>
      </c>
      <c r="E112" s="13">
        <v>9600</v>
      </c>
    </row>
    <row r="113" spans="1:5" ht="16.5">
      <c r="A113" s="8">
        <v>43103</v>
      </c>
      <c r="B113" s="6" t="s">
        <v>13</v>
      </c>
      <c r="C113" s="6" t="s">
        <v>14</v>
      </c>
      <c r="D113" s="13">
        <v>0.64102599999999998</v>
      </c>
      <c r="E113" s="13">
        <v>10000</v>
      </c>
    </row>
    <row r="114" spans="1:5" ht="16.5">
      <c r="A114" s="8">
        <v>43103</v>
      </c>
      <c r="B114" s="6" t="s">
        <v>13</v>
      </c>
      <c r="C114" s="6" t="s">
        <v>14</v>
      </c>
      <c r="D114" s="13">
        <v>0.64102599999999998</v>
      </c>
      <c r="E114" s="13">
        <v>2526</v>
      </c>
    </row>
    <row r="115" spans="1:5" ht="16.5">
      <c r="A115" s="8">
        <v>43103</v>
      </c>
      <c r="B115" s="6" t="s">
        <v>13</v>
      </c>
      <c r="C115" s="6" t="s">
        <v>14</v>
      </c>
      <c r="D115" s="13">
        <v>0.64102599999999998</v>
      </c>
      <c r="E115" s="13">
        <v>5474</v>
      </c>
    </row>
    <row r="116" spans="1:5" ht="16.5">
      <c r="A116" s="8">
        <v>43105</v>
      </c>
      <c r="B116" s="6" t="s">
        <v>13</v>
      </c>
      <c r="C116" s="6" t="s">
        <v>14</v>
      </c>
      <c r="D116" s="13">
        <v>0.64102599999999998</v>
      </c>
      <c r="E116" s="13">
        <v>8000</v>
      </c>
    </row>
    <row r="117" spans="1:5" ht="16.5">
      <c r="A117" s="8">
        <v>43110</v>
      </c>
      <c r="B117" s="6" t="s">
        <v>13</v>
      </c>
      <c r="C117" s="6" t="s">
        <v>14</v>
      </c>
      <c r="D117" s="13">
        <v>0.64102000000000003</v>
      </c>
      <c r="E117" s="13">
        <v>2</v>
      </c>
    </row>
    <row r="118" spans="1:5" ht="16.5">
      <c r="A118" s="8">
        <v>43110</v>
      </c>
      <c r="B118" s="6" t="s">
        <v>13</v>
      </c>
      <c r="C118" s="6" t="s">
        <v>14</v>
      </c>
      <c r="D118" s="13">
        <v>0.64102000000000003</v>
      </c>
      <c r="E118" s="13">
        <v>2</v>
      </c>
    </row>
    <row r="119" spans="1:5" ht="16.5">
      <c r="A119" s="8">
        <v>43118</v>
      </c>
      <c r="B119" s="6" t="s">
        <v>13</v>
      </c>
      <c r="C119" s="6" t="s">
        <v>14</v>
      </c>
      <c r="D119" s="13">
        <v>0.64102599999999998</v>
      </c>
      <c r="E119" s="13">
        <v>9900</v>
      </c>
    </row>
    <row r="120" spans="1:5" ht="16.5">
      <c r="A120" s="8">
        <v>43123</v>
      </c>
      <c r="B120" s="6" t="s">
        <v>13</v>
      </c>
      <c r="C120" s="6" t="s">
        <v>14</v>
      </c>
      <c r="D120" s="13">
        <v>0.64102599999999998</v>
      </c>
      <c r="E120" s="13">
        <v>7026</v>
      </c>
    </row>
    <row r="121" spans="1:5" ht="16.5">
      <c r="A121" s="8">
        <v>43123</v>
      </c>
      <c r="B121" s="6" t="s">
        <v>13</v>
      </c>
      <c r="C121" s="6" t="s">
        <v>14</v>
      </c>
      <c r="D121" s="13">
        <v>0.64102599999999998</v>
      </c>
      <c r="E121" s="13">
        <v>2874</v>
      </c>
    </row>
    <row r="122" spans="1:5" ht="16.5">
      <c r="A122" s="8">
        <v>43123</v>
      </c>
      <c r="B122" s="6" t="s">
        <v>13</v>
      </c>
      <c r="C122" s="6" t="s">
        <v>14</v>
      </c>
      <c r="D122" s="13">
        <v>0.64102599999999998</v>
      </c>
      <c r="E122" s="13">
        <v>10190</v>
      </c>
    </row>
    <row r="123" spans="1:5" ht="16.5">
      <c r="A123" s="8">
        <v>43125</v>
      </c>
      <c r="B123" s="6" t="s">
        <v>13</v>
      </c>
      <c r="C123" s="6" t="s">
        <v>14</v>
      </c>
      <c r="D123" s="13">
        <v>0.64102599999999998</v>
      </c>
      <c r="E123" s="13">
        <v>8900</v>
      </c>
    </row>
    <row r="124" spans="1:5" ht="16.5">
      <c r="A124" s="8">
        <v>43132</v>
      </c>
      <c r="B124" s="6" t="s">
        <v>13</v>
      </c>
      <c r="C124" s="6" t="s">
        <v>14</v>
      </c>
      <c r="D124" s="13">
        <v>0.64102599999999998</v>
      </c>
      <c r="E124" s="13">
        <v>6000</v>
      </c>
    </row>
    <row r="125" spans="1:5" ht="16.5">
      <c r="A125" s="8">
        <v>43132</v>
      </c>
      <c r="B125" s="6" t="s">
        <v>13</v>
      </c>
      <c r="C125" s="6" t="s">
        <v>14</v>
      </c>
      <c r="D125" s="13">
        <v>0.64102599999999998</v>
      </c>
      <c r="E125" s="13">
        <v>8496</v>
      </c>
    </row>
    <row r="126" spans="1:5" ht="16.5">
      <c r="A126" s="8">
        <v>43133</v>
      </c>
      <c r="B126" s="6" t="s">
        <v>13</v>
      </c>
      <c r="C126" s="6" t="s">
        <v>14</v>
      </c>
      <c r="D126" s="13">
        <v>0.64102599999999998</v>
      </c>
      <c r="E126" s="13">
        <v>6200</v>
      </c>
    </row>
    <row r="127" spans="1:5" ht="16.5">
      <c r="A127" s="8">
        <v>43137</v>
      </c>
      <c r="B127" s="6" t="s">
        <v>13</v>
      </c>
      <c r="C127" s="6" t="s">
        <v>14</v>
      </c>
      <c r="D127" s="13">
        <v>0.64102599999999998</v>
      </c>
      <c r="E127" s="13">
        <v>6300</v>
      </c>
    </row>
    <row r="128" spans="1:5" ht="16.5">
      <c r="A128" s="8">
        <v>43138</v>
      </c>
      <c r="B128" s="6" t="s">
        <v>13</v>
      </c>
      <c r="C128" s="6" t="s">
        <v>14</v>
      </c>
      <c r="D128" s="13">
        <v>0.64102599999999998</v>
      </c>
      <c r="E128" s="13">
        <v>9500</v>
      </c>
    </row>
    <row r="129" spans="1:5" ht="16.5">
      <c r="A129" s="8">
        <v>43156</v>
      </c>
      <c r="B129" s="6" t="s">
        <v>13</v>
      </c>
      <c r="C129" s="6" t="s">
        <v>14</v>
      </c>
      <c r="D129" s="13">
        <v>0.64102599999999998</v>
      </c>
      <c r="E129" s="13">
        <v>10460</v>
      </c>
    </row>
    <row r="130" spans="1:5" ht="16.5">
      <c r="A130" s="8">
        <v>43142</v>
      </c>
      <c r="B130" s="6" t="s">
        <v>13</v>
      </c>
      <c r="C130" s="6" t="s">
        <v>14</v>
      </c>
      <c r="D130" s="13">
        <v>0.64102599999999998</v>
      </c>
      <c r="E130" s="13">
        <v>7600</v>
      </c>
    </row>
    <row r="131" spans="1:5" ht="16.5">
      <c r="A131" s="8">
        <v>43142</v>
      </c>
      <c r="B131" s="6" t="s">
        <v>13</v>
      </c>
      <c r="C131" s="6" t="s">
        <v>14</v>
      </c>
      <c r="D131" s="13">
        <v>0.64102599999999998</v>
      </c>
      <c r="E131" s="13">
        <v>5100</v>
      </c>
    </row>
    <row r="132" spans="1:5" ht="16.5">
      <c r="A132" s="8">
        <v>43160</v>
      </c>
      <c r="B132" s="6" t="s">
        <v>13</v>
      </c>
      <c r="C132" s="6" t="s">
        <v>14</v>
      </c>
      <c r="D132" s="13">
        <v>0.64102599999999998</v>
      </c>
      <c r="E132" s="13">
        <v>5810</v>
      </c>
    </row>
    <row r="133" spans="1:5" ht="16.5">
      <c r="A133" s="8">
        <v>43160</v>
      </c>
      <c r="B133" s="6" t="s">
        <v>13</v>
      </c>
      <c r="C133" s="6" t="s">
        <v>14</v>
      </c>
      <c r="D133" s="13">
        <v>0.64102599999999998</v>
      </c>
      <c r="E133" s="13">
        <v>7100</v>
      </c>
    </row>
    <row r="134" spans="1:5" ht="16.5">
      <c r="A134" s="8">
        <v>43161</v>
      </c>
      <c r="B134" s="6" t="s">
        <v>13</v>
      </c>
      <c r="C134" s="6" t="s">
        <v>14</v>
      </c>
      <c r="D134" s="13">
        <v>0.64102599999999998</v>
      </c>
      <c r="E134" s="13">
        <v>5470</v>
      </c>
    </row>
    <row r="135" spans="1:5" ht="16.5">
      <c r="A135" s="8">
        <v>43161</v>
      </c>
      <c r="B135" s="6" t="s">
        <v>13</v>
      </c>
      <c r="C135" s="6" t="s">
        <v>14</v>
      </c>
      <c r="D135" s="13">
        <v>0.64102599999999998</v>
      </c>
      <c r="E135" s="13">
        <v>780</v>
      </c>
    </row>
    <row r="136" spans="1:5" ht="16.5">
      <c r="A136" s="8">
        <v>43165</v>
      </c>
      <c r="B136" s="6" t="s">
        <v>13</v>
      </c>
      <c r="C136" s="6" t="s">
        <v>14</v>
      </c>
      <c r="D136" s="13">
        <v>0.64102599999999998</v>
      </c>
      <c r="E136" s="13">
        <v>8550</v>
      </c>
    </row>
    <row r="137" spans="1:5" ht="16.5">
      <c r="A137" s="8">
        <v>43165</v>
      </c>
      <c r="B137" s="6" t="s">
        <v>13</v>
      </c>
      <c r="C137" s="6" t="s">
        <v>14</v>
      </c>
      <c r="D137" s="13">
        <v>0.64102599999999998</v>
      </c>
      <c r="E137" s="13">
        <v>1656</v>
      </c>
    </row>
    <row r="138" spans="1:5" ht="16.5">
      <c r="A138" s="8">
        <v>43168</v>
      </c>
      <c r="B138" s="6" t="s">
        <v>13</v>
      </c>
      <c r="C138" s="6" t="s">
        <v>14</v>
      </c>
      <c r="D138" s="13">
        <v>0.64102599999999998</v>
      </c>
      <c r="E138" s="13">
        <v>5200</v>
      </c>
    </row>
    <row r="139" spans="1:5" ht="16.5">
      <c r="A139" s="8">
        <v>43171</v>
      </c>
      <c r="B139" s="6" t="s">
        <v>13</v>
      </c>
      <c r="C139" s="6" t="s">
        <v>14</v>
      </c>
      <c r="D139" s="13">
        <v>0.64102599999999998</v>
      </c>
      <c r="E139" s="13">
        <v>7900</v>
      </c>
    </row>
    <row r="140" spans="1:5" ht="16.5">
      <c r="A140" s="8">
        <v>43173</v>
      </c>
      <c r="B140" s="6" t="s">
        <v>13</v>
      </c>
      <c r="C140" s="6" t="s">
        <v>14</v>
      </c>
      <c r="D140" s="13">
        <v>0.64102599999999998</v>
      </c>
      <c r="E140" s="13">
        <v>10000</v>
      </c>
    </row>
    <row r="141" spans="1:5" ht="16.5">
      <c r="A141" s="8">
        <v>43176</v>
      </c>
      <c r="B141" s="6" t="s">
        <v>13</v>
      </c>
      <c r="C141" s="6" t="s">
        <v>14</v>
      </c>
      <c r="D141" s="13">
        <v>0.64102599999999998</v>
      </c>
      <c r="E141" s="13">
        <v>8400</v>
      </c>
    </row>
    <row r="142" spans="1:5" ht="16.5">
      <c r="A142" s="8">
        <v>43180</v>
      </c>
      <c r="B142" s="6" t="s">
        <v>13</v>
      </c>
      <c r="C142" s="6" t="s">
        <v>14</v>
      </c>
      <c r="D142" s="13">
        <v>0.64102599999999998</v>
      </c>
      <c r="E142" s="13">
        <v>8390</v>
      </c>
    </row>
    <row r="143" spans="1:5" ht="16.5">
      <c r="A143" s="8">
        <v>43182</v>
      </c>
      <c r="B143" s="6" t="s">
        <v>13</v>
      </c>
      <c r="C143" s="6" t="s">
        <v>14</v>
      </c>
      <c r="D143" s="13">
        <v>0.64102599999999998</v>
      </c>
      <c r="E143" s="13">
        <v>8400</v>
      </c>
    </row>
    <row r="144" spans="1:5" ht="16.5">
      <c r="A144" s="8">
        <v>43191</v>
      </c>
      <c r="B144" s="6" t="s">
        <v>13</v>
      </c>
      <c r="C144" s="6" t="s">
        <v>14</v>
      </c>
      <c r="D144" s="13">
        <v>0.64102599999999998</v>
      </c>
      <c r="E144" s="13">
        <v>9940</v>
      </c>
    </row>
    <row r="145" spans="1:5" ht="16.5">
      <c r="A145" s="8">
        <v>43191</v>
      </c>
      <c r="B145" s="6" t="s">
        <v>13</v>
      </c>
      <c r="C145" s="6" t="s">
        <v>14</v>
      </c>
      <c r="D145" s="13">
        <v>0.64102599999999998</v>
      </c>
      <c r="E145" s="13">
        <v>784</v>
      </c>
    </row>
    <row r="146" spans="1:5" ht="16.5">
      <c r="A146" s="8">
        <v>43191</v>
      </c>
      <c r="B146" s="6" t="s">
        <v>13</v>
      </c>
      <c r="C146" s="6" t="s">
        <v>14</v>
      </c>
      <c r="D146" s="13">
        <v>0.64102599999999998</v>
      </c>
      <c r="E146" s="13">
        <v>4836</v>
      </c>
    </row>
    <row r="147" spans="1:5" ht="16.5">
      <c r="A147" s="8">
        <v>43191</v>
      </c>
      <c r="B147" s="6" t="s">
        <v>13</v>
      </c>
      <c r="C147" s="6" t="s">
        <v>14</v>
      </c>
      <c r="D147" s="13">
        <v>0.64102599999999998</v>
      </c>
      <c r="E147" s="13">
        <v>7235</v>
      </c>
    </row>
    <row r="148" spans="1:5" ht="16.5">
      <c r="A148" s="8">
        <v>43192</v>
      </c>
      <c r="B148" s="6" t="s">
        <v>13</v>
      </c>
      <c r="C148" s="6" t="s">
        <v>14</v>
      </c>
      <c r="D148" s="13">
        <v>0.64102599999999998</v>
      </c>
      <c r="E148" s="13">
        <v>7300</v>
      </c>
    </row>
    <row r="149" spans="1:5" ht="16.5">
      <c r="A149" s="8">
        <v>43201</v>
      </c>
      <c r="B149" s="6" t="s">
        <v>13</v>
      </c>
      <c r="C149" s="6" t="s">
        <v>14</v>
      </c>
      <c r="D149" s="13">
        <v>0.64102599999999998</v>
      </c>
      <c r="E149" s="13">
        <v>10140</v>
      </c>
    </row>
    <row r="150" spans="1:5" ht="16.5">
      <c r="A150" s="8">
        <v>43206</v>
      </c>
      <c r="B150" s="6" t="s">
        <v>13</v>
      </c>
      <c r="C150" s="6" t="s">
        <v>14</v>
      </c>
      <c r="D150" s="13">
        <v>0.64102599999999998</v>
      </c>
      <c r="E150" s="13">
        <v>10200</v>
      </c>
    </row>
    <row r="151" spans="1:5" ht="16.5">
      <c r="A151" s="8">
        <v>43206</v>
      </c>
      <c r="B151" s="6" t="s">
        <v>13</v>
      </c>
      <c r="C151" s="6" t="s">
        <v>14</v>
      </c>
      <c r="D151" s="13">
        <v>0.64102599999999998</v>
      </c>
      <c r="E151" s="13">
        <v>5100</v>
      </c>
    </row>
    <row r="152" spans="1:5" ht="16.5">
      <c r="A152" s="8">
        <v>43213</v>
      </c>
      <c r="B152" s="6" t="s">
        <v>13</v>
      </c>
      <c r="C152" s="6" t="s">
        <v>14</v>
      </c>
      <c r="D152" s="13">
        <v>0.64102599999999998</v>
      </c>
      <c r="E152" s="13">
        <v>5189</v>
      </c>
    </row>
    <row r="153" spans="1:5" ht="16.5">
      <c r="A153" s="8">
        <v>43213</v>
      </c>
      <c r="B153" s="6" t="s">
        <v>13</v>
      </c>
      <c r="C153" s="6" t="s">
        <v>14</v>
      </c>
      <c r="D153" s="13">
        <v>0.64655200000000002</v>
      </c>
      <c r="E153" s="13">
        <v>3111</v>
      </c>
    </row>
    <row r="154" spans="1:5" ht="16.5">
      <c r="A154" s="8">
        <v>43221</v>
      </c>
      <c r="B154" s="6" t="s">
        <v>13</v>
      </c>
      <c r="C154" s="6" t="s">
        <v>14</v>
      </c>
      <c r="D154" s="13">
        <v>0.64655200000000002</v>
      </c>
      <c r="E154" s="13">
        <v>5100</v>
      </c>
    </row>
    <row r="155" spans="1:5" ht="16.5">
      <c r="A155" s="8">
        <v>43229</v>
      </c>
      <c r="B155" s="6" t="s">
        <v>13</v>
      </c>
      <c r="C155" s="6" t="s">
        <v>14</v>
      </c>
      <c r="D155" s="13">
        <v>0.64655200000000002</v>
      </c>
      <c r="E155" s="13">
        <v>4100</v>
      </c>
    </row>
    <row r="156" spans="1:5" ht="16.5">
      <c r="A156" s="8">
        <v>43241</v>
      </c>
      <c r="B156" s="6" t="s">
        <v>13</v>
      </c>
      <c r="C156" s="6" t="s">
        <v>14</v>
      </c>
      <c r="D156" s="13">
        <v>0.64655200000000002</v>
      </c>
      <c r="E156" s="13">
        <v>7170</v>
      </c>
    </row>
    <row r="157" spans="1:5" ht="16.5">
      <c r="A157" s="8">
        <v>43252</v>
      </c>
      <c r="B157" s="6" t="s">
        <v>13</v>
      </c>
      <c r="C157" s="6" t="s">
        <v>14</v>
      </c>
      <c r="D157" s="13">
        <v>0.64655200000000002</v>
      </c>
      <c r="E157" s="13">
        <v>12210</v>
      </c>
    </row>
    <row r="158" spans="1:5" ht="16.5">
      <c r="A158" s="8">
        <v>43252</v>
      </c>
      <c r="B158" s="6" t="s">
        <v>13</v>
      </c>
      <c r="C158" s="6" t="s">
        <v>14</v>
      </c>
      <c r="D158" s="13">
        <v>0.64655200000000002</v>
      </c>
      <c r="E158" s="13">
        <v>6780</v>
      </c>
    </row>
    <row r="159" spans="1:5" ht="16.5">
      <c r="A159" s="8">
        <v>43252</v>
      </c>
      <c r="B159" s="6" t="s">
        <v>13</v>
      </c>
      <c r="C159" s="6" t="s">
        <v>14</v>
      </c>
      <c r="D159" s="13">
        <v>0.64655200000000002</v>
      </c>
      <c r="E159" s="13">
        <v>7770</v>
      </c>
    </row>
    <row r="160" spans="1:5" ht="16.5">
      <c r="A160" s="8">
        <v>43259</v>
      </c>
      <c r="B160" s="6" t="s">
        <v>13</v>
      </c>
      <c r="C160" s="6" t="s">
        <v>14</v>
      </c>
      <c r="D160" s="13">
        <v>0.64655200000000002</v>
      </c>
      <c r="E160" s="13">
        <v>3756.4</v>
      </c>
    </row>
    <row r="161" spans="1:5" ht="16.5">
      <c r="A161" s="8">
        <v>43259</v>
      </c>
      <c r="B161" s="6" t="s">
        <v>13</v>
      </c>
      <c r="C161" s="6" t="s">
        <v>14</v>
      </c>
      <c r="D161" s="13">
        <v>0.64103399999999999</v>
      </c>
      <c r="E161" s="13">
        <v>4183.6000000000004</v>
      </c>
    </row>
    <row r="162" spans="1:5" ht="16.5">
      <c r="A162" s="8">
        <v>43259</v>
      </c>
      <c r="B162" s="6" t="s">
        <v>13</v>
      </c>
      <c r="C162" s="6" t="s">
        <v>14</v>
      </c>
      <c r="D162" s="13">
        <v>0.64103399999999999</v>
      </c>
      <c r="E162" s="13">
        <v>5665</v>
      </c>
    </row>
    <row r="163" spans="1:5" ht="16.5">
      <c r="A163" s="8">
        <v>43261</v>
      </c>
      <c r="B163" s="6" t="s">
        <v>13</v>
      </c>
      <c r="C163" s="6" t="s">
        <v>14</v>
      </c>
      <c r="D163" s="13">
        <v>0.64103399999999999</v>
      </c>
      <c r="E163" s="13">
        <v>4800</v>
      </c>
    </row>
    <row r="164" spans="1:5" ht="16.5">
      <c r="A164" s="8">
        <v>43276</v>
      </c>
      <c r="B164" s="6" t="s">
        <v>13</v>
      </c>
      <c r="C164" s="6" t="s">
        <v>14</v>
      </c>
      <c r="D164" s="13">
        <v>0.64103399999999999</v>
      </c>
      <c r="E164" s="13">
        <v>10100</v>
      </c>
    </row>
    <row r="165" spans="1:5" ht="16.5">
      <c r="A165" s="8">
        <v>43282</v>
      </c>
      <c r="B165" s="6" t="s">
        <v>13</v>
      </c>
      <c r="C165" s="6" t="s">
        <v>14</v>
      </c>
      <c r="D165" s="13">
        <v>0.64103399999999999</v>
      </c>
      <c r="E165" s="13">
        <v>5620</v>
      </c>
    </row>
    <row r="166" spans="1:5" ht="16.5">
      <c r="A166" s="8">
        <v>43283</v>
      </c>
      <c r="B166" s="6" t="s">
        <v>13</v>
      </c>
      <c r="C166" s="6" t="s">
        <v>14</v>
      </c>
      <c r="D166" s="13">
        <v>0.64103399999999999</v>
      </c>
      <c r="E166" s="13">
        <v>10100</v>
      </c>
    </row>
    <row r="167" spans="1:5" ht="16.5">
      <c r="A167" s="8">
        <v>43285</v>
      </c>
      <c r="B167" s="6" t="s">
        <v>13</v>
      </c>
      <c r="C167" s="6" t="s">
        <v>14</v>
      </c>
      <c r="D167" s="13">
        <v>0.64103399999999999</v>
      </c>
      <c r="E167" s="13">
        <v>7550</v>
      </c>
    </row>
    <row r="168" spans="1:5" ht="16.5">
      <c r="A168" s="8">
        <v>43290</v>
      </c>
      <c r="B168" s="6" t="s">
        <v>13</v>
      </c>
      <c r="C168" s="6" t="s">
        <v>14</v>
      </c>
      <c r="D168" s="13">
        <v>0.64103399999999999</v>
      </c>
      <c r="E168" s="13">
        <v>9880</v>
      </c>
    </row>
    <row r="169" spans="1:5" ht="16.5">
      <c r="A169" s="8">
        <v>43294</v>
      </c>
      <c r="B169" s="6" t="s">
        <v>13</v>
      </c>
      <c r="C169" s="6" t="s">
        <v>14</v>
      </c>
      <c r="D169" s="13">
        <v>0.64103399999999999</v>
      </c>
      <c r="E169" s="13">
        <v>8300</v>
      </c>
    </row>
    <row r="170" spans="1:5" ht="16.5">
      <c r="A170" s="8">
        <v>43297</v>
      </c>
      <c r="B170" s="6" t="s">
        <v>13</v>
      </c>
      <c r="C170" s="6" t="s">
        <v>14</v>
      </c>
      <c r="D170" s="13">
        <v>0.64103399999999999</v>
      </c>
      <c r="E170" s="13">
        <v>3700</v>
      </c>
    </row>
    <row r="171" spans="1:5" ht="16.5">
      <c r="A171" s="8">
        <v>43299</v>
      </c>
      <c r="B171" s="6" t="s">
        <v>13</v>
      </c>
      <c r="C171" s="6" t="s">
        <v>14</v>
      </c>
      <c r="D171" s="13">
        <v>0.64103399999999999</v>
      </c>
      <c r="E171" s="13">
        <v>10190</v>
      </c>
    </row>
    <row r="172" spans="1:5" ht="16.5">
      <c r="A172" s="8">
        <v>43252</v>
      </c>
      <c r="B172" s="6" t="s">
        <v>13</v>
      </c>
      <c r="C172" s="6" t="s">
        <v>14</v>
      </c>
      <c r="D172" s="13">
        <v>0.64655200000000002</v>
      </c>
      <c r="E172" s="13">
        <v>2.6</v>
      </c>
    </row>
    <row r="173" spans="1:5" ht="16.5">
      <c r="A173" s="8">
        <v>43300</v>
      </c>
      <c r="B173" s="6" t="s">
        <v>13</v>
      </c>
      <c r="C173" s="6" t="s">
        <v>14</v>
      </c>
      <c r="D173" s="13">
        <v>0.64103399999999999</v>
      </c>
      <c r="E173" s="13">
        <v>-2.6</v>
      </c>
    </row>
    <row r="174" spans="1:5" ht="16.5">
      <c r="A174" s="8">
        <v>43306</v>
      </c>
      <c r="B174" s="6" t="s">
        <v>13</v>
      </c>
      <c r="C174" s="6" t="s">
        <v>14</v>
      </c>
      <c r="D174" s="13">
        <v>0.64103399999999999</v>
      </c>
      <c r="E174" s="13">
        <v>8268</v>
      </c>
    </row>
    <row r="175" spans="1:5" ht="16.5">
      <c r="A175" s="8">
        <v>43321</v>
      </c>
      <c r="B175" s="6" t="s">
        <v>13</v>
      </c>
      <c r="C175" s="6" t="s">
        <v>14</v>
      </c>
      <c r="D175" s="13">
        <v>0.64102000000000003</v>
      </c>
      <c r="E175" s="13">
        <v>11200</v>
      </c>
    </row>
    <row r="176" spans="1:5" ht="16.5">
      <c r="A176" s="8">
        <v>43335</v>
      </c>
      <c r="B176" s="6" t="s">
        <v>13</v>
      </c>
      <c r="C176" s="6" t="s">
        <v>14</v>
      </c>
      <c r="D176" s="13">
        <v>0.64103399999999999</v>
      </c>
      <c r="E176" s="13">
        <v>443.4</v>
      </c>
    </row>
    <row r="177" spans="1:5" ht="16.5">
      <c r="A177" s="8">
        <v>43335</v>
      </c>
      <c r="B177" s="6" t="s">
        <v>13</v>
      </c>
      <c r="C177" s="6" t="s">
        <v>14</v>
      </c>
      <c r="D177" s="13">
        <v>0.64103399999999999</v>
      </c>
      <c r="E177" s="13">
        <v>12209</v>
      </c>
    </row>
    <row r="178" spans="1:5" ht="16.5">
      <c r="A178" s="8">
        <v>43336</v>
      </c>
      <c r="B178" s="6" t="s">
        <v>13</v>
      </c>
      <c r="C178" s="6" t="s">
        <v>14</v>
      </c>
      <c r="D178" s="13">
        <v>0.64103399999999999</v>
      </c>
      <c r="E178" s="13">
        <v>8914.7999999999993</v>
      </c>
    </row>
    <row r="179" spans="1:5" ht="16.5">
      <c r="A179" s="8">
        <v>43344</v>
      </c>
      <c r="B179" s="6" t="s">
        <v>13</v>
      </c>
      <c r="C179" s="6" t="s">
        <v>14</v>
      </c>
      <c r="D179" s="13">
        <v>0.64103399999999999</v>
      </c>
      <c r="E179" s="13">
        <v>10258</v>
      </c>
    </row>
    <row r="180" spans="1:5" ht="16.5">
      <c r="A180" s="8">
        <v>43344</v>
      </c>
      <c r="B180" s="6" t="s">
        <v>13</v>
      </c>
      <c r="C180" s="6" t="s">
        <v>14</v>
      </c>
      <c r="D180" s="13">
        <v>0.64103399999999999</v>
      </c>
      <c r="E180" s="13">
        <v>10070</v>
      </c>
    </row>
    <row r="181" spans="1:5" ht="16.5">
      <c r="A181" s="8">
        <v>43348</v>
      </c>
      <c r="B181" s="6" t="s">
        <v>13</v>
      </c>
      <c r="C181" s="6" t="s">
        <v>14</v>
      </c>
      <c r="D181" s="13">
        <v>0.64103399999999999</v>
      </c>
      <c r="E181" s="13">
        <v>10100</v>
      </c>
    </row>
    <row r="182" spans="1:5" ht="16.5">
      <c r="A182" s="8">
        <v>43350</v>
      </c>
      <c r="B182" s="6" t="s">
        <v>13</v>
      </c>
      <c r="C182" s="6" t="s">
        <v>14</v>
      </c>
      <c r="D182" s="13">
        <v>0.64103399999999999</v>
      </c>
      <c r="E182" s="13">
        <v>7700</v>
      </c>
    </row>
    <row r="183" spans="1:5" ht="16.5">
      <c r="A183" s="8">
        <v>43356</v>
      </c>
      <c r="B183" s="6" t="s">
        <v>13</v>
      </c>
      <c r="C183" s="6" t="s">
        <v>14</v>
      </c>
      <c r="D183" s="13">
        <v>0.64103399999999999</v>
      </c>
      <c r="E183" s="13">
        <v>4250</v>
      </c>
    </row>
    <row r="184" spans="1:5" ht="16.5">
      <c r="A184" s="8">
        <v>43358</v>
      </c>
      <c r="B184" s="6" t="s">
        <v>13</v>
      </c>
      <c r="C184" s="6" t="s">
        <v>14</v>
      </c>
      <c r="D184" s="13">
        <v>0.64103399999999999</v>
      </c>
      <c r="E184" s="13">
        <v>7930</v>
      </c>
    </row>
    <row r="185" spans="1:5" ht="16.5">
      <c r="A185" s="8">
        <v>43360</v>
      </c>
      <c r="B185" s="6" t="s">
        <v>13</v>
      </c>
      <c r="C185" s="6" t="s">
        <v>14</v>
      </c>
      <c r="D185" s="13">
        <v>0.64103399999999999</v>
      </c>
      <c r="E185" s="13">
        <v>6190</v>
      </c>
    </row>
    <row r="186" spans="1:5" ht="16.5">
      <c r="A186" s="8">
        <v>43362</v>
      </c>
      <c r="B186" s="6" t="s">
        <v>13</v>
      </c>
      <c r="C186" s="6" t="s">
        <v>14</v>
      </c>
      <c r="D186" s="13">
        <v>0.64103399999999999</v>
      </c>
      <c r="E186" s="13">
        <v>9100</v>
      </c>
    </row>
    <row r="187" spans="1:5" ht="16.5">
      <c r="A187" s="8">
        <v>43364</v>
      </c>
      <c r="B187" s="6" t="s">
        <v>13</v>
      </c>
      <c r="C187" s="6" t="s">
        <v>14</v>
      </c>
      <c r="D187" s="13">
        <v>0.64103399999999999</v>
      </c>
      <c r="E187" s="13">
        <v>6065</v>
      </c>
    </row>
  </sheetData>
  <phoneticPr fontId="2" type="noConversion"/>
  <pageMargins left="0.7" right="0.7" top="0.75" bottom="0.75" header="0.3" footer="0.3"/>
  <ignoredErrors>
    <ignoredError sqref="L50:L51" formulaRange="1"/>
    <ignoredError sqref="P2:Q14 S3:AE4 S14 S1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历史价格分析</vt:lpstr>
      <vt:lpstr>采购记录分析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2018-11-01T13:52:54Z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1fa1d324-990b-4003-875b-bb23a6128c10</vt:lpwstr>
  </property>
</Properties>
</file>