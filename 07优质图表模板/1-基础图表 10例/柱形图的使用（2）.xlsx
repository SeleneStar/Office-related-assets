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/>
  <mc:AlternateContent xmlns:mc="http://schemas.openxmlformats.org/markup-compatibility/2006">
    <mc:Choice Requires="x15">
      <x15ac:absPath xmlns:x15ac="http://schemas.microsoft.com/office/spreadsheetml/2010/11/ac" url="D:\2-输出\7-Monetizing\课件开发\KF013-Excel这样用，图表课程\T12-福利模板\福利模板\图表案例40例\"/>
    </mc:Choice>
  </mc:AlternateContent>
  <xr:revisionPtr revIDLastSave="0" documentId="13_ncr:1_{F6DB5591-12DE-46F0-8336-757F1668FAB0}" xr6:coauthVersionLast="40" xr6:coauthVersionMax="40" xr10:uidLastSave="{00000000-0000-0000-0000-000000000000}"/>
  <bookViews>
    <workbookView xWindow="-108" yWindow="-108" windowWidth="23256" windowHeight="12720" firstSheet="1" activeTab="1" xr2:uid="{00000000-000D-0000-FFFF-FFFF00000000}"/>
  </bookViews>
  <sheets>
    <sheet name="图0" sheetId="7" state="hidden" r:id="rId1"/>
    <sheet name="图6" sheetId="6" r:id="rId2"/>
    <sheet name="图7" sheetId="8" r:id="rId3"/>
    <sheet name="图8" sheetId="9" r:id="rId4"/>
    <sheet name="图9" sheetId="11" r:id="rId5"/>
    <sheet name="图10" sheetId="12" r:id="rId6"/>
  </sheets>
  <calcPr calcId="191029" calcOnSave="0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8" i="11" l="1"/>
  <c r="H9" i="11" s="1"/>
  <c r="H10" i="11" s="1"/>
  <c r="H11" i="11" s="1"/>
  <c r="H6" i="11"/>
  <c r="K6" i="8" l="1"/>
  <c r="L6" i="8"/>
  <c r="M6" i="8"/>
  <c r="N6" i="8"/>
  <c r="O6" i="8"/>
  <c r="K7" i="8"/>
  <c r="L7" i="8"/>
  <c r="M7" i="8"/>
  <c r="N7" i="8"/>
  <c r="O7" i="8"/>
  <c r="K8" i="8"/>
  <c r="S9" i="8" s="1"/>
  <c r="L8" i="8"/>
  <c r="M8" i="8"/>
  <c r="S8" i="8" s="1"/>
  <c r="N8" i="8"/>
  <c r="O8" i="8"/>
  <c r="S5" i="8" s="1"/>
  <c r="L5" i="8"/>
  <c r="M5" i="8"/>
  <c r="N5" i="8"/>
  <c r="O5" i="8"/>
  <c r="K5" i="8"/>
  <c r="S7" i="8" l="1"/>
  <c r="S6" i="8"/>
  <c r="N6" i="6"/>
  <c r="N7" i="6"/>
  <c r="N8" i="6"/>
  <c r="N9" i="6"/>
  <c r="N10" i="6"/>
  <c r="N11" i="6"/>
  <c r="N12" i="6"/>
  <c r="N5" i="6"/>
  <c r="K12" i="6"/>
  <c r="K11" i="6"/>
  <c r="K10" i="6"/>
  <c r="K9" i="6"/>
  <c r="K8" i="6"/>
  <c r="K7" i="6"/>
  <c r="K6" i="6"/>
  <c r="K5" i="6"/>
  <c r="E6" i="6"/>
  <c r="E7" i="6"/>
  <c r="E8" i="6"/>
  <c r="E9" i="6"/>
  <c r="E10" i="6"/>
  <c r="E11" i="6"/>
  <c r="E12" i="6"/>
  <c r="E5" i="6"/>
</calcChain>
</file>

<file path=xl/sharedStrings.xml><?xml version="1.0" encoding="utf-8"?>
<sst xmlns="http://schemas.openxmlformats.org/spreadsheetml/2006/main" count="121" uniqueCount="84">
  <si>
    <t>12</t>
  </si>
  <si>
    <t>13</t>
  </si>
  <si>
    <t>14</t>
  </si>
  <si>
    <t>15</t>
  </si>
  <si>
    <t>16</t>
  </si>
  <si>
    <t>安哥拉</t>
    <phoneticPr fontId="2" type="noConversion"/>
  </si>
  <si>
    <t>科特迪瓦</t>
    <phoneticPr fontId="2" type="noConversion"/>
  </si>
  <si>
    <t>埃塞俄比亚</t>
    <phoneticPr fontId="2" type="noConversion"/>
  </si>
  <si>
    <t>肯尼亚</t>
    <phoneticPr fontId="2" type="noConversion"/>
  </si>
  <si>
    <t>尼日利亚</t>
    <phoneticPr fontId="2" type="noConversion"/>
  </si>
  <si>
    <t>南非</t>
    <phoneticPr fontId="2" type="noConversion"/>
  </si>
  <si>
    <t>坦桑尼亚</t>
    <phoneticPr fontId="2" type="noConversion"/>
  </si>
  <si>
    <t>赞比亚</t>
    <phoneticPr fontId="2" type="noConversion"/>
  </si>
  <si>
    <t>helper</t>
    <phoneticPr fontId="2" type="noConversion"/>
  </si>
  <si>
    <t>倍数</t>
    <phoneticPr fontId="2" type="noConversion"/>
  </si>
  <si>
    <t>作图数据</t>
    <phoneticPr fontId="2" type="noConversion"/>
  </si>
  <si>
    <t>中国对非洲八国的FDI存量均呈现高速增长态势，年增长率从16%到不等</t>
    <phoneticPr fontId="2" type="noConversion"/>
  </si>
  <si>
    <t>来自中国的FDI存量，百万美元，2004与2014年，仅含官方跨境资金流</t>
    <phoneticPr fontId="2" type="noConversion"/>
  </si>
  <si>
    <t>x</t>
    <phoneticPr fontId="2" type="noConversion"/>
  </si>
  <si>
    <t>y</t>
    <phoneticPr fontId="2" type="noConversion"/>
  </si>
  <si>
    <t>中国消费者支出</t>
    <phoneticPr fontId="2" type="noConversion"/>
  </si>
  <si>
    <t>医疗保健，文娱教育</t>
    <phoneticPr fontId="2" type="noConversion"/>
  </si>
  <si>
    <t>2016</t>
    <phoneticPr fontId="2" type="noConversion"/>
  </si>
  <si>
    <t>2017</t>
  </si>
  <si>
    <t>2018</t>
  </si>
  <si>
    <t>2019</t>
  </si>
  <si>
    <t>2020</t>
  </si>
  <si>
    <t>医疗保健</t>
    <phoneticPr fontId="2" type="noConversion"/>
  </si>
  <si>
    <t>文娱教育</t>
    <phoneticPr fontId="2" type="noConversion"/>
  </si>
  <si>
    <t>消费金融、财富管理和小微贷款将带领中国零售银行业务收入增长</t>
    <phoneticPr fontId="2" type="noConversion"/>
  </si>
  <si>
    <t>2011</t>
    <phoneticPr fontId="2" type="noConversion"/>
  </si>
  <si>
    <t>2013</t>
    <phoneticPr fontId="2" type="noConversion"/>
  </si>
  <si>
    <t>2016</t>
    <phoneticPr fontId="2" type="noConversion"/>
  </si>
  <si>
    <t>2020E</t>
    <phoneticPr fontId="2" type="noConversion"/>
  </si>
  <si>
    <t>财富管理</t>
  </si>
  <si>
    <t>财富管理</t>
    <phoneticPr fontId="2" type="noConversion"/>
  </si>
  <si>
    <t>小微贷款</t>
  </si>
  <si>
    <t>小微贷款</t>
    <phoneticPr fontId="2" type="noConversion"/>
  </si>
  <si>
    <t>其它贷款</t>
  </si>
  <si>
    <t>其它贷款</t>
    <phoneticPr fontId="2" type="noConversion"/>
  </si>
  <si>
    <t>按揭</t>
  </si>
  <si>
    <t>按揭</t>
    <phoneticPr fontId="2" type="noConversion"/>
  </si>
  <si>
    <t>储蓄</t>
  </si>
  <si>
    <t>储蓄</t>
    <phoneticPr fontId="2" type="noConversion"/>
  </si>
  <si>
    <t>总金额</t>
    <phoneticPr fontId="2" type="noConversion"/>
  </si>
  <si>
    <t>按产品计算的中国零售银行收入，十亿元人民币，百分比</t>
    <phoneticPr fontId="2" type="noConversion"/>
  </si>
  <si>
    <t>helper1</t>
    <phoneticPr fontId="2" type="noConversion"/>
  </si>
  <si>
    <t>x</t>
    <phoneticPr fontId="2" type="noConversion"/>
  </si>
  <si>
    <t>y</t>
    <phoneticPr fontId="2" type="noConversion"/>
  </si>
  <si>
    <t>helper2</t>
    <phoneticPr fontId="2" type="noConversion"/>
  </si>
  <si>
    <t>Label</t>
    <phoneticPr fontId="2" type="noConversion"/>
  </si>
  <si>
    <r>
      <t>其它贷款：</t>
    </r>
    <r>
      <rPr>
        <sz val="9"/>
        <color theme="1"/>
        <rFont val="微软雅黑"/>
        <family val="2"/>
        <charset val="134"/>
      </rPr>
      <t>包括信用卡、无担保个人贷款和汽车贷款</t>
    </r>
    <phoneticPr fontId="2" type="noConversion"/>
  </si>
  <si>
    <r>
      <t>财务管理：</t>
    </r>
    <r>
      <rPr>
        <sz val="9"/>
        <color theme="1"/>
        <rFont val="微软雅黑"/>
        <family val="2"/>
        <charset val="134"/>
      </rPr>
      <t>包括结构性理财、共同基金、银保和其它收费的产品</t>
    </r>
    <phoneticPr fontId="2" type="noConversion"/>
  </si>
  <si>
    <t>数据来源：麦肯锡全球银行利润池模型</t>
    <phoneticPr fontId="2" type="noConversion"/>
  </si>
  <si>
    <t xml:space="preserve">  消费金融、财富管理和小微贷款将带领中国零售银行业务收入增长</t>
    <phoneticPr fontId="2" type="noConversion"/>
  </si>
  <si>
    <t>%，按产品计算的中国零售银行收入占比</t>
    <phoneticPr fontId="2" type="noConversion"/>
  </si>
  <si>
    <t>越南的人口增长</t>
    <phoneticPr fontId="11" type="noConversion"/>
  </si>
  <si>
    <t>按收入阶层划分，单位：百万</t>
    <phoneticPr fontId="11" type="noConversion"/>
  </si>
  <si>
    <t>作图数据</t>
    <phoneticPr fontId="11" type="noConversion"/>
  </si>
  <si>
    <t xml:space="preserve"> </t>
    <phoneticPr fontId="11" type="noConversion"/>
  </si>
  <si>
    <t>人口</t>
    <phoneticPr fontId="11" type="noConversion"/>
  </si>
  <si>
    <t xml:space="preserve">  </t>
    <phoneticPr fontId="11" type="noConversion"/>
  </si>
  <si>
    <t>helper</t>
    <phoneticPr fontId="11" type="noConversion"/>
  </si>
  <si>
    <t>起始序列</t>
    <phoneticPr fontId="11" type="noConversion"/>
  </si>
  <si>
    <t>辅助</t>
    <phoneticPr fontId="11" type="noConversion"/>
  </si>
  <si>
    <t>正值</t>
    <phoneticPr fontId="11" type="noConversion"/>
  </si>
  <si>
    <t>负值</t>
    <phoneticPr fontId="11" type="noConversion"/>
  </si>
  <si>
    <t>结束序列</t>
    <phoneticPr fontId="11" type="noConversion"/>
  </si>
  <si>
    <t>2006</t>
    <phoneticPr fontId="11" type="noConversion"/>
  </si>
  <si>
    <t>贫困</t>
    <phoneticPr fontId="11" type="noConversion"/>
  </si>
  <si>
    <t>低收入</t>
    <phoneticPr fontId="11" type="noConversion"/>
  </si>
  <si>
    <t>中低收入</t>
    <phoneticPr fontId="11" type="noConversion"/>
  </si>
  <si>
    <t>中等收入</t>
    <phoneticPr fontId="11" type="noConversion"/>
  </si>
  <si>
    <t>中高收入</t>
    <phoneticPr fontId="11" type="noConversion"/>
  </si>
  <si>
    <t>高收入</t>
    <phoneticPr fontId="11" type="noConversion"/>
  </si>
  <si>
    <t>2016</t>
    <phoneticPr fontId="11" type="noConversion"/>
  </si>
  <si>
    <t>2010-2016年我国集成电路进口额</t>
    <phoneticPr fontId="2" type="noConversion"/>
  </si>
  <si>
    <t>单位：十亿美元</t>
    <phoneticPr fontId="2" type="noConversion"/>
  </si>
  <si>
    <t>2010</t>
    <phoneticPr fontId="2" type="noConversion"/>
  </si>
  <si>
    <t>11</t>
    <phoneticPr fontId="2" type="noConversion"/>
  </si>
  <si>
    <t>进口额</t>
    <phoneticPr fontId="2" type="noConversion"/>
  </si>
  <si>
    <t>helper</t>
    <phoneticPr fontId="2" type="noConversion"/>
  </si>
  <si>
    <t>x</t>
    <phoneticPr fontId="2" type="noConversion"/>
  </si>
  <si>
    <t>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</si>
</sst>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_ * #,##0_ ;_ * \-#,##0_ ;_ * &quot;-&quot;??_ ;_ @_ "/>
    <numFmt numFmtId="177" formatCode="0.0"/>
    <numFmt numFmtId="178" formatCode="0.0_);[Red]\(0.0\)"/>
    <numFmt numFmtId="179" formatCode="0.0_ "/>
  </numFmts>
  <fonts count="13" x14ac:knownFonts="1">
    <font>
      <sz val="11"/>
      <color theme="1"/>
      <name val="等线"/>
      <family val="2"/>
      <charset val="134"/>
      <scheme val="minor"/>
    </font>
    <font>
      <sz val="9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0"/>
      <color theme="1"/>
      <name val="华文细黑"/>
      <family val="3"/>
      <charset val="134"/>
    </font>
    <font>
      <sz val="10"/>
      <color theme="1"/>
      <name val="微软雅黑"/>
      <family val="2"/>
      <charset val="134"/>
    </font>
    <font>
      <sz val="8"/>
      <color theme="1"/>
      <name val="Vani"/>
      <family val="2"/>
    </font>
    <font>
      <sz val="9"/>
      <color theme="1"/>
      <name val="Vani"/>
      <family val="2"/>
    </font>
    <font>
      <b/>
      <sz val="9"/>
      <color theme="1"/>
      <name val="微软雅黑"/>
      <family val="2"/>
      <charset val="134"/>
    </font>
    <font>
      <sz val="10"/>
      <color theme="1"/>
      <name val="Vani"/>
      <family val="2"/>
    </font>
    <font>
      <sz val="12"/>
      <color theme="1"/>
      <name val="黑体"/>
      <family val="3"/>
      <charset val="134"/>
    </font>
    <font>
      <sz val="9"/>
      <name val="微软雅黑"/>
      <family val="2"/>
      <charset val="134"/>
    </font>
    <font>
      <sz val="8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3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quotePrefix="1" applyFont="1">
      <alignment vertical="center"/>
    </xf>
    <xf numFmtId="0" fontId="1" fillId="0" borderId="0" xfId="0" applyFont="1" applyAlignment="1">
      <alignment horizontal="left" vertical="center"/>
    </xf>
    <xf numFmtId="1" fontId="1" fillId="0" borderId="0" xfId="1" applyNumberFormat="1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quotePrefix="1" applyFont="1" applyAlignment="1">
      <alignment vertical="center"/>
    </xf>
    <xf numFmtId="0" fontId="4" fillId="0" borderId="0" xfId="0" applyFont="1" applyAlignment="1">
      <alignment horizontal="right" vertical="center"/>
    </xf>
    <xf numFmtId="9" fontId="1" fillId="0" borderId="0" xfId="1" applyFont="1" applyAlignment="1">
      <alignment horizontal="right" vertical="center"/>
    </xf>
    <xf numFmtId="176" fontId="1" fillId="0" borderId="0" xfId="2" applyNumberFormat="1" applyFont="1" applyAlignment="1">
      <alignment horizontal="right" vertical="center"/>
    </xf>
    <xf numFmtId="176" fontId="1" fillId="0" borderId="0" xfId="0" applyNumberFormat="1" applyFont="1">
      <alignment vertical="center"/>
    </xf>
    <xf numFmtId="0" fontId="1" fillId="0" borderId="0" xfId="0" applyFont="1" applyAlignment="1">
      <alignment horizontal="left" vertical="center" indent="1"/>
    </xf>
    <xf numFmtId="176" fontId="1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5" xfId="0" applyFont="1" applyBorder="1">
      <alignment vertical="center"/>
    </xf>
    <xf numFmtId="0" fontId="6" fillId="0" borderId="0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0" borderId="6" xfId="0" applyFont="1" applyBorder="1" applyAlignment="1">
      <alignment horizontal="left" indent="1"/>
    </xf>
    <xf numFmtId="0" fontId="9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8" fillId="0" borderId="4" xfId="0" applyFont="1" applyBorder="1" applyAlignment="1">
      <alignment horizontal="left" vertical="top" indent="1"/>
    </xf>
    <xf numFmtId="0" fontId="7" fillId="0" borderId="0" xfId="0" applyFont="1" applyBorder="1" applyAlignment="1">
      <alignment horizontal="left" vertical="top" indent="1"/>
    </xf>
    <xf numFmtId="0" fontId="10" fillId="0" borderId="1" xfId="0" applyFont="1" applyBorder="1" applyAlignment="1"/>
    <xf numFmtId="177" fontId="1" fillId="0" borderId="0" xfId="0" applyNumberFormat="1" applyFont="1" applyAlignment="1">
      <alignment horizontal="right" vertical="center"/>
    </xf>
    <xf numFmtId="0" fontId="1" fillId="0" borderId="0" xfId="0" quotePrefix="1" applyFont="1" applyAlignment="1">
      <alignment horizontal="right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right" vertical="center"/>
    </xf>
    <xf numFmtId="0" fontId="12" fillId="0" borderId="0" xfId="0" applyFont="1">
      <alignment vertical="center"/>
    </xf>
  </cellXfs>
  <cellStyles count="3">
    <cellStyle name="百分比" xfId="1" builtinId="5"/>
    <cellStyle name="常规" xfId="0" builtinId="0"/>
    <cellStyle name="千位分隔" xfId="2" builtinId="3"/>
  </cellStyles>
  <dxfs count="13"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177" formatCode="0.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</dxfs>
  <tableStyles count="0" defaultTableStyle="TableStyleMedium2" defaultPivotStyle="PivotStyleLight16"/>
  <colors>
    <mruColors>
      <color rgb="FF58C5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j-ea"/>
              <a:cs typeface="+mj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455818022747158E-2"/>
          <c:y val="0.17180721299847718"/>
          <c:w val="0.86220107903178766"/>
          <c:h val="0.718725158240048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图0!$C$4</c:f>
              <c:strCache>
                <c:ptCount val="1"/>
                <c:pt idx="0">
                  <c:v>医疗保健</c:v>
                </c:pt>
              </c:strCache>
            </c:strRef>
          </c:tx>
          <c:spPr>
            <a:solidFill>
              <a:srgbClr val="00828F">
                <a:alpha val="70196"/>
              </a:srgbClr>
            </a:solidFill>
            <a:ln>
              <a:noFill/>
            </a:ln>
            <a:effectLst/>
          </c:spPr>
          <c:invertIfNegative val="1"/>
          <c:cat>
            <c:strRef>
              <c:f>图0!$B$5:$B$9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图0!$C$5:$C$9</c:f>
              <c:numCache>
                <c:formatCode>General</c:formatCode>
                <c:ptCount val="5"/>
                <c:pt idx="0">
                  <c:v>363</c:v>
                </c:pt>
                <c:pt idx="1">
                  <c:v>388</c:v>
                </c:pt>
                <c:pt idx="2">
                  <c:v>395</c:v>
                </c:pt>
                <c:pt idx="3">
                  <c:v>420</c:v>
                </c:pt>
                <c:pt idx="4">
                  <c:v>460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2991-4F8D-A519-ADEE01217D6E}"/>
            </c:ext>
          </c:extLst>
        </c:ser>
        <c:ser>
          <c:idx val="1"/>
          <c:order val="1"/>
          <c:tx>
            <c:strRef>
              <c:f>图0!$D$4</c:f>
              <c:strCache>
                <c:ptCount val="1"/>
                <c:pt idx="0">
                  <c:v>文娱教育</c:v>
                </c:pt>
              </c:strCache>
            </c:strRef>
          </c:tx>
          <c:spPr>
            <a:solidFill>
              <a:srgbClr val="58C5CA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Ref>
              <c:f>图0!$B$5:$B$9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图0!$D$5:$D$9</c:f>
              <c:numCache>
                <c:formatCode>General</c:formatCode>
                <c:ptCount val="5"/>
                <c:pt idx="0">
                  <c:v>537</c:v>
                </c:pt>
                <c:pt idx="1">
                  <c:v>570</c:v>
                </c:pt>
                <c:pt idx="2">
                  <c:v>608</c:v>
                </c:pt>
                <c:pt idx="3">
                  <c:v>680</c:v>
                </c:pt>
                <c:pt idx="4">
                  <c:v>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91-4F8D-A519-ADEE01217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511859976"/>
        <c:axId val="511861616"/>
      </c:barChart>
      <c:catAx>
        <c:axId val="511859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511861616"/>
        <c:crosses val="autoZero"/>
        <c:auto val="1"/>
        <c:lblAlgn val="ctr"/>
        <c:lblOffset val="100"/>
        <c:noMultiLvlLbl val="0"/>
      </c:catAx>
      <c:valAx>
        <c:axId val="511861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511859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050">
                <a:latin typeface="黑体" panose="02010609060101010101" pitchFamily="49" charset="-122"/>
                <a:ea typeface="黑体" panose="02010609060101010101" pitchFamily="49" charset="-122"/>
              </a:rPr>
              <a:t>中国对非洲八国的</a:t>
            </a:r>
            <a:r>
              <a:rPr lang="en-US" altLang="zh-CN" sz="1050">
                <a:latin typeface="黑体" panose="02010609060101010101" pitchFamily="49" charset="-122"/>
                <a:ea typeface="黑体" panose="02010609060101010101" pitchFamily="49" charset="-122"/>
              </a:rPr>
              <a:t>FDI</a:t>
            </a:r>
            <a:r>
              <a:rPr lang="zh-CN" altLang="en-US" sz="1050">
                <a:latin typeface="黑体" panose="02010609060101010101" pitchFamily="49" charset="-122"/>
                <a:ea typeface="黑体" panose="02010609060101010101" pitchFamily="49" charset="-122"/>
              </a:rPr>
              <a:t>存量均呈现高速增长态势，年增长率从</a:t>
            </a:r>
            <a:r>
              <a:rPr lang="en-US" altLang="zh-CN" sz="1050">
                <a:latin typeface="黑体" panose="02010609060101010101" pitchFamily="49" charset="-122"/>
                <a:ea typeface="黑体" panose="02010609060101010101" pitchFamily="49" charset="-122"/>
              </a:rPr>
              <a:t>16%</a:t>
            </a:r>
            <a:r>
              <a:rPr lang="zh-CN" altLang="en-US" sz="1050">
                <a:latin typeface="黑体" panose="02010609060101010101" pitchFamily="49" charset="-122"/>
                <a:ea typeface="黑体" panose="02010609060101010101" pitchFamily="49" charset="-122"/>
              </a:rPr>
              <a:t>到不等</a:t>
            </a:r>
            <a:endParaRPr lang="en-US" altLang="zh-CN" sz="1050">
              <a:latin typeface="黑体" panose="02010609060101010101" pitchFamily="49" charset="-122"/>
              <a:ea typeface="黑体" panose="02010609060101010101" pitchFamily="49" charset="-122"/>
            </a:endParaRPr>
          </a:p>
          <a:p>
            <a:pPr algn="l">
              <a:defRPr sz="1050">
                <a:latin typeface="黑体" panose="02010609060101010101" pitchFamily="49" charset="-122"/>
                <a:ea typeface="黑体" panose="02010609060101010101" pitchFamily="49" charset="-122"/>
              </a:defRPr>
            </a:pPr>
            <a:r>
              <a:rPr lang="zh-CN" altLang="en-US" sz="1050">
                <a:latin typeface="黑体" panose="02010609060101010101" pitchFamily="49" charset="-122"/>
                <a:ea typeface="黑体" panose="02010609060101010101" pitchFamily="49" charset="-122"/>
              </a:rPr>
              <a:t>来自中国的</a:t>
            </a:r>
            <a:r>
              <a:rPr lang="en-US" altLang="zh-CN" sz="1050">
                <a:latin typeface="黑体" panose="02010609060101010101" pitchFamily="49" charset="-122"/>
                <a:ea typeface="黑体" panose="02010609060101010101" pitchFamily="49" charset="-122"/>
              </a:rPr>
              <a:t>FDI</a:t>
            </a:r>
            <a:r>
              <a:rPr lang="zh-CN" altLang="en-US" sz="1050">
                <a:latin typeface="黑体" panose="02010609060101010101" pitchFamily="49" charset="-122"/>
                <a:ea typeface="黑体" panose="02010609060101010101" pitchFamily="49" charset="-122"/>
              </a:rPr>
              <a:t>存量</a:t>
            </a:r>
            <a:endParaRPr lang="en-US" altLang="zh-CN" sz="1050">
              <a:latin typeface="黑体" panose="02010609060101010101" pitchFamily="49" charset="-122"/>
              <a:ea typeface="黑体" panose="02010609060101010101" pitchFamily="49" charset="-122"/>
            </a:endParaRPr>
          </a:p>
          <a:p>
            <a:pPr algn="l">
              <a:defRPr sz="1050">
                <a:latin typeface="黑体" panose="02010609060101010101" pitchFamily="49" charset="-122"/>
                <a:ea typeface="黑体" panose="02010609060101010101" pitchFamily="49" charset="-122"/>
              </a:defRPr>
            </a:pPr>
            <a:r>
              <a:rPr lang="zh-CN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百万美元，</a:t>
            </a:r>
            <a:r>
              <a:rPr lang="en-US" altLang="zh-CN" sz="1000">
                <a:solidFill>
                  <a:schemeClr val="tx1">
                    <a:lumMod val="50000"/>
                    <a:lumOff val="50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2004</a:t>
            </a:r>
            <a:r>
              <a:rPr lang="zh-CN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与</a:t>
            </a:r>
            <a:r>
              <a:rPr lang="en-US" altLang="zh-CN" sz="1000">
                <a:solidFill>
                  <a:schemeClr val="tx1">
                    <a:lumMod val="50000"/>
                    <a:lumOff val="50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2014</a:t>
            </a:r>
            <a:r>
              <a:rPr lang="zh-CN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年，仅含官方跨境资金流</a:t>
            </a:r>
          </a:p>
        </c:rich>
      </c:tx>
      <c:layout>
        <c:manualLayout>
          <c:xMode val="edge"/>
          <c:yMode val="edge"/>
          <c:x val="5.1440329218106998E-2"/>
          <c:y val="2.63157838809474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4833608761867728E-2"/>
          <c:y val="0.22372507385740192"/>
          <c:w val="0.89372606202002525"/>
          <c:h val="0.66349417928651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图6!$I$4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图6!$H$5:$H$12</c:f>
              <c:strCache>
                <c:ptCount val="8"/>
                <c:pt idx="0">
                  <c:v>安哥拉</c:v>
                </c:pt>
                <c:pt idx="1">
                  <c:v>科特迪瓦</c:v>
                </c:pt>
                <c:pt idx="2">
                  <c:v>埃塞俄比亚</c:v>
                </c:pt>
                <c:pt idx="3">
                  <c:v>肯尼亚</c:v>
                </c:pt>
                <c:pt idx="4">
                  <c:v>尼日利亚</c:v>
                </c:pt>
                <c:pt idx="5">
                  <c:v>南非</c:v>
                </c:pt>
                <c:pt idx="6">
                  <c:v>坦桑尼亚</c:v>
                </c:pt>
                <c:pt idx="7">
                  <c:v>赞比亚</c:v>
                </c:pt>
              </c:strCache>
            </c:strRef>
          </c:cat>
          <c:val>
            <c:numRef>
              <c:f>图6!$I$5:$I$12</c:f>
              <c:numCache>
                <c:formatCode>General</c:formatCode>
                <c:ptCount val="8"/>
                <c:pt idx="0">
                  <c:v>2</c:v>
                </c:pt>
                <c:pt idx="1">
                  <c:v>14</c:v>
                </c:pt>
                <c:pt idx="2">
                  <c:v>14</c:v>
                </c:pt>
                <c:pt idx="3">
                  <c:v>28</c:v>
                </c:pt>
                <c:pt idx="4">
                  <c:v>76</c:v>
                </c:pt>
                <c:pt idx="5">
                  <c:v>59</c:v>
                </c:pt>
                <c:pt idx="6">
                  <c:v>54</c:v>
                </c:pt>
                <c:pt idx="7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8-4DA0-80CD-3B5ECB64A478}"/>
            </c:ext>
          </c:extLst>
        </c:ser>
        <c:ser>
          <c:idx val="1"/>
          <c:order val="1"/>
          <c:tx>
            <c:strRef>
              <c:f>图6!$J$4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图6!$H$5:$H$12</c:f>
              <c:strCache>
                <c:ptCount val="8"/>
                <c:pt idx="0">
                  <c:v>安哥拉</c:v>
                </c:pt>
                <c:pt idx="1">
                  <c:v>科特迪瓦</c:v>
                </c:pt>
                <c:pt idx="2">
                  <c:v>埃塞俄比亚</c:v>
                </c:pt>
                <c:pt idx="3">
                  <c:v>肯尼亚</c:v>
                </c:pt>
                <c:pt idx="4">
                  <c:v>尼日利亚</c:v>
                </c:pt>
                <c:pt idx="5">
                  <c:v>南非</c:v>
                </c:pt>
                <c:pt idx="6">
                  <c:v>坦桑尼亚</c:v>
                </c:pt>
                <c:pt idx="7">
                  <c:v>赞比亚</c:v>
                </c:pt>
              </c:strCache>
            </c:strRef>
          </c:cat>
          <c:val>
            <c:numRef>
              <c:f>图6!$J$5:$J$12</c:f>
              <c:numCache>
                <c:formatCode>General</c:formatCode>
                <c:ptCount val="8"/>
                <c:pt idx="0">
                  <c:v>1214</c:v>
                </c:pt>
                <c:pt idx="1">
                  <c:v>64</c:v>
                </c:pt>
                <c:pt idx="2">
                  <c:v>915</c:v>
                </c:pt>
                <c:pt idx="3">
                  <c:v>854</c:v>
                </c:pt>
                <c:pt idx="4">
                  <c:v>2323</c:v>
                </c:pt>
                <c:pt idx="5">
                  <c:v>5954</c:v>
                </c:pt>
                <c:pt idx="6">
                  <c:v>885</c:v>
                </c:pt>
                <c:pt idx="7">
                  <c:v>2272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B8-4DA0-80CD-3B5ECB64A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0"/>
        <c:axId val="578411896"/>
        <c:axId val="578412224"/>
      </c:barChart>
      <c:catAx>
        <c:axId val="578411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578412224"/>
        <c:crosses val="autoZero"/>
        <c:auto val="1"/>
        <c:lblAlgn val="ctr"/>
        <c:lblOffset val="100"/>
        <c:noMultiLvlLbl val="0"/>
      </c:catAx>
      <c:valAx>
        <c:axId val="578412224"/>
        <c:scaling>
          <c:logBase val="5"/>
          <c:orientation val="minMax"/>
        </c:scaling>
        <c:delete val="0"/>
        <c:axPos val="l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84118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4.5778166618061632E-2"/>
          <c:y val="0.16877019376450345"/>
          <c:w val="0.15843686205890933"/>
          <c:h val="4.91006940821205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05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100" b="0">
                <a:solidFill>
                  <a:schemeClr val="tx1">
                    <a:lumMod val="95000"/>
                    <a:lumOff val="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按产品计算的中国零售银行收入</a:t>
            </a:r>
            <a:endParaRPr lang="en-US" altLang="zh-CN" sz="1100" b="0">
              <a:solidFill>
                <a:schemeClr val="tx1">
                  <a:lumMod val="95000"/>
                  <a:lumOff val="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  <a:p>
            <a:pPr algn="l">
              <a:defRPr sz="105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000" b="0" u="sng">
                <a:solidFill>
                  <a:schemeClr val="tx1">
                    <a:lumMod val="50000"/>
                    <a:lumOff val="50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十亿元人民币，百分比</a:t>
            </a:r>
            <a:endParaRPr lang="en-US" altLang="zh-CN" sz="1000" b="0" u="sng">
              <a:solidFill>
                <a:schemeClr val="tx1">
                  <a:lumMod val="50000"/>
                  <a:lumOff val="50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2.0085481325051086E-3"/>
          <c:y val="3.88888888888888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5863532989718511E-4"/>
          <c:y val="0.12925415573053367"/>
          <c:w val="0.82563040958118838"/>
          <c:h val="0.8169035433070865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图7!$K$4</c:f>
              <c:strCache>
                <c:ptCount val="1"/>
                <c:pt idx="0">
                  <c:v>财富管理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93D1D85-FE06-4BE4-B6C9-CAC34482E53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47F5-4E55-8976-62DBD696DDC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5BADCC7-E071-4B50-BAAF-BD279CE55D1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7F5-4E55-8976-62DBD696DD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C96D44E-0D4A-432F-B66A-112ED0BAF75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7F5-4E55-8976-62DBD696DDC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62B1486-0A94-4712-A3D8-78AC6CAEA8E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7F5-4E55-8976-62DBD696DD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图7!$J$5:$J$8</c:f>
              <c:strCache>
                <c:ptCount val="4"/>
                <c:pt idx="0">
                  <c:v>2011</c:v>
                </c:pt>
                <c:pt idx="1">
                  <c:v>2013</c:v>
                </c:pt>
                <c:pt idx="2">
                  <c:v>2016</c:v>
                </c:pt>
                <c:pt idx="3">
                  <c:v>2020E</c:v>
                </c:pt>
              </c:strCache>
            </c:strRef>
          </c:cat>
          <c:val>
            <c:numRef>
              <c:f>图7!$K$5:$K$8</c:f>
              <c:numCache>
                <c:formatCode>_ * #,##0_ ;_ * \-#,##0_ ;_ * "-"??_ ;_ @_ </c:formatCode>
                <c:ptCount val="4"/>
                <c:pt idx="0">
                  <c:v>201.6</c:v>
                </c:pt>
                <c:pt idx="1">
                  <c:v>289.28000000000003</c:v>
                </c:pt>
                <c:pt idx="2">
                  <c:v>479.38</c:v>
                </c:pt>
                <c:pt idx="3">
                  <c:v>852.66000000000008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图7!$C$5:$C$8</c15:f>
                <c15:dlblRangeCache>
                  <c:ptCount val="4"/>
                  <c:pt idx="0">
                    <c:v>16%</c:v>
                  </c:pt>
                  <c:pt idx="1">
                    <c:v>16%</c:v>
                  </c:pt>
                  <c:pt idx="2">
                    <c:v>22%</c:v>
                  </c:pt>
                  <c:pt idx="3">
                    <c:v>27%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7F5-4E55-8976-62DBD696DDC4}"/>
            </c:ext>
          </c:extLst>
        </c:ser>
        <c:ser>
          <c:idx val="1"/>
          <c:order val="1"/>
          <c:tx>
            <c:strRef>
              <c:f>图7!$L$4</c:f>
              <c:strCache>
                <c:ptCount val="1"/>
                <c:pt idx="0">
                  <c:v>小微贷款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D738D6A-A4C7-4A42-81A9-930A3A82573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47F5-4E55-8976-62DBD696DDC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084E51F-7377-42C7-8970-CDA1ABFE695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47F5-4E55-8976-62DBD696DD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07C92F9-CD1C-4D25-9847-D62B1D312B8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47F5-4E55-8976-62DBD696DDC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0922610-558F-4D76-8C0E-D3430FE7CC8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47F5-4E55-8976-62DBD696DD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图7!$J$5:$J$8</c:f>
              <c:strCache>
                <c:ptCount val="4"/>
                <c:pt idx="0">
                  <c:v>2011</c:v>
                </c:pt>
                <c:pt idx="1">
                  <c:v>2013</c:v>
                </c:pt>
                <c:pt idx="2">
                  <c:v>2016</c:v>
                </c:pt>
                <c:pt idx="3">
                  <c:v>2020E</c:v>
                </c:pt>
              </c:strCache>
            </c:strRef>
          </c:cat>
          <c:val>
            <c:numRef>
              <c:f>图7!$L$5:$L$8</c:f>
              <c:numCache>
                <c:formatCode>_ * #,##0_ ;_ * \-#,##0_ ;_ * "-"??_ ;_ @_ </c:formatCode>
                <c:ptCount val="4"/>
                <c:pt idx="0">
                  <c:v>504</c:v>
                </c:pt>
                <c:pt idx="1">
                  <c:v>632.79999999999995</c:v>
                </c:pt>
                <c:pt idx="2">
                  <c:v>501.17</c:v>
                </c:pt>
                <c:pt idx="3">
                  <c:v>915.81999999999994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图7!$D$5:$D$8</c15:f>
                <c15:dlblRangeCache>
                  <c:ptCount val="4"/>
                  <c:pt idx="0">
                    <c:v>40%</c:v>
                  </c:pt>
                  <c:pt idx="1">
                    <c:v>35%</c:v>
                  </c:pt>
                  <c:pt idx="2">
                    <c:v>23%</c:v>
                  </c:pt>
                  <c:pt idx="3">
                    <c:v>29%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47F5-4E55-8976-62DBD696DDC4}"/>
            </c:ext>
          </c:extLst>
        </c:ser>
        <c:ser>
          <c:idx val="2"/>
          <c:order val="2"/>
          <c:tx>
            <c:strRef>
              <c:f>图7!$M$4</c:f>
              <c:strCache>
                <c:ptCount val="1"/>
                <c:pt idx="0">
                  <c:v>其它贷款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D30124A-133B-4FE0-931E-7F2C8B452DB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7F5-4E55-8976-62DBD696DDC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6B3885C-C0E7-4031-A77F-1196F5B995B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7F5-4E55-8976-62DBD696DD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DA1ED04-D639-4C7C-A9E4-69CE1DBB064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7F5-4E55-8976-62DBD696DDC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21BB150-D408-4151-A86C-71CD9BFA40D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7F5-4E55-8976-62DBD696DD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图7!$J$5:$J$8</c:f>
              <c:strCache>
                <c:ptCount val="4"/>
                <c:pt idx="0">
                  <c:v>2011</c:v>
                </c:pt>
                <c:pt idx="1">
                  <c:v>2013</c:v>
                </c:pt>
                <c:pt idx="2">
                  <c:v>2016</c:v>
                </c:pt>
                <c:pt idx="3">
                  <c:v>2020E</c:v>
                </c:pt>
              </c:strCache>
            </c:strRef>
          </c:cat>
          <c:val>
            <c:numRef>
              <c:f>图7!$M$5:$M$8</c:f>
              <c:numCache>
                <c:formatCode>_ * #,##0_ ;_ * \-#,##0_ ;_ * "-"??_ ;_ @_ </c:formatCode>
                <c:ptCount val="4"/>
                <c:pt idx="0">
                  <c:v>50.4</c:v>
                </c:pt>
                <c:pt idx="1">
                  <c:v>90.4</c:v>
                </c:pt>
                <c:pt idx="2">
                  <c:v>152.53</c:v>
                </c:pt>
                <c:pt idx="3">
                  <c:v>252.64000000000001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图7!$E$5:$E$8</c15:f>
                <c15:dlblRangeCache>
                  <c:ptCount val="4"/>
                  <c:pt idx="0">
                    <c:v>4%</c:v>
                  </c:pt>
                  <c:pt idx="1">
                    <c:v>5%</c:v>
                  </c:pt>
                  <c:pt idx="2">
                    <c:v>7%</c:v>
                  </c:pt>
                  <c:pt idx="3">
                    <c:v>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47F5-4E55-8976-62DBD696DDC4}"/>
            </c:ext>
          </c:extLst>
        </c:ser>
        <c:ser>
          <c:idx val="3"/>
          <c:order val="3"/>
          <c:tx>
            <c:strRef>
              <c:f>图7!$N$4</c:f>
              <c:strCache>
                <c:ptCount val="1"/>
                <c:pt idx="0">
                  <c:v>按揭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971348B-A7C9-41D0-B7AF-D468D769D45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47F5-4E55-8976-62DBD696DDC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DD9CEC2-0B45-4ACF-9FEE-F6B35C85ECA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7F5-4E55-8976-62DBD696DD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F132095-8C8A-4DC1-B033-F49841ED814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7F5-4E55-8976-62DBD696DDC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7DA338F-FC6C-48C8-AF10-FF0F32FACEC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7F5-4E55-8976-62DBD696DD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图7!$J$5:$J$8</c:f>
              <c:strCache>
                <c:ptCount val="4"/>
                <c:pt idx="0">
                  <c:v>2011</c:v>
                </c:pt>
                <c:pt idx="1">
                  <c:v>2013</c:v>
                </c:pt>
                <c:pt idx="2">
                  <c:v>2016</c:v>
                </c:pt>
                <c:pt idx="3">
                  <c:v>2020E</c:v>
                </c:pt>
              </c:strCache>
            </c:strRef>
          </c:cat>
          <c:val>
            <c:numRef>
              <c:f>图7!$N$5:$N$8</c:f>
              <c:numCache>
                <c:formatCode>_ * #,##0_ ;_ * \-#,##0_ ;_ * "-"??_ ;_ @_ </c:formatCode>
                <c:ptCount val="4"/>
                <c:pt idx="0">
                  <c:v>138.6</c:v>
                </c:pt>
                <c:pt idx="1">
                  <c:v>162.72</c:v>
                </c:pt>
                <c:pt idx="2">
                  <c:v>174.32</c:v>
                </c:pt>
                <c:pt idx="3">
                  <c:v>347.38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图7!$F$5:$F$8</c15:f>
                <c15:dlblRangeCache>
                  <c:ptCount val="4"/>
                  <c:pt idx="0">
                    <c:v>11%</c:v>
                  </c:pt>
                  <c:pt idx="1">
                    <c:v>9%</c:v>
                  </c:pt>
                  <c:pt idx="2">
                    <c:v>8%</c:v>
                  </c:pt>
                  <c:pt idx="3">
                    <c:v>11%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47F5-4E55-8976-62DBD696DDC4}"/>
            </c:ext>
          </c:extLst>
        </c:ser>
        <c:ser>
          <c:idx val="4"/>
          <c:order val="4"/>
          <c:tx>
            <c:strRef>
              <c:f>图7!$O$4</c:f>
              <c:strCache>
                <c:ptCount val="1"/>
                <c:pt idx="0">
                  <c:v>储蓄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F56445B-03AE-44C4-AAFE-D8883F3B503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47F5-4E55-8976-62DBD696DDC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33F9E45-6A36-4607-BDE3-2E35F98C49A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7F5-4E55-8976-62DBD696DD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A9504F2-BA38-4DC4-8C3F-AAC69A79D8A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7F5-4E55-8976-62DBD696DDC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676A88A-36E5-44D8-8032-F947A5979CF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47F5-4E55-8976-62DBD696DD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图7!$J$5:$J$8</c:f>
              <c:strCache>
                <c:ptCount val="4"/>
                <c:pt idx="0">
                  <c:v>2011</c:v>
                </c:pt>
                <c:pt idx="1">
                  <c:v>2013</c:v>
                </c:pt>
                <c:pt idx="2">
                  <c:v>2016</c:v>
                </c:pt>
                <c:pt idx="3">
                  <c:v>2020E</c:v>
                </c:pt>
              </c:strCache>
            </c:strRef>
          </c:cat>
          <c:val>
            <c:numRef>
              <c:f>图7!$O$5:$O$8</c:f>
              <c:numCache>
                <c:formatCode>_ * #,##0_ ;_ * \-#,##0_ ;_ * "-"??_ ;_ @_ </c:formatCode>
                <c:ptCount val="4"/>
                <c:pt idx="0">
                  <c:v>365.4</c:v>
                </c:pt>
                <c:pt idx="1">
                  <c:v>650.88</c:v>
                </c:pt>
                <c:pt idx="2">
                  <c:v>871.6</c:v>
                </c:pt>
                <c:pt idx="3">
                  <c:v>789.5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图7!$G$5:$G$8</c15:f>
                <c15:dlblRangeCache>
                  <c:ptCount val="4"/>
                  <c:pt idx="0">
                    <c:v>29%</c:v>
                  </c:pt>
                  <c:pt idx="1">
                    <c:v>36%</c:v>
                  </c:pt>
                  <c:pt idx="2">
                    <c:v>40%</c:v>
                  </c:pt>
                  <c:pt idx="3">
                    <c:v>25%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47F5-4E55-8976-62DBD696D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95888248"/>
        <c:axId val="693119008"/>
      </c:barChart>
      <c:lineChart>
        <c:grouping val="standard"/>
        <c:varyColors val="0"/>
        <c:ser>
          <c:idx val="5"/>
          <c:order val="5"/>
          <c:tx>
            <c:strRef>
              <c:f>图7!$P$4</c:f>
              <c:strCache>
                <c:ptCount val="1"/>
                <c:pt idx="0">
                  <c:v>总金额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图7!$J$5:$J$8</c:f>
              <c:strCache>
                <c:ptCount val="4"/>
                <c:pt idx="0">
                  <c:v>2011</c:v>
                </c:pt>
                <c:pt idx="1">
                  <c:v>2013</c:v>
                </c:pt>
                <c:pt idx="2">
                  <c:v>2016</c:v>
                </c:pt>
                <c:pt idx="3">
                  <c:v>2020E</c:v>
                </c:pt>
              </c:strCache>
            </c:strRef>
          </c:cat>
          <c:val>
            <c:numRef>
              <c:f>图7!$P$5:$P$8</c:f>
              <c:numCache>
                <c:formatCode>_ * #,##0_ ;_ * \-#,##0_ ;_ * "-"??_ ;_ @_ </c:formatCode>
                <c:ptCount val="4"/>
                <c:pt idx="0">
                  <c:v>1260</c:v>
                </c:pt>
                <c:pt idx="1">
                  <c:v>1808</c:v>
                </c:pt>
                <c:pt idx="2">
                  <c:v>2179</c:v>
                </c:pt>
                <c:pt idx="3">
                  <c:v>3158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F5-4E55-8976-62DBD696D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888248"/>
        <c:axId val="693119008"/>
      </c:lineChart>
      <c:scatterChart>
        <c:scatterStyle val="lineMarker"/>
        <c:varyColors val="0"/>
        <c:ser>
          <c:idx val="6"/>
          <c:order val="6"/>
          <c:tx>
            <c:strRef>
              <c:f>图7!$R$3</c:f>
              <c:strCache>
                <c:ptCount val="1"/>
                <c:pt idx="0">
                  <c:v>helper2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7.9365079365079361E-3"/>
                  <c:y val="0"/>
                </c:manualLayout>
              </c:layout>
              <c:tx>
                <c:rich>
                  <a:bodyPr/>
                  <a:lstStyle/>
                  <a:p>
                    <a:fld id="{E045A1DF-A2D8-420B-B595-B1C4EB18DD3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47F5-4E55-8976-62DBD696DDC4}"/>
                </c:ext>
              </c:extLst>
            </c:dLbl>
            <c:dLbl>
              <c:idx val="1"/>
              <c:layout>
                <c:manualLayout>
                  <c:x val="-7.9365079365079361E-3"/>
                  <c:y val="0"/>
                </c:manualLayout>
              </c:layout>
              <c:tx>
                <c:rich>
                  <a:bodyPr/>
                  <a:lstStyle/>
                  <a:p>
                    <a:fld id="{B78DAC41-D150-4951-96D2-293EE9A5594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47F5-4E55-8976-62DBD696DDC4}"/>
                </c:ext>
              </c:extLst>
            </c:dLbl>
            <c:dLbl>
              <c:idx val="2"/>
              <c:layout>
                <c:manualLayout>
                  <c:x val="-7.9365079365079361E-3"/>
                  <c:y val="0"/>
                </c:manualLayout>
              </c:layout>
              <c:tx>
                <c:rich>
                  <a:bodyPr/>
                  <a:lstStyle/>
                  <a:p>
                    <a:fld id="{9A3B0C83-A495-47EE-A842-8057A8AAC06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47F5-4E55-8976-62DBD696DDC4}"/>
                </c:ext>
              </c:extLst>
            </c:dLbl>
            <c:dLbl>
              <c:idx val="3"/>
              <c:layout>
                <c:manualLayout>
                  <c:x val="-7.9365079365079361E-3"/>
                  <c:y val="0"/>
                </c:manualLayout>
              </c:layout>
              <c:tx>
                <c:rich>
                  <a:bodyPr/>
                  <a:lstStyle/>
                  <a:p>
                    <a:fld id="{E95D0CA3-DB1B-41F9-BCBA-F37008658BE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47F5-4E55-8976-62DBD696DDC4}"/>
                </c:ext>
              </c:extLst>
            </c:dLbl>
            <c:dLbl>
              <c:idx val="4"/>
              <c:layout>
                <c:manualLayout>
                  <c:x val="-7.9365079365079361E-3"/>
                  <c:y val="0"/>
                </c:manualLayout>
              </c:layout>
              <c:tx>
                <c:rich>
                  <a:bodyPr/>
                  <a:lstStyle/>
                  <a:p>
                    <a:fld id="{5EF835DF-F424-4D32-B56F-9189965516E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47F5-4E55-8976-62DBD696DD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图7!$R$5:$R$9</c:f>
              <c:numCache>
                <c:formatCode>General</c:formatCode>
                <c:ptCount val="5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</c:numCache>
            </c:numRef>
          </c:xVal>
          <c:yVal>
            <c:numRef>
              <c:f>图7!$S$5:$S$9</c:f>
              <c:numCache>
                <c:formatCode>_ * #,##0_ ;_ * \-#,##0_ ;_ * "-"??_ ;_ @_ </c:formatCode>
                <c:ptCount val="5"/>
                <c:pt idx="0">
                  <c:v>2763.25</c:v>
                </c:pt>
                <c:pt idx="1">
                  <c:v>2194.81</c:v>
                </c:pt>
                <c:pt idx="2">
                  <c:v>1894.8</c:v>
                </c:pt>
                <c:pt idx="3">
                  <c:v>1310.5700000000002</c:v>
                </c:pt>
                <c:pt idx="4">
                  <c:v>426.33000000000004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图7!$T$5:$T$9</c15:f>
                <c15:dlblRangeCache>
                  <c:ptCount val="5"/>
                  <c:pt idx="0">
                    <c:v>储蓄</c:v>
                  </c:pt>
                  <c:pt idx="1">
                    <c:v>按揭</c:v>
                  </c:pt>
                  <c:pt idx="2">
                    <c:v>其它贷款</c:v>
                  </c:pt>
                  <c:pt idx="3">
                    <c:v>小微贷款</c:v>
                  </c:pt>
                  <c:pt idx="4">
                    <c:v>财富管理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B-47F5-4E55-8976-62DBD696D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888248"/>
        <c:axId val="693119008"/>
      </c:scatterChart>
      <c:catAx>
        <c:axId val="695888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93119008"/>
        <c:crosses val="autoZero"/>
        <c:auto val="1"/>
        <c:lblAlgn val="ctr"/>
        <c:lblOffset val="100"/>
        <c:noMultiLvlLbl val="0"/>
      </c:catAx>
      <c:valAx>
        <c:axId val="693119008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95888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zh-CN" altLang="en-US" sz="1100" b="1">
                <a:solidFill>
                  <a:schemeClr val="tx1">
                    <a:lumMod val="95000"/>
                    <a:lumOff val="5000"/>
                  </a:schemeClr>
                </a:solidFill>
                <a:latin typeface="+mn-ea"/>
                <a:ea typeface="+mn-ea"/>
              </a:rPr>
              <a:t>消费金融、财富管理和小微贷款将带领中国零售银行业务收入增长</a:t>
            </a:r>
            <a:endParaRPr lang="en-US" altLang="zh-CN" sz="1100" b="1">
              <a:solidFill>
                <a:schemeClr val="tx1">
                  <a:lumMod val="95000"/>
                  <a:lumOff val="5000"/>
                </a:schemeClr>
              </a:solidFill>
              <a:latin typeface="+mn-ea"/>
              <a:ea typeface="+mn-ea"/>
            </a:endParaRPr>
          </a:p>
          <a:p>
            <a:pPr algn="l">
              <a:defRPr sz="1100"/>
            </a:pPr>
            <a:r>
              <a:rPr lang="en-US" altLang="zh-CN" sz="105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%</a:t>
            </a:r>
            <a:r>
              <a:rPr lang="zh-CN" altLang="en-US" sz="105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，按产品计算的中国零售银行收入占比</a:t>
            </a:r>
            <a:endParaRPr lang="zh-CN" sz="1050">
              <a:solidFill>
                <a:schemeClr val="tx1">
                  <a:lumMod val="65000"/>
                  <a:lumOff val="3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3.0092592592592591E-2"/>
          <c:y val="3.8759782976311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6877296587926512E-2"/>
          <c:y val="0.20490142220594521"/>
          <c:w val="0.92256714785651817"/>
          <c:h val="0.6941756699017274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图8!$C$4</c:f>
              <c:strCache>
                <c:ptCount val="1"/>
                <c:pt idx="0">
                  <c:v>财富管理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图8!$B$5:$B$8</c:f>
              <c:strCache>
                <c:ptCount val="4"/>
                <c:pt idx="0">
                  <c:v>2011</c:v>
                </c:pt>
                <c:pt idx="1">
                  <c:v>2013</c:v>
                </c:pt>
                <c:pt idx="2">
                  <c:v>2016</c:v>
                </c:pt>
                <c:pt idx="3">
                  <c:v>2020E</c:v>
                </c:pt>
              </c:strCache>
            </c:strRef>
          </c:cat>
          <c:val>
            <c:numRef>
              <c:f>图8!$C$5:$C$8</c:f>
              <c:numCache>
                <c:formatCode>0%</c:formatCode>
                <c:ptCount val="4"/>
                <c:pt idx="0">
                  <c:v>0.16</c:v>
                </c:pt>
                <c:pt idx="1">
                  <c:v>0.16</c:v>
                </c:pt>
                <c:pt idx="2">
                  <c:v>0.22</c:v>
                </c:pt>
                <c:pt idx="3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8-4E60-B5DE-F70060B0F101}"/>
            </c:ext>
          </c:extLst>
        </c:ser>
        <c:ser>
          <c:idx val="1"/>
          <c:order val="1"/>
          <c:tx>
            <c:strRef>
              <c:f>图8!$D$4</c:f>
              <c:strCache>
                <c:ptCount val="1"/>
                <c:pt idx="0">
                  <c:v>小微贷款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图8!$B$5:$B$8</c:f>
              <c:strCache>
                <c:ptCount val="4"/>
                <c:pt idx="0">
                  <c:v>2011</c:v>
                </c:pt>
                <c:pt idx="1">
                  <c:v>2013</c:v>
                </c:pt>
                <c:pt idx="2">
                  <c:v>2016</c:v>
                </c:pt>
                <c:pt idx="3">
                  <c:v>2020E</c:v>
                </c:pt>
              </c:strCache>
            </c:strRef>
          </c:cat>
          <c:val>
            <c:numRef>
              <c:f>图8!$D$5:$D$8</c:f>
              <c:numCache>
                <c:formatCode>0%</c:formatCode>
                <c:ptCount val="4"/>
                <c:pt idx="0">
                  <c:v>0.4</c:v>
                </c:pt>
                <c:pt idx="1">
                  <c:v>0.35</c:v>
                </c:pt>
                <c:pt idx="2">
                  <c:v>0.23</c:v>
                </c:pt>
                <c:pt idx="3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58-4E60-B5DE-F70060B0F101}"/>
            </c:ext>
          </c:extLst>
        </c:ser>
        <c:ser>
          <c:idx val="2"/>
          <c:order val="2"/>
          <c:tx>
            <c:strRef>
              <c:f>图8!$E$4</c:f>
              <c:strCache>
                <c:ptCount val="1"/>
                <c:pt idx="0">
                  <c:v>其它贷款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图8!$B$5:$B$8</c:f>
              <c:strCache>
                <c:ptCount val="4"/>
                <c:pt idx="0">
                  <c:v>2011</c:v>
                </c:pt>
                <c:pt idx="1">
                  <c:v>2013</c:v>
                </c:pt>
                <c:pt idx="2">
                  <c:v>2016</c:v>
                </c:pt>
                <c:pt idx="3">
                  <c:v>2020E</c:v>
                </c:pt>
              </c:strCache>
            </c:strRef>
          </c:cat>
          <c:val>
            <c:numRef>
              <c:f>图8!$E$5:$E$8</c:f>
              <c:numCache>
                <c:formatCode>0%</c:formatCode>
                <c:ptCount val="4"/>
                <c:pt idx="0">
                  <c:v>0.04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58-4E60-B5DE-F70060B0F101}"/>
            </c:ext>
          </c:extLst>
        </c:ser>
        <c:ser>
          <c:idx val="3"/>
          <c:order val="3"/>
          <c:tx>
            <c:strRef>
              <c:f>图8!$F$4</c:f>
              <c:strCache>
                <c:ptCount val="1"/>
                <c:pt idx="0">
                  <c:v>按揭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图8!$B$5:$B$8</c:f>
              <c:strCache>
                <c:ptCount val="4"/>
                <c:pt idx="0">
                  <c:v>2011</c:v>
                </c:pt>
                <c:pt idx="1">
                  <c:v>2013</c:v>
                </c:pt>
                <c:pt idx="2">
                  <c:v>2016</c:v>
                </c:pt>
                <c:pt idx="3">
                  <c:v>2020E</c:v>
                </c:pt>
              </c:strCache>
            </c:strRef>
          </c:cat>
          <c:val>
            <c:numRef>
              <c:f>图8!$F$5:$F$8</c:f>
              <c:numCache>
                <c:formatCode>0%</c:formatCode>
                <c:ptCount val="4"/>
                <c:pt idx="0">
                  <c:v>0.11</c:v>
                </c:pt>
                <c:pt idx="1">
                  <c:v>0.09</c:v>
                </c:pt>
                <c:pt idx="2">
                  <c:v>0.08</c:v>
                </c:pt>
                <c:pt idx="3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58-4E60-B5DE-F70060B0F101}"/>
            </c:ext>
          </c:extLst>
        </c:ser>
        <c:ser>
          <c:idx val="4"/>
          <c:order val="4"/>
          <c:tx>
            <c:strRef>
              <c:f>图8!$G$4</c:f>
              <c:strCache>
                <c:ptCount val="1"/>
                <c:pt idx="0">
                  <c:v>储蓄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图8!$B$5:$B$8</c:f>
              <c:strCache>
                <c:ptCount val="4"/>
                <c:pt idx="0">
                  <c:v>2011</c:v>
                </c:pt>
                <c:pt idx="1">
                  <c:v>2013</c:v>
                </c:pt>
                <c:pt idx="2">
                  <c:v>2016</c:v>
                </c:pt>
                <c:pt idx="3">
                  <c:v>2020E</c:v>
                </c:pt>
              </c:strCache>
            </c:strRef>
          </c:cat>
          <c:val>
            <c:numRef>
              <c:f>图8!$G$5:$G$8</c:f>
              <c:numCache>
                <c:formatCode>0%</c:formatCode>
                <c:ptCount val="4"/>
                <c:pt idx="0">
                  <c:v>0.28999999999999998</c:v>
                </c:pt>
                <c:pt idx="1">
                  <c:v>0.36</c:v>
                </c:pt>
                <c:pt idx="2">
                  <c:v>0.4</c:v>
                </c:pt>
                <c:pt idx="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58-4E60-B5DE-F70060B0F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93099376"/>
        <c:axId val="593097408"/>
      </c:barChart>
      <c:catAx>
        <c:axId val="59309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593097408"/>
        <c:crosses val="autoZero"/>
        <c:auto val="1"/>
        <c:lblAlgn val="ctr"/>
        <c:lblOffset val="100"/>
        <c:noMultiLvlLbl val="0"/>
      </c:catAx>
      <c:valAx>
        <c:axId val="593097408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59309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7620771361913095"/>
          <c:y val="0.13686058752637772"/>
          <c:w val="0.46610323709536305"/>
          <c:h val="4.76729943640765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zh-CN" altLang="zh-CN" sz="1200" b="0" i="0" baseline="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</a:rPr>
              <a:t>越南的人口增长</a:t>
            </a:r>
            <a:endParaRPr lang="zh-CN" altLang="zh-CN" sz="10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</a:endParaRPr>
          </a:p>
          <a:p>
            <a:pPr algn="l">
              <a:defRPr/>
            </a:pPr>
            <a:r>
              <a:rPr lang="zh-CN" altLang="zh-CN" sz="900" b="0" i="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+mn-lt"/>
              </a:rPr>
              <a:t>按收入阶层划分，</a:t>
            </a:r>
            <a:r>
              <a:rPr lang="en-US" altLang="zh-CN" sz="900" b="0" i="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+mn-lt"/>
              </a:rPr>
              <a:t>2006-2016</a:t>
            </a:r>
            <a:r>
              <a:rPr lang="zh-CN" altLang="zh-CN" sz="900" b="0" i="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+mn-lt"/>
              </a:rPr>
              <a:t>年，单位：百万人口</a:t>
            </a:r>
            <a:endParaRPr lang="zh-CN" altLang="zh-CN" sz="60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</a:endParaRPr>
          </a:p>
        </c:rich>
      </c:tx>
      <c:layout>
        <c:manualLayout>
          <c:xMode val="edge"/>
          <c:yMode val="edge"/>
          <c:x val="5.6009378685667147E-2"/>
          <c:y val="3.82775119617224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6814127310167309E-2"/>
          <c:y val="0.14661894535910283"/>
          <c:w val="0.89505171810666717"/>
          <c:h val="0.7181393713345639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图9!$F$4</c:f>
              <c:strCache>
                <c:ptCount val="1"/>
                <c:pt idx="0">
                  <c:v>helper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图9!$E$5:$E$12</c:f>
              <c:strCache>
                <c:ptCount val="8"/>
                <c:pt idx="0">
                  <c:v>2006</c:v>
                </c:pt>
                <c:pt idx="1">
                  <c:v>贫困</c:v>
                </c:pt>
                <c:pt idx="2">
                  <c:v>低收入</c:v>
                </c:pt>
                <c:pt idx="3">
                  <c:v>中低收入</c:v>
                </c:pt>
                <c:pt idx="4">
                  <c:v>中等收入</c:v>
                </c:pt>
                <c:pt idx="5">
                  <c:v>中高收入</c:v>
                </c:pt>
                <c:pt idx="6">
                  <c:v>高收入</c:v>
                </c:pt>
                <c:pt idx="7">
                  <c:v>2016</c:v>
                </c:pt>
              </c:strCache>
            </c:strRef>
          </c:cat>
          <c:val>
            <c:numRef>
              <c:f>图9!$F$5:$F$12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8-45EF-B190-9AEBB034AA44}"/>
            </c:ext>
          </c:extLst>
        </c:ser>
        <c:ser>
          <c:idx val="1"/>
          <c:order val="1"/>
          <c:tx>
            <c:strRef>
              <c:f>图9!$G$4</c:f>
              <c:strCache>
                <c:ptCount val="1"/>
                <c:pt idx="0">
                  <c:v>起始序列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图9!$E$5:$E$12</c:f>
              <c:strCache>
                <c:ptCount val="8"/>
                <c:pt idx="0">
                  <c:v>2006</c:v>
                </c:pt>
                <c:pt idx="1">
                  <c:v>贫困</c:v>
                </c:pt>
                <c:pt idx="2">
                  <c:v>低收入</c:v>
                </c:pt>
                <c:pt idx="3">
                  <c:v>中低收入</c:v>
                </c:pt>
                <c:pt idx="4">
                  <c:v>中等收入</c:v>
                </c:pt>
                <c:pt idx="5">
                  <c:v>中高收入</c:v>
                </c:pt>
                <c:pt idx="6">
                  <c:v>高收入</c:v>
                </c:pt>
                <c:pt idx="7">
                  <c:v>2016</c:v>
                </c:pt>
              </c:strCache>
            </c:strRef>
          </c:cat>
          <c:val>
            <c:numRef>
              <c:f>图9!$G$5:$G$12</c:f>
              <c:numCache>
                <c:formatCode>General</c:formatCode>
                <c:ptCount val="8"/>
                <c:pt idx="0" formatCode="0.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98-45EF-B190-9AEBB034AA44}"/>
            </c:ext>
          </c:extLst>
        </c:ser>
        <c:ser>
          <c:idx val="2"/>
          <c:order val="2"/>
          <c:tx>
            <c:strRef>
              <c:f>图9!$H$4</c:f>
              <c:strCache>
                <c:ptCount val="1"/>
                <c:pt idx="0">
                  <c:v>辅助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图9!$E$5:$E$12</c:f>
              <c:strCache>
                <c:ptCount val="8"/>
                <c:pt idx="0">
                  <c:v>2006</c:v>
                </c:pt>
                <c:pt idx="1">
                  <c:v>贫困</c:v>
                </c:pt>
                <c:pt idx="2">
                  <c:v>低收入</c:v>
                </c:pt>
                <c:pt idx="3">
                  <c:v>中低收入</c:v>
                </c:pt>
                <c:pt idx="4">
                  <c:v>中等收入</c:v>
                </c:pt>
                <c:pt idx="5">
                  <c:v>中高收入</c:v>
                </c:pt>
                <c:pt idx="6">
                  <c:v>高收入</c:v>
                </c:pt>
                <c:pt idx="7">
                  <c:v>2016</c:v>
                </c:pt>
              </c:strCache>
            </c:strRef>
          </c:cat>
          <c:val>
            <c:numRef>
              <c:f>图9!$H$5:$H$12</c:f>
              <c:numCache>
                <c:formatCode>General</c:formatCode>
                <c:ptCount val="8"/>
                <c:pt idx="1">
                  <c:v>70.400000000000006</c:v>
                </c:pt>
                <c:pt idx="2">
                  <c:v>70.400000000000006</c:v>
                </c:pt>
                <c:pt idx="3">
                  <c:v>83.800000000000011</c:v>
                </c:pt>
                <c:pt idx="4">
                  <c:v>91.000000000000014</c:v>
                </c:pt>
                <c:pt idx="5">
                  <c:v>93.200000000000017</c:v>
                </c:pt>
                <c:pt idx="6">
                  <c:v>94.100000000000023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98-45EF-B190-9AEBB034AA44}"/>
            </c:ext>
          </c:extLst>
        </c:ser>
        <c:ser>
          <c:idx val="3"/>
          <c:order val="3"/>
          <c:tx>
            <c:strRef>
              <c:f>图9!$I$4</c:f>
              <c:strCache>
                <c:ptCount val="1"/>
                <c:pt idx="0">
                  <c:v>正值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图9!$E$5:$E$12</c:f>
              <c:strCache>
                <c:ptCount val="8"/>
                <c:pt idx="0">
                  <c:v>2006</c:v>
                </c:pt>
                <c:pt idx="1">
                  <c:v>贫困</c:v>
                </c:pt>
                <c:pt idx="2">
                  <c:v>低收入</c:v>
                </c:pt>
                <c:pt idx="3">
                  <c:v>中低收入</c:v>
                </c:pt>
                <c:pt idx="4">
                  <c:v>中等收入</c:v>
                </c:pt>
                <c:pt idx="5">
                  <c:v>中高收入</c:v>
                </c:pt>
                <c:pt idx="6">
                  <c:v>高收入</c:v>
                </c:pt>
                <c:pt idx="7">
                  <c:v>2016</c:v>
                </c:pt>
              </c:strCache>
            </c:strRef>
          </c:cat>
          <c:val>
            <c:numRef>
              <c:f>图9!$I$5:$I$12</c:f>
              <c:numCache>
                <c:formatCode>General</c:formatCode>
                <c:ptCount val="8"/>
                <c:pt idx="2">
                  <c:v>13.4</c:v>
                </c:pt>
                <c:pt idx="3">
                  <c:v>7.2</c:v>
                </c:pt>
                <c:pt idx="4">
                  <c:v>2.2000000000000002</c:v>
                </c:pt>
                <c:pt idx="5">
                  <c:v>0.9</c:v>
                </c:pt>
                <c:pt idx="6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98-45EF-B190-9AEBB034AA44}"/>
            </c:ext>
          </c:extLst>
        </c:ser>
        <c:ser>
          <c:idx val="4"/>
          <c:order val="4"/>
          <c:tx>
            <c:strRef>
              <c:f>图9!$J$4</c:f>
              <c:strCache>
                <c:ptCount val="1"/>
                <c:pt idx="0">
                  <c:v>负值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图9!$E$5:$E$12</c:f>
              <c:strCache>
                <c:ptCount val="8"/>
                <c:pt idx="0">
                  <c:v>2006</c:v>
                </c:pt>
                <c:pt idx="1">
                  <c:v>贫困</c:v>
                </c:pt>
                <c:pt idx="2">
                  <c:v>低收入</c:v>
                </c:pt>
                <c:pt idx="3">
                  <c:v>中低收入</c:v>
                </c:pt>
                <c:pt idx="4">
                  <c:v>中等收入</c:v>
                </c:pt>
                <c:pt idx="5">
                  <c:v>中高收入</c:v>
                </c:pt>
                <c:pt idx="6">
                  <c:v>高收入</c:v>
                </c:pt>
                <c:pt idx="7">
                  <c:v>2016</c:v>
                </c:pt>
              </c:strCache>
            </c:strRef>
          </c:cat>
          <c:val>
            <c:numRef>
              <c:f>图9!$J$5:$J$12</c:f>
              <c:numCache>
                <c:formatCode>General</c:formatCode>
                <c:ptCount val="8"/>
                <c:pt idx="1">
                  <c:v>14.6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98-45EF-B190-9AEBB034AA44}"/>
            </c:ext>
          </c:extLst>
        </c:ser>
        <c:ser>
          <c:idx val="5"/>
          <c:order val="5"/>
          <c:tx>
            <c:strRef>
              <c:f>图9!$K$4</c:f>
              <c:strCache>
                <c:ptCount val="1"/>
                <c:pt idx="0">
                  <c:v>结束序列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图9!$E$5:$E$12</c:f>
              <c:strCache>
                <c:ptCount val="8"/>
                <c:pt idx="0">
                  <c:v>2006</c:v>
                </c:pt>
                <c:pt idx="1">
                  <c:v>贫困</c:v>
                </c:pt>
                <c:pt idx="2">
                  <c:v>低收入</c:v>
                </c:pt>
                <c:pt idx="3">
                  <c:v>中低收入</c:v>
                </c:pt>
                <c:pt idx="4">
                  <c:v>中等收入</c:v>
                </c:pt>
                <c:pt idx="5">
                  <c:v>中高收入</c:v>
                </c:pt>
                <c:pt idx="6">
                  <c:v>高收入</c:v>
                </c:pt>
                <c:pt idx="7">
                  <c:v>2016</c:v>
                </c:pt>
              </c:strCache>
            </c:strRef>
          </c:cat>
          <c:val>
            <c:numRef>
              <c:f>图9!$K$5:$K$12</c:f>
              <c:numCache>
                <c:formatCode>General</c:formatCode>
                <c:ptCount val="8"/>
                <c:pt idx="7">
                  <c:v>94.4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98-45EF-B190-9AEBB034A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57933584"/>
        <c:axId val="757933912"/>
      </c:barChart>
      <c:catAx>
        <c:axId val="75793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757933912"/>
        <c:crosses val="autoZero"/>
        <c:auto val="1"/>
        <c:lblAlgn val="ctr"/>
        <c:lblOffset val="100"/>
        <c:noMultiLvlLbl val="0"/>
      </c:catAx>
      <c:valAx>
        <c:axId val="757933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5793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200">
                <a:solidFill>
                  <a:schemeClr val="tx1">
                    <a:lumMod val="95000"/>
                    <a:lumOff val="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我国集成电路进口金额逐步上升</a:t>
            </a:r>
            <a:endParaRPr lang="en-US" altLang="zh-CN" sz="1200">
              <a:solidFill>
                <a:schemeClr val="tx1">
                  <a:lumMod val="95000"/>
                  <a:lumOff val="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  <a:p>
            <a:pPr algn="l">
              <a:defRPr sz="1200">
                <a:latin typeface="黑体" panose="02010609060101010101" pitchFamily="49" charset="-122"/>
                <a:ea typeface="黑体" panose="02010609060101010101" pitchFamily="49" charset="-122"/>
              </a:defRPr>
            </a:pPr>
            <a:r>
              <a:rPr lang="en-US" altLang="zh-CN" sz="1000">
                <a:solidFill>
                  <a:schemeClr val="tx1">
                    <a:lumMod val="50000"/>
                    <a:lumOff val="50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2010-2016</a:t>
            </a:r>
            <a:r>
              <a:rPr lang="zh-CN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年，单位：十亿美元</a:t>
            </a:r>
            <a:endParaRPr lang="zh-CN" altLang="en-US" sz="900">
              <a:solidFill>
                <a:schemeClr val="tx1">
                  <a:lumMod val="50000"/>
                  <a:lumOff val="50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5.5555555555555552E-2"/>
          <c:y val="2.21607956900124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6373369995417236E-2"/>
          <c:y val="0.16509379748584058"/>
          <c:w val="0.85690705328500616"/>
          <c:h val="0.707339964083436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图10!$C$4</c:f>
              <c:strCache>
                <c:ptCount val="1"/>
                <c:pt idx="0">
                  <c:v>进口额</c:v>
                </c:pt>
              </c:strCache>
            </c:strRef>
          </c:tx>
          <c:spPr>
            <a:solidFill>
              <a:schemeClr val="accent6">
                <a:lumMod val="75000"/>
                <a:alpha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图10!$B$5:$B$11</c:f>
              <c:strCache>
                <c:ptCount val="7"/>
                <c:pt idx="0">
                  <c:v>2010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</c:strCache>
            </c:strRef>
          </c:cat>
          <c:val>
            <c:numRef>
              <c:f>图10!$C$5:$C$11</c:f>
              <c:numCache>
                <c:formatCode>0.0_);[Red]\(0.0\)</c:formatCode>
                <c:ptCount val="7"/>
                <c:pt idx="0">
                  <c:v>157</c:v>
                </c:pt>
                <c:pt idx="1">
                  <c:v>170.2</c:v>
                </c:pt>
                <c:pt idx="2">
                  <c:v>192</c:v>
                </c:pt>
                <c:pt idx="3">
                  <c:v>231.3</c:v>
                </c:pt>
                <c:pt idx="4">
                  <c:v>217.6</c:v>
                </c:pt>
                <c:pt idx="5">
                  <c:v>230.7</c:v>
                </c:pt>
                <c:pt idx="6">
                  <c:v>227.1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C-4EC1-A57F-264919037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760065368"/>
        <c:axId val="760064384"/>
      </c:barChart>
      <c:scatterChart>
        <c:scatterStyle val="lineMarker"/>
        <c:varyColors val="0"/>
        <c:ser>
          <c:idx val="1"/>
          <c:order val="1"/>
          <c:tx>
            <c:strRef>
              <c:f>图10!$E$3</c:f>
              <c:strCache>
                <c:ptCount val="1"/>
                <c:pt idx="0">
                  <c:v>helper</c:v>
                </c:pt>
              </c:strCache>
            </c:strRef>
          </c:tx>
          <c:spPr>
            <a:ln w="254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图10!$E$5:$E$18</c:f>
              <c:numCache>
                <c:formatCode>General</c:formatCode>
                <c:ptCount val="14"/>
                <c:pt idx="0">
                  <c:v>0.5</c:v>
                </c:pt>
                <c:pt idx="1">
                  <c:v>1.5</c:v>
                </c:pt>
                <c:pt idx="2">
                  <c:v>1.5</c:v>
                </c:pt>
                <c:pt idx="3">
                  <c:v>2.5</c:v>
                </c:pt>
                <c:pt idx="4">
                  <c:v>2.5</c:v>
                </c:pt>
                <c:pt idx="5">
                  <c:v>3.5</c:v>
                </c:pt>
                <c:pt idx="6">
                  <c:v>3.5</c:v>
                </c:pt>
                <c:pt idx="7">
                  <c:v>4.5</c:v>
                </c:pt>
                <c:pt idx="8">
                  <c:v>4.5</c:v>
                </c:pt>
                <c:pt idx="9">
                  <c:v>5.5</c:v>
                </c:pt>
                <c:pt idx="10">
                  <c:v>5.5</c:v>
                </c:pt>
                <c:pt idx="11">
                  <c:v>6.5</c:v>
                </c:pt>
                <c:pt idx="12">
                  <c:v>6.5</c:v>
                </c:pt>
                <c:pt idx="13">
                  <c:v>7.5</c:v>
                </c:pt>
              </c:numCache>
            </c:numRef>
          </c:xVal>
          <c:yVal>
            <c:numRef>
              <c:f>图10!$F$5:$F$18</c:f>
              <c:numCache>
                <c:formatCode>0.0_ </c:formatCode>
                <c:ptCount val="14"/>
                <c:pt idx="0">
                  <c:v>157</c:v>
                </c:pt>
                <c:pt idx="1">
                  <c:v>157</c:v>
                </c:pt>
                <c:pt idx="2" formatCode="0.0_);[Red]\(0.0\)">
                  <c:v>170.2</c:v>
                </c:pt>
                <c:pt idx="3" formatCode="0.0_);[Red]\(0.0\)">
                  <c:v>170.2</c:v>
                </c:pt>
                <c:pt idx="4" formatCode="0.0_);[Red]\(0.0\)">
                  <c:v>192</c:v>
                </c:pt>
                <c:pt idx="5" formatCode="0.0_);[Red]\(0.0\)">
                  <c:v>192</c:v>
                </c:pt>
                <c:pt idx="6" formatCode="0.0_);[Red]\(0.0\)">
                  <c:v>231.3</c:v>
                </c:pt>
                <c:pt idx="7" formatCode="0.0_);[Red]\(0.0\)">
                  <c:v>231.3</c:v>
                </c:pt>
                <c:pt idx="8" formatCode="0.0_);[Red]\(0.0\)">
                  <c:v>217.6</c:v>
                </c:pt>
                <c:pt idx="9" formatCode="0.0_);[Red]\(0.0\)">
                  <c:v>217.6</c:v>
                </c:pt>
                <c:pt idx="10" formatCode="0.0_);[Red]\(0.0\)">
                  <c:v>230.7</c:v>
                </c:pt>
                <c:pt idx="11" formatCode="0.0_);[Red]\(0.0\)">
                  <c:v>230.7</c:v>
                </c:pt>
                <c:pt idx="12" formatCode="0.0_);[Red]\(0.0\)">
                  <c:v>227.1</c:v>
                </c:pt>
                <c:pt idx="13" formatCode="0.0_);[Red]\(0.0\)">
                  <c:v>227.1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AC-4EC1-A57F-264919037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065368"/>
        <c:axId val="760064384"/>
      </c:scatterChart>
      <c:catAx>
        <c:axId val="760065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60064384"/>
        <c:crosses val="autoZero"/>
        <c:auto val="1"/>
        <c:lblAlgn val="ctr"/>
        <c:lblOffset val="100"/>
        <c:noMultiLvlLbl val="0"/>
      </c:catAx>
      <c:valAx>
        <c:axId val="76006438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60065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180974</xdr:rowOff>
    </xdr:from>
    <xdr:to>
      <xdr:col>12</xdr:col>
      <xdr:colOff>0</xdr:colOff>
      <xdr:row>32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F51C80A-D12C-4FD4-B3EB-F41968E39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0</xdr:colOff>
      <xdr:row>14</xdr:row>
      <xdr:rowOff>19049</xdr:rowOff>
    </xdr:from>
    <xdr:to>
      <xdr:col>16</xdr:col>
      <xdr:colOff>0</xdr:colOff>
      <xdr:row>40</xdr:row>
      <xdr:rowOff>19050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ECEACC7-88F5-4F1A-A751-74854D998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647700</xdr:colOff>
      <xdr:row>35</xdr:row>
      <xdr:rowOff>161925</xdr:rowOff>
    </xdr:from>
    <xdr:to>
      <xdr:col>8</xdr:col>
      <xdr:colOff>357900</xdr:colOff>
      <xdr:row>35</xdr:row>
      <xdr:rowOff>161925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1D0BF00C-2111-47B4-98DC-2418F164356D}"/>
            </a:ext>
          </a:extLst>
        </xdr:cNvPr>
        <xdr:cNvCxnSpPr/>
      </xdr:nvCxnSpPr>
      <xdr:spPr>
        <a:xfrm>
          <a:off x="5114925" y="6496050"/>
          <a:ext cx="396000" cy="0"/>
        </a:xfrm>
        <a:prstGeom prst="line">
          <a:avLst/>
        </a:prstGeom>
        <a:ln w="12700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247650</xdr:colOff>
      <xdr:row>24</xdr:row>
      <xdr:rowOff>66675</xdr:rowOff>
    </xdr:from>
    <xdr:to>
      <xdr:col>8</xdr:col>
      <xdr:colOff>355650</xdr:colOff>
      <xdr:row>24</xdr:row>
      <xdr:rowOff>66675</xdr:rowOff>
    </xdr:to>
    <xdr:cxnSp macro="">
      <xdr:nvCxnSpPr>
        <xdr:cNvPr id="11" name="直接连接符 10">
          <a:extLst>
            <a:ext uri="{FF2B5EF4-FFF2-40B4-BE49-F238E27FC236}">
              <a16:creationId xmlns:a16="http://schemas.microsoft.com/office/drawing/2014/main" id="{B3A94EDF-A861-41A2-AC66-11B1511A3F0F}"/>
            </a:ext>
          </a:extLst>
        </xdr:cNvPr>
        <xdr:cNvCxnSpPr/>
      </xdr:nvCxnSpPr>
      <xdr:spPr>
        <a:xfrm>
          <a:off x="5400675" y="4410075"/>
          <a:ext cx="108000" cy="0"/>
        </a:xfrm>
        <a:prstGeom prst="line">
          <a:avLst/>
        </a:prstGeom>
        <a:ln w="12700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657225</xdr:colOff>
      <xdr:row>32</xdr:row>
      <xdr:rowOff>76200</xdr:rowOff>
    </xdr:from>
    <xdr:to>
      <xdr:col>9</xdr:col>
      <xdr:colOff>367425</xdr:colOff>
      <xdr:row>32</xdr:row>
      <xdr:rowOff>76200</xdr:rowOff>
    </xdr:to>
    <xdr:cxnSp macro="">
      <xdr:nvCxnSpPr>
        <xdr:cNvPr id="12" name="直接连接符 11">
          <a:extLst>
            <a:ext uri="{FF2B5EF4-FFF2-40B4-BE49-F238E27FC236}">
              <a16:creationId xmlns:a16="http://schemas.microsoft.com/office/drawing/2014/main" id="{010FCD07-987C-4EA8-86A6-7B3B5150D282}"/>
            </a:ext>
          </a:extLst>
        </xdr:cNvPr>
        <xdr:cNvCxnSpPr/>
      </xdr:nvCxnSpPr>
      <xdr:spPr>
        <a:xfrm>
          <a:off x="5810250" y="5867400"/>
          <a:ext cx="396000" cy="0"/>
        </a:xfrm>
        <a:prstGeom prst="line">
          <a:avLst/>
        </a:prstGeom>
        <a:ln w="12700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257175</xdr:colOff>
      <xdr:row>29</xdr:row>
      <xdr:rowOff>114300</xdr:rowOff>
    </xdr:from>
    <xdr:to>
      <xdr:col>9</xdr:col>
      <xdr:colOff>365175</xdr:colOff>
      <xdr:row>29</xdr:row>
      <xdr:rowOff>114300</xdr:rowOff>
    </xdr:to>
    <xdr:cxnSp macro="">
      <xdr:nvCxnSpPr>
        <xdr:cNvPr id="13" name="直接连接符 12">
          <a:extLst>
            <a:ext uri="{FF2B5EF4-FFF2-40B4-BE49-F238E27FC236}">
              <a16:creationId xmlns:a16="http://schemas.microsoft.com/office/drawing/2014/main" id="{8D48BC01-4F44-45BD-B9A2-364067D24118}"/>
            </a:ext>
          </a:extLst>
        </xdr:cNvPr>
        <xdr:cNvCxnSpPr/>
      </xdr:nvCxnSpPr>
      <xdr:spPr>
        <a:xfrm>
          <a:off x="6096000" y="5362575"/>
          <a:ext cx="108000" cy="0"/>
        </a:xfrm>
        <a:prstGeom prst="line">
          <a:avLst/>
        </a:prstGeom>
        <a:ln w="12700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657225</xdr:colOff>
      <xdr:row>32</xdr:row>
      <xdr:rowOff>76200</xdr:rowOff>
    </xdr:from>
    <xdr:to>
      <xdr:col>10</xdr:col>
      <xdr:colOff>367425</xdr:colOff>
      <xdr:row>32</xdr:row>
      <xdr:rowOff>76200</xdr:rowOff>
    </xdr:to>
    <xdr:cxnSp macro="">
      <xdr:nvCxnSpPr>
        <xdr:cNvPr id="14" name="直接连接符 13">
          <a:extLst>
            <a:ext uri="{FF2B5EF4-FFF2-40B4-BE49-F238E27FC236}">
              <a16:creationId xmlns:a16="http://schemas.microsoft.com/office/drawing/2014/main" id="{5B4D8487-9718-4745-AA7B-C8E590ADA4CA}"/>
            </a:ext>
          </a:extLst>
        </xdr:cNvPr>
        <xdr:cNvCxnSpPr/>
      </xdr:nvCxnSpPr>
      <xdr:spPr>
        <a:xfrm>
          <a:off x="6496050" y="5867400"/>
          <a:ext cx="396000" cy="0"/>
        </a:xfrm>
        <a:prstGeom prst="line">
          <a:avLst/>
        </a:prstGeom>
        <a:ln w="12700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257175</xdr:colOff>
      <xdr:row>24</xdr:row>
      <xdr:rowOff>161925</xdr:rowOff>
    </xdr:from>
    <xdr:to>
      <xdr:col>10</xdr:col>
      <xdr:colOff>365175</xdr:colOff>
      <xdr:row>24</xdr:row>
      <xdr:rowOff>161925</xdr:rowOff>
    </xdr:to>
    <xdr:cxnSp macro="">
      <xdr:nvCxnSpPr>
        <xdr:cNvPr id="15" name="直接连接符 14">
          <a:extLst>
            <a:ext uri="{FF2B5EF4-FFF2-40B4-BE49-F238E27FC236}">
              <a16:creationId xmlns:a16="http://schemas.microsoft.com/office/drawing/2014/main" id="{7E9E24F8-1838-47F2-805B-EA40805CE29E}"/>
            </a:ext>
          </a:extLst>
        </xdr:cNvPr>
        <xdr:cNvCxnSpPr/>
      </xdr:nvCxnSpPr>
      <xdr:spPr>
        <a:xfrm>
          <a:off x="6781800" y="4505325"/>
          <a:ext cx="108000" cy="0"/>
        </a:xfrm>
        <a:prstGeom prst="line">
          <a:avLst/>
        </a:prstGeom>
        <a:ln w="12700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657225</xdr:colOff>
      <xdr:row>31</xdr:row>
      <xdr:rowOff>28575</xdr:rowOff>
    </xdr:from>
    <xdr:to>
      <xdr:col>11</xdr:col>
      <xdr:colOff>367425</xdr:colOff>
      <xdr:row>31</xdr:row>
      <xdr:rowOff>28575</xdr:rowOff>
    </xdr:to>
    <xdr:cxnSp macro="">
      <xdr:nvCxnSpPr>
        <xdr:cNvPr id="16" name="直接连接符 15">
          <a:extLst>
            <a:ext uri="{FF2B5EF4-FFF2-40B4-BE49-F238E27FC236}">
              <a16:creationId xmlns:a16="http://schemas.microsoft.com/office/drawing/2014/main" id="{F2442226-F516-43A2-90A5-F41D7DA2E76B}"/>
            </a:ext>
          </a:extLst>
        </xdr:cNvPr>
        <xdr:cNvCxnSpPr/>
      </xdr:nvCxnSpPr>
      <xdr:spPr>
        <a:xfrm>
          <a:off x="7181850" y="5638800"/>
          <a:ext cx="396000" cy="0"/>
        </a:xfrm>
        <a:prstGeom prst="line">
          <a:avLst/>
        </a:prstGeom>
        <a:ln w="12700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257175</xdr:colOff>
      <xdr:row>25</xdr:row>
      <xdr:rowOff>0</xdr:rowOff>
    </xdr:from>
    <xdr:to>
      <xdr:col>11</xdr:col>
      <xdr:colOff>365175</xdr:colOff>
      <xdr:row>25</xdr:row>
      <xdr:rowOff>0</xdr:rowOff>
    </xdr:to>
    <xdr:cxnSp macro="">
      <xdr:nvCxnSpPr>
        <xdr:cNvPr id="17" name="直接连接符 16">
          <a:extLst>
            <a:ext uri="{FF2B5EF4-FFF2-40B4-BE49-F238E27FC236}">
              <a16:creationId xmlns:a16="http://schemas.microsoft.com/office/drawing/2014/main" id="{9EEF43AB-CA6C-4930-ADC6-62D284C8CC60}"/>
            </a:ext>
          </a:extLst>
        </xdr:cNvPr>
        <xdr:cNvCxnSpPr/>
      </xdr:nvCxnSpPr>
      <xdr:spPr>
        <a:xfrm>
          <a:off x="7467600" y="4524375"/>
          <a:ext cx="108000" cy="0"/>
        </a:xfrm>
        <a:prstGeom prst="line">
          <a:avLst/>
        </a:prstGeom>
        <a:ln w="12700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666750</xdr:colOff>
      <xdr:row>29</xdr:row>
      <xdr:rowOff>66675</xdr:rowOff>
    </xdr:from>
    <xdr:to>
      <xdr:col>12</xdr:col>
      <xdr:colOff>376950</xdr:colOff>
      <xdr:row>29</xdr:row>
      <xdr:rowOff>66675</xdr:rowOff>
    </xdr:to>
    <xdr:cxnSp macro="">
      <xdr:nvCxnSpPr>
        <xdr:cNvPr id="18" name="直接连接符 17">
          <a:extLst>
            <a:ext uri="{FF2B5EF4-FFF2-40B4-BE49-F238E27FC236}">
              <a16:creationId xmlns:a16="http://schemas.microsoft.com/office/drawing/2014/main" id="{51BE8EEA-9EF5-4E7A-97EE-246F86E94FE5}"/>
            </a:ext>
          </a:extLst>
        </xdr:cNvPr>
        <xdr:cNvCxnSpPr/>
      </xdr:nvCxnSpPr>
      <xdr:spPr>
        <a:xfrm>
          <a:off x="7877175" y="5314950"/>
          <a:ext cx="396000" cy="0"/>
        </a:xfrm>
        <a:prstGeom prst="line">
          <a:avLst/>
        </a:prstGeom>
        <a:ln w="12700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23</xdr:row>
      <xdr:rowOff>38100</xdr:rowOff>
    </xdr:from>
    <xdr:to>
      <xdr:col>12</xdr:col>
      <xdr:colOff>374700</xdr:colOff>
      <xdr:row>23</xdr:row>
      <xdr:rowOff>38100</xdr:rowOff>
    </xdr:to>
    <xdr:cxnSp macro="">
      <xdr:nvCxnSpPr>
        <xdr:cNvPr id="19" name="直接连接符 18">
          <a:extLst>
            <a:ext uri="{FF2B5EF4-FFF2-40B4-BE49-F238E27FC236}">
              <a16:creationId xmlns:a16="http://schemas.microsoft.com/office/drawing/2014/main" id="{3DEDBCE8-C2F7-4FE1-8FF7-B48E209BC6BA}"/>
            </a:ext>
          </a:extLst>
        </xdr:cNvPr>
        <xdr:cNvCxnSpPr/>
      </xdr:nvCxnSpPr>
      <xdr:spPr>
        <a:xfrm>
          <a:off x="8162925" y="4200525"/>
          <a:ext cx="108000" cy="0"/>
        </a:xfrm>
        <a:prstGeom prst="line">
          <a:avLst/>
        </a:prstGeom>
        <a:ln w="12700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666750</xdr:colOff>
      <xdr:row>29</xdr:row>
      <xdr:rowOff>152400</xdr:rowOff>
    </xdr:from>
    <xdr:to>
      <xdr:col>13</xdr:col>
      <xdr:colOff>376950</xdr:colOff>
      <xdr:row>29</xdr:row>
      <xdr:rowOff>152400</xdr:rowOff>
    </xdr:to>
    <xdr:cxnSp macro="">
      <xdr:nvCxnSpPr>
        <xdr:cNvPr id="20" name="直接连接符 19">
          <a:extLst>
            <a:ext uri="{FF2B5EF4-FFF2-40B4-BE49-F238E27FC236}">
              <a16:creationId xmlns:a16="http://schemas.microsoft.com/office/drawing/2014/main" id="{1055CB30-EED0-4E71-B88B-2179453087C7}"/>
            </a:ext>
          </a:extLst>
        </xdr:cNvPr>
        <xdr:cNvCxnSpPr/>
      </xdr:nvCxnSpPr>
      <xdr:spPr>
        <a:xfrm>
          <a:off x="8562975" y="5400675"/>
          <a:ext cx="396000" cy="0"/>
        </a:xfrm>
        <a:prstGeom prst="line">
          <a:avLst/>
        </a:prstGeom>
        <a:ln w="12700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266700</xdr:colOff>
      <xdr:row>21</xdr:row>
      <xdr:rowOff>95250</xdr:rowOff>
    </xdr:from>
    <xdr:to>
      <xdr:col>13</xdr:col>
      <xdr:colOff>374700</xdr:colOff>
      <xdr:row>21</xdr:row>
      <xdr:rowOff>95250</xdr:rowOff>
    </xdr:to>
    <xdr:cxnSp macro="">
      <xdr:nvCxnSpPr>
        <xdr:cNvPr id="21" name="直接连接符 20">
          <a:extLst>
            <a:ext uri="{FF2B5EF4-FFF2-40B4-BE49-F238E27FC236}">
              <a16:creationId xmlns:a16="http://schemas.microsoft.com/office/drawing/2014/main" id="{7AD6FB3D-03CD-4768-9C11-3F30CE790A64}"/>
            </a:ext>
          </a:extLst>
        </xdr:cNvPr>
        <xdr:cNvCxnSpPr/>
      </xdr:nvCxnSpPr>
      <xdr:spPr>
        <a:xfrm>
          <a:off x="8848725" y="3895725"/>
          <a:ext cx="108000" cy="0"/>
        </a:xfrm>
        <a:prstGeom prst="line">
          <a:avLst/>
        </a:prstGeom>
        <a:ln w="12700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676275</xdr:colOff>
      <xdr:row>30</xdr:row>
      <xdr:rowOff>0</xdr:rowOff>
    </xdr:from>
    <xdr:to>
      <xdr:col>14</xdr:col>
      <xdr:colOff>386475</xdr:colOff>
      <xdr:row>30</xdr:row>
      <xdr:rowOff>0</xdr:rowOff>
    </xdr:to>
    <xdr:cxnSp macro="">
      <xdr:nvCxnSpPr>
        <xdr:cNvPr id="22" name="直接连接符 21">
          <a:extLst>
            <a:ext uri="{FF2B5EF4-FFF2-40B4-BE49-F238E27FC236}">
              <a16:creationId xmlns:a16="http://schemas.microsoft.com/office/drawing/2014/main" id="{97C835AA-FDCC-433C-96E3-8E5F96F2274B}"/>
            </a:ext>
          </a:extLst>
        </xdr:cNvPr>
        <xdr:cNvCxnSpPr/>
      </xdr:nvCxnSpPr>
      <xdr:spPr>
        <a:xfrm>
          <a:off x="9258300" y="5429250"/>
          <a:ext cx="396000" cy="0"/>
        </a:xfrm>
        <a:prstGeom prst="line">
          <a:avLst/>
        </a:prstGeom>
        <a:ln w="12700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266700</xdr:colOff>
      <xdr:row>24</xdr:row>
      <xdr:rowOff>171450</xdr:rowOff>
    </xdr:from>
    <xdr:to>
      <xdr:col>14</xdr:col>
      <xdr:colOff>374700</xdr:colOff>
      <xdr:row>24</xdr:row>
      <xdr:rowOff>171450</xdr:rowOff>
    </xdr:to>
    <xdr:cxnSp macro="">
      <xdr:nvCxnSpPr>
        <xdr:cNvPr id="23" name="直接连接符 22">
          <a:extLst>
            <a:ext uri="{FF2B5EF4-FFF2-40B4-BE49-F238E27FC236}">
              <a16:creationId xmlns:a16="http://schemas.microsoft.com/office/drawing/2014/main" id="{2E7FE5F0-8C4C-4F2A-AA79-173880441071}"/>
            </a:ext>
          </a:extLst>
        </xdr:cNvPr>
        <xdr:cNvCxnSpPr/>
      </xdr:nvCxnSpPr>
      <xdr:spPr>
        <a:xfrm>
          <a:off x="9534525" y="4514850"/>
          <a:ext cx="108000" cy="0"/>
        </a:xfrm>
        <a:prstGeom prst="line">
          <a:avLst/>
        </a:prstGeom>
        <a:ln w="12700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676275</xdr:colOff>
      <xdr:row>28</xdr:row>
      <xdr:rowOff>38100</xdr:rowOff>
    </xdr:from>
    <xdr:to>
      <xdr:col>15</xdr:col>
      <xdr:colOff>386475</xdr:colOff>
      <xdr:row>28</xdr:row>
      <xdr:rowOff>38100</xdr:rowOff>
    </xdr:to>
    <xdr:cxnSp macro="">
      <xdr:nvCxnSpPr>
        <xdr:cNvPr id="24" name="直接连接符 23">
          <a:extLst>
            <a:ext uri="{FF2B5EF4-FFF2-40B4-BE49-F238E27FC236}">
              <a16:creationId xmlns:a16="http://schemas.microsoft.com/office/drawing/2014/main" id="{DE5B5B58-6993-45DE-B088-85051AC5B333}"/>
            </a:ext>
          </a:extLst>
        </xdr:cNvPr>
        <xdr:cNvCxnSpPr/>
      </xdr:nvCxnSpPr>
      <xdr:spPr>
        <a:xfrm>
          <a:off x="9944100" y="5105400"/>
          <a:ext cx="396000" cy="0"/>
        </a:xfrm>
        <a:prstGeom prst="line">
          <a:avLst/>
        </a:prstGeom>
        <a:ln w="12700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276225</xdr:colOff>
      <xdr:row>23</xdr:row>
      <xdr:rowOff>47625</xdr:rowOff>
    </xdr:from>
    <xdr:to>
      <xdr:col>15</xdr:col>
      <xdr:colOff>384225</xdr:colOff>
      <xdr:row>23</xdr:row>
      <xdr:rowOff>47625</xdr:rowOff>
    </xdr:to>
    <xdr:cxnSp macro="">
      <xdr:nvCxnSpPr>
        <xdr:cNvPr id="25" name="直接连接符 24">
          <a:extLst>
            <a:ext uri="{FF2B5EF4-FFF2-40B4-BE49-F238E27FC236}">
              <a16:creationId xmlns:a16="http://schemas.microsoft.com/office/drawing/2014/main" id="{5A8374A5-56B0-4059-A481-FC3D4CC279DE}"/>
            </a:ext>
          </a:extLst>
        </xdr:cNvPr>
        <xdr:cNvCxnSpPr/>
      </xdr:nvCxnSpPr>
      <xdr:spPr>
        <a:xfrm>
          <a:off x="10229850" y="4210050"/>
          <a:ext cx="108000" cy="0"/>
        </a:xfrm>
        <a:prstGeom prst="line">
          <a:avLst/>
        </a:prstGeom>
        <a:ln w="12700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24</xdr:row>
      <xdr:rowOff>66674</xdr:rowOff>
    </xdr:from>
    <xdr:to>
      <xdr:col>8</xdr:col>
      <xdr:colOff>338700</xdr:colOff>
      <xdr:row>35</xdr:row>
      <xdr:rowOff>163949</xdr:rowOff>
    </xdr:to>
    <xdr:sp macro="" textlink="">
      <xdr:nvSpPr>
        <xdr:cNvPr id="27" name="箭头: 上 26">
          <a:extLst>
            <a:ext uri="{FF2B5EF4-FFF2-40B4-BE49-F238E27FC236}">
              <a16:creationId xmlns:a16="http://schemas.microsoft.com/office/drawing/2014/main" id="{680BA485-629B-4E15-9BC6-77FBEF249253}"/>
            </a:ext>
          </a:extLst>
        </xdr:cNvPr>
        <xdr:cNvSpPr/>
      </xdr:nvSpPr>
      <xdr:spPr>
        <a:xfrm>
          <a:off x="5419725" y="4429124"/>
          <a:ext cx="72000" cy="2088000"/>
        </a:xfrm>
        <a:prstGeom prst="up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276225</xdr:colOff>
      <xdr:row>29</xdr:row>
      <xdr:rowOff>114299</xdr:rowOff>
    </xdr:from>
    <xdr:to>
      <xdr:col>9</xdr:col>
      <xdr:colOff>348225</xdr:colOff>
      <xdr:row>32</xdr:row>
      <xdr:rowOff>75374</xdr:rowOff>
    </xdr:to>
    <xdr:sp macro="" textlink="">
      <xdr:nvSpPr>
        <xdr:cNvPr id="28" name="箭头: 上 27">
          <a:extLst>
            <a:ext uri="{FF2B5EF4-FFF2-40B4-BE49-F238E27FC236}">
              <a16:creationId xmlns:a16="http://schemas.microsoft.com/office/drawing/2014/main" id="{0418216F-5399-46C9-ADF7-9CC65C52F6A2}"/>
            </a:ext>
          </a:extLst>
        </xdr:cNvPr>
        <xdr:cNvSpPr/>
      </xdr:nvSpPr>
      <xdr:spPr>
        <a:xfrm>
          <a:off x="6115050" y="5362574"/>
          <a:ext cx="72000" cy="504000"/>
        </a:xfrm>
        <a:prstGeom prst="up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276225</xdr:colOff>
      <xdr:row>24</xdr:row>
      <xdr:rowOff>161924</xdr:rowOff>
    </xdr:from>
    <xdr:to>
      <xdr:col>10</xdr:col>
      <xdr:colOff>348225</xdr:colOff>
      <xdr:row>32</xdr:row>
      <xdr:rowOff>64124</xdr:rowOff>
    </xdr:to>
    <xdr:sp macro="" textlink="">
      <xdr:nvSpPr>
        <xdr:cNvPr id="29" name="箭头: 上 28">
          <a:extLst>
            <a:ext uri="{FF2B5EF4-FFF2-40B4-BE49-F238E27FC236}">
              <a16:creationId xmlns:a16="http://schemas.microsoft.com/office/drawing/2014/main" id="{FD1E69CB-244E-45CD-9D79-0B2108CB67CE}"/>
            </a:ext>
          </a:extLst>
        </xdr:cNvPr>
        <xdr:cNvSpPr/>
      </xdr:nvSpPr>
      <xdr:spPr>
        <a:xfrm>
          <a:off x="6800850" y="4505324"/>
          <a:ext cx="72000" cy="1350000"/>
        </a:xfrm>
        <a:prstGeom prst="up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276225</xdr:colOff>
      <xdr:row>25</xdr:row>
      <xdr:rowOff>9524</xdr:rowOff>
    </xdr:from>
    <xdr:to>
      <xdr:col>11</xdr:col>
      <xdr:colOff>348225</xdr:colOff>
      <xdr:row>31</xdr:row>
      <xdr:rowOff>21674</xdr:rowOff>
    </xdr:to>
    <xdr:sp macro="" textlink="">
      <xdr:nvSpPr>
        <xdr:cNvPr id="30" name="箭头: 上 29">
          <a:extLst>
            <a:ext uri="{FF2B5EF4-FFF2-40B4-BE49-F238E27FC236}">
              <a16:creationId xmlns:a16="http://schemas.microsoft.com/office/drawing/2014/main" id="{0110CD64-6722-463B-8A49-1FDD4634F744}"/>
            </a:ext>
          </a:extLst>
        </xdr:cNvPr>
        <xdr:cNvSpPr/>
      </xdr:nvSpPr>
      <xdr:spPr>
        <a:xfrm>
          <a:off x="7486650" y="4533899"/>
          <a:ext cx="72000" cy="1098000"/>
        </a:xfrm>
        <a:prstGeom prst="up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285750</xdr:colOff>
      <xdr:row>23</xdr:row>
      <xdr:rowOff>47624</xdr:rowOff>
    </xdr:from>
    <xdr:to>
      <xdr:col>12</xdr:col>
      <xdr:colOff>357750</xdr:colOff>
      <xdr:row>29</xdr:row>
      <xdr:rowOff>59774</xdr:rowOff>
    </xdr:to>
    <xdr:sp macro="" textlink="">
      <xdr:nvSpPr>
        <xdr:cNvPr id="31" name="箭头: 上 30">
          <a:extLst>
            <a:ext uri="{FF2B5EF4-FFF2-40B4-BE49-F238E27FC236}">
              <a16:creationId xmlns:a16="http://schemas.microsoft.com/office/drawing/2014/main" id="{A11CDC49-2158-4D4A-8288-3F76110DC433}"/>
            </a:ext>
          </a:extLst>
        </xdr:cNvPr>
        <xdr:cNvSpPr/>
      </xdr:nvSpPr>
      <xdr:spPr>
        <a:xfrm>
          <a:off x="8181975" y="4210049"/>
          <a:ext cx="72000" cy="1098000"/>
        </a:xfrm>
        <a:prstGeom prst="up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285750</xdr:colOff>
      <xdr:row>21</xdr:row>
      <xdr:rowOff>104774</xdr:rowOff>
    </xdr:from>
    <xdr:to>
      <xdr:col>13</xdr:col>
      <xdr:colOff>357750</xdr:colOff>
      <xdr:row>29</xdr:row>
      <xdr:rowOff>150974</xdr:rowOff>
    </xdr:to>
    <xdr:sp macro="" textlink="">
      <xdr:nvSpPr>
        <xdr:cNvPr id="32" name="箭头: 上 31">
          <a:extLst>
            <a:ext uri="{FF2B5EF4-FFF2-40B4-BE49-F238E27FC236}">
              <a16:creationId xmlns:a16="http://schemas.microsoft.com/office/drawing/2014/main" id="{2CED145F-1D6D-43B9-94B9-5FA135253D57}"/>
            </a:ext>
          </a:extLst>
        </xdr:cNvPr>
        <xdr:cNvSpPr/>
      </xdr:nvSpPr>
      <xdr:spPr>
        <a:xfrm>
          <a:off x="8867775" y="3905249"/>
          <a:ext cx="72000" cy="1494000"/>
        </a:xfrm>
        <a:prstGeom prst="up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285750</xdr:colOff>
      <xdr:row>24</xdr:row>
      <xdr:rowOff>180974</xdr:rowOff>
    </xdr:from>
    <xdr:to>
      <xdr:col>14</xdr:col>
      <xdr:colOff>357750</xdr:colOff>
      <xdr:row>29</xdr:row>
      <xdr:rowOff>176099</xdr:rowOff>
    </xdr:to>
    <xdr:sp macro="" textlink="">
      <xdr:nvSpPr>
        <xdr:cNvPr id="33" name="箭头: 上 32">
          <a:extLst>
            <a:ext uri="{FF2B5EF4-FFF2-40B4-BE49-F238E27FC236}">
              <a16:creationId xmlns:a16="http://schemas.microsoft.com/office/drawing/2014/main" id="{AEB57723-BE39-4EFB-8D82-FF6F21BF6223}"/>
            </a:ext>
          </a:extLst>
        </xdr:cNvPr>
        <xdr:cNvSpPr/>
      </xdr:nvSpPr>
      <xdr:spPr>
        <a:xfrm>
          <a:off x="9553575" y="4524374"/>
          <a:ext cx="72000" cy="900000"/>
        </a:xfrm>
        <a:prstGeom prst="up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295275</xdr:colOff>
      <xdr:row>23</xdr:row>
      <xdr:rowOff>47624</xdr:rowOff>
    </xdr:from>
    <xdr:to>
      <xdr:col>15</xdr:col>
      <xdr:colOff>367275</xdr:colOff>
      <xdr:row>28</xdr:row>
      <xdr:rowOff>42749</xdr:rowOff>
    </xdr:to>
    <xdr:sp macro="" textlink="">
      <xdr:nvSpPr>
        <xdr:cNvPr id="35" name="箭头: 上 34">
          <a:extLst>
            <a:ext uri="{FF2B5EF4-FFF2-40B4-BE49-F238E27FC236}">
              <a16:creationId xmlns:a16="http://schemas.microsoft.com/office/drawing/2014/main" id="{1F739D3F-40A8-4FD4-A5E3-78F15623B6F6}"/>
            </a:ext>
          </a:extLst>
        </xdr:cNvPr>
        <xdr:cNvSpPr/>
      </xdr:nvSpPr>
      <xdr:spPr>
        <a:xfrm>
          <a:off x="10248900" y="4210049"/>
          <a:ext cx="72000" cy="900000"/>
        </a:xfrm>
        <a:prstGeom prst="up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190499</xdr:colOff>
      <xdr:row>25</xdr:row>
      <xdr:rowOff>47624</xdr:rowOff>
    </xdr:from>
    <xdr:to>
      <xdr:col>16</xdr:col>
      <xdr:colOff>57150</xdr:colOff>
      <xdr:row>26</xdr:row>
      <xdr:rowOff>19050</xdr:rowOff>
    </xdr:to>
    <xdr:sp macro="" textlink="">
      <xdr:nvSpPr>
        <xdr:cNvPr id="37" name="矩形: 圆角 36">
          <a:extLst>
            <a:ext uri="{FF2B5EF4-FFF2-40B4-BE49-F238E27FC236}">
              <a16:creationId xmlns:a16="http://schemas.microsoft.com/office/drawing/2014/main" id="{59FC6002-3AF8-4310-AE4C-845686D4955F}"/>
            </a:ext>
          </a:extLst>
        </xdr:cNvPr>
        <xdr:cNvSpPr/>
      </xdr:nvSpPr>
      <xdr:spPr>
        <a:xfrm>
          <a:off x="10144124" y="4591049"/>
          <a:ext cx="552451" cy="15240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/>
        <a:lstStyle/>
        <a:p>
          <a:pPr algn="ctr"/>
          <a:r>
            <a:rPr lang="en-US" altLang="zh-CN" sz="1000" b="1">
              <a:solidFill>
                <a:schemeClr val="accent4"/>
              </a:solidFill>
              <a:latin typeface="ITC Officina Sans Std Book" panose="020B0506040203020204" pitchFamily="34" charset="0"/>
            </a:rPr>
            <a:t>×</a:t>
          </a:r>
          <a:r>
            <a:rPr lang="en-US" altLang="zh-CN" sz="1000">
              <a:solidFill>
                <a:schemeClr val="accent4"/>
              </a:solidFill>
              <a:latin typeface="ITC Officina Sans Std Book" panose="020B0506040203020204" pitchFamily="34" charset="0"/>
            </a:rPr>
            <a:t>14</a:t>
          </a:r>
          <a:endParaRPr lang="zh-CN" altLang="en-US" sz="1000">
            <a:solidFill>
              <a:schemeClr val="accent4"/>
            </a:solidFill>
            <a:latin typeface="ITC Officina Sans Std Book" panose="020B0506040203020204" pitchFamily="34" charset="0"/>
          </a:endParaRPr>
        </a:p>
      </xdr:txBody>
    </xdr:sp>
    <xdr:clientData/>
  </xdr:twoCellAnchor>
  <xdr:twoCellAnchor>
    <xdr:from>
      <xdr:col>8</xdr:col>
      <xdr:colOff>190500</xdr:colOff>
      <xdr:row>28</xdr:row>
      <xdr:rowOff>28575</xdr:rowOff>
    </xdr:from>
    <xdr:to>
      <xdr:col>9</xdr:col>
      <xdr:colOff>57151</xdr:colOff>
      <xdr:row>29</xdr:row>
      <xdr:rowOff>1</xdr:rowOff>
    </xdr:to>
    <xdr:sp macro="" textlink="">
      <xdr:nvSpPr>
        <xdr:cNvPr id="38" name="矩形: 圆角 37">
          <a:extLst>
            <a:ext uri="{FF2B5EF4-FFF2-40B4-BE49-F238E27FC236}">
              <a16:creationId xmlns:a16="http://schemas.microsoft.com/office/drawing/2014/main" id="{DE059457-7E40-4C2E-B1F4-5A37C8407DBB}"/>
            </a:ext>
          </a:extLst>
        </xdr:cNvPr>
        <xdr:cNvSpPr/>
      </xdr:nvSpPr>
      <xdr:spPr>
        <a:xfrm>
          <a:off x="5343525" y="5114925"/>
          <a:ext cx="552451" cy="15240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/>
        <a:lstStyle/>
        <a:p>
          <a:pPr algn="ctr"/>
          <a:r>
            <a:rPr lang="en-US" altLang="zh-CN" sz="1000" b="0">
              <a:ln>
                <a:noFill/>
              </a:ln>
              <a:solidFill>
                <a:schemeClr val="accent4"/>
              </a:solidFill>
              <a:latin typeface="ITC Officina Sans Std Book" panose="020B0506040203020204" pitchFamily="34" charset="0"/>
            </a:rPr>
            <a:t>×606</a:t>
          </a:r>
          <a:endParaRPr lang="zh-CN" altLang="en-US" sz="1000" b="0">
            <a:ln>
              <a:noFill/>
            </a:ln>
            <a:solidFill>
              <a:schemeClr val="accent4"/>
            </a:solidFill>
            <a:latin typeface="ITC Officina Sans Std Book" panose="020B0506040203020204" pitchFamily="34" charset="0"/>
          </a:endParaRPr>
        </a:p>
      </xdr:txBody>
    </xdr:sp>
    <xdr:clientData/>
  </xdr:twoCellAnchor>
  <xdr:twoCellAnchor>
    <xdr:from>
      <xdr:col>9</xdr:col>
      <xdr:colOff>228600</xdr:colOff>
      <xdr:row>30</xdr:row>
      <xdr:rowOff>57150</xdr:rowOff>
    </xdr:from>
    <xdr:to>
      <xdr:col>9</xdr:col>
      <xdr:colOff>600075</xdr:colOff>
      <xdr:row>31</xdr:row>
      <xdr:rowOff>47625</xdr:rowOff>
    </xdr:to>
    <xdr:sp macro="" textlink="">
      <xdr:nvSpPr>
        <xdr:cNvPr id="39" name="矩形: 圆角 38">
          <a:extLst>
            <a:ext uri="{FF2B5EF4-FFF2-40B4-BE49-F238E27FC236}">
              <a16:creationId xmlns:a16="http://schemas.microsoft.com/office/drawing/2014/main" id="{48B86A87-F7D0-443C-AF88-CA2DEA1F5BDC}"/>
            </a:ext>
          </a:extLst>
        </xdr:cNvPr>
        <xdr:cNvSpPr/>
      </xdr:nvSpPr>
      <xdr:spPr>
        <a:xfrm>
          <a:off x="6067425" y="5505450"/>
          <a:ext cx="371475" cy="1714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/>
        <a:lstStyle/>
        <a:p>
          <a:pPr algn="ctr"/>
          <a:r>
            <a:rPr lang="en-US" altLang="zh-CN" sz="1000" b="1">
              <a:solidFill>
                <a:schemeClr val="accent4"/>
              </a:solidFill>
              <a:latin typeface="ITC Officina Sans Std Book" panose="020B0506040203020204" pitchFamily="34" charset="0"/>
            </a:rPr>
            <a:t>×</a:t>
          </a:r>
          <a:r>
            <a:rPr lang="en-US" altLang="zh-CN" sz="1000">
              <a:solidFill>
                <a:schemeClr val="accent4"/>
              </a:solidFill>
              <a:latin typeface="ITC Officina Sans Std Book" panose="020B0506040203020204" pitchFamily="34" charset="0"/>
            </a:rPr>
            <a:t>4</a:t>
          </a:r>
          <a:endParaRPr lang="zh-CN" altLang="en-US" sz="1000">
            <a:solidFill>
              <a:schemeClr val="accent4"/>
            </a:solidFill>
            <a:latin typeface="ITC Officina Sans Std Book" panose="020B0506040203020204" pitchFamily="34" charset="0"/>
          </a:endParaRPr>
        </a:p>
      </xdr:txBody>
    </xdr:sp>
    <xdr:clientData/>
  </xdr:twoCellAnchor>
  <xdr:twoCellAnchor>
    <xdr:from>
      <xdr:col>10</xdr:col>
      <xdr:colOff>228600</xdr:colOff>
      <xdr:row>28</xdr:row>
      <xdr:rowOff>19051</xdr:rowOff>
    </xdr:from>
    <xdr:to>
      <xdr:col>10</xdr:col>
      <xdr:colOff>657225</xdr:colOff>
      <xdr:row>28</xdr:row>
      <xdr:rowOff>171451</xdr:rowOff>
    </xdr:to>
    <xdr:sp macro="" textlink="">
      <xdr:nvSpPr>
        <xdr:cNvPr id="40" name="矩形: 圆角 39">
          <a:extLst>
            <a:ext uri="{FF2B5EF4-FFF2-40B4-BE49-F238E27FC236}">
              <a16:creationId xmlns:a16="http://schemas.microsoft.com/office/drawing/2014/main" id="{D18706A1-8E14-4FA9-9B01-F5D9539B01EC}"/>
            </a:ext>
          </a:extLst>
        </xdr:cNvPr>
        <xdr:cNvSpPr/>
      </xdr:nvSpPr>
      <xdr:spPr>
        <a:xfrm>
          <a:off x="6753225" y="5105401"/>
          <a:ext cx="428625" cy="1524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/>
        <a:lstStyle/>
        <a:p>
          <a:pPr algn="ctr"/>
          <a:r>
            <a:rPr lang="en-US" altLang="zh-CN" sz="1000" b="1">
              <a:solidFill>
                <a:schemeClr val="accent4"/>
              </a:solidFill>
              <a:latin typeface="ITC Officina Sans Std Book" panose="020B0506040203020204" pitchFamily="34" charset="0"/>
            </a:rPr>
            <a:t>×</a:t>
          </a:r>
          <a:r>
            <a:rPr lang="en-US" altLang="zh-CN" sz="1000">
              <a:solidFill>
                <a:schemeClr val="accent4"/>
              </a:solidFill>
              <a:latin typeface="ITC Officina Sans Std Book" panose="020B0506040203020204" pitchFamily="34" charset="0"/>
            </a:rPr>
            <a:t>64</a:t>
          </a:r>
          <a:endParaRPr lang="zh-CN" altLang="en-US" sz="1000">
            <a:solidFill>
              <a:schemeClr val="accent4"/>
            </a:solidFill>
            <a:latin typeface="ITC Officina Sans Std Book" panose="020B0506040203020204" pitchFamily="34" charset="0"/>
          </a:endParaRPr>
        </a:p>
      </xdr:txBody>
    </xdr:sp>
    <xdr:clientData/>
  </xdr:twoCellAnchor>
  <xdr:twoCellAnchor>
    <xdr:from>
      <xdr:col>11</xdr:col>
      <xdr:colOff>219075</xdr:colOff>
      <xdr:row>27</xdr:row>
      <xdr:rowOff>47625</xdr:rowOff>
    </xdr:from>
    <xdr:to>
      <xdr:col>11</xdr:col>
      <xdr:colOff>666750</xdr:colOff>
      <xdr:row>28</xdr:row>
      <xdr:rowOff>28575</xdr:rowOff>
    </xdr:to>
    <xdr:sp macro="" textlink="">
      <xdr:nvSpPr>
        <xdr:cNvPr id="41" name="矩形: 圆角 40">
          <a:extLst>
            <a:ext uri="{FF2B5EF4-FFF2-40B4-BE49-F238E27FC236}">
              <a16:creationId xmlns:a16="http://schemas.microsoft.com/office/drawing/2014/main" id="{8F4B064A-3287-4E6D-AD9A-D39354762E2B}"/>
            </a:ext>
          </a:extLst>
        </xdr:cNvPr>
        <xdr:cNvSpPr/>
      </xdr:nvSpPr>
      <xdr:spPr>
        <a:xfrm>
          <a:off x="7429500" y="4953000"/>
          <a:ext cx="447675" cy="1619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/>
        <a:lstStyle/>
        <a:p>
          <a:pPr algn="ctr"/>
          <a:r>
            <a:rPr lang="en-US" altLang="zh-CN" sz="1000" b="1">
              <a:solidFill>
                <a:schemeClr val="accent4"/>
              </a:solidFill>
              <a:latin typeface="ITC Officina Sans Std Book" panose="020B0506040203020204" pitchFamily="34" charset="0"/>
            </a:rPr>
            <a:t>×</a:t>
          </a:r>
          <a:r>
            <a:rPr lang="en-US" altLang="zh-CN" sz="1000">
              <a:solidFill>
                <a:schemeClr val="accent4"/>
              </a:solidFill>
              <a:latin typeface="ITC Officina Sans Std Book" panose="020B0506040203020204" pitchFamily="34" charset="0"/>
            </a:rPr>
            <a:t>30</a:t>
          </a:r>
          <a:endParaRPr lang="zh-CN" altLang="en-US" sz="1000">
            <a:solidFill>
              <a:schemeClr val="accent4"/>
            </a:solidFill>
            <a:latin typeface="ITC Officina Sans Std Book" panose="020B0506040203020204" pitchFamily="34" charset="0"/>
          </a:endParaRPr>
        </a:p>
      </xdr:txBody>
    </xdr:sp>
    <xdr:clientData/>
  </xdr:twoCellAnchor>
  <xdr:twoCellAnchor>
    <xdr:from>
      <xdr:col>12</xdr:col>
      <xdr:colOff>238126</xdr:colOff>
      <xdr:row>25</xdr:row>
      <xdr:rowOff>133350</xdr:rowOff>
    </xdr:from>
    <xdr:to>
      <xdr:col>12</xdr:col>
      <xdr:colOff>657226</xdr:colOff>
      <xdr:row>26</xdr:row>
      <xdr:rowOff>123825</xdr:rowOff>
    </xdr:to>
    <xdr:sp macro="" textlink="">
      <xdr:nvSpPr>
        <xdr:cNvPr id="42" name="矩形: 圆角 41">
          <a:extLst>
            <a:ext uri="{FF2B5EF4-FFF2-40B4-BE49-F238E27FC236}">
              <a16:creationId xmlns:a16="http://schemas.microsoft.com/office/drawing/2014/main" id="{AD222895-ED21-40C6-918C-A0152C562392}"/>
            </a:ext>
          </a:extLst>
        </xdr:cNvPr>
        <xdr:cNvSpPr/>
      </xdr:nvSpPr>
      <xdr:spPr>
        <a:xfrm>
          <a:off x="8134351" y="4676775"/>
          <a:ext cx="419100" cy="1714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/>
        <a:lstStyle/>
        <a:p>
          <a:pPr algn="ctr"/>
          <a:r>
            <a:rPr lang="en-US" altLang="zh-CN" sz="1000" b="1">
              <a:solidFill>
                <a:schemeClr val="accent4"/>
              </a:solidFill>
              <a:latin typeface="ITC Officina Sans Std Book" panose="020B0506040203020204" pitchFamily="34" charset="0"/>
            </a:rPr>
            <a:t>×</a:t>
          </a:r>
          <a:r>
            <a:rPr lang="en-US" altLang="zh-CN" sz="1000">
              <a:solidFill>
                <a:schemeClr val="accent4"/>
              </a:solidFill>
              <a:latin typeface="ITC Officina Sans Std Book" panose="020B0506040203020204" pitchFamily="34" charset="0"/>
            </a:rPr>
            <a:t>30</a:t>
          </a:r>
          <a:endParaRPr lang="zh-CN" altLang="en-US" sz="1000">
            <a:solidFill>
              <a:schemeClr val="accent4"/>
            </a:solidFill>
            <a:latin typeface="ITC Officina Sans Std Book" panose="020B0506040203020204" pitchFamily="34" charset="0"/>
          </a:endParaRPr>
        </a:p>
      </xdr:txBody>
    </xdr:sp>
    <xdr:clientData/>
  </xdr:twoCellAnchor>
  <xdr:twoCellAnchor>
    <xdr:from>
      <xdr:col>13</xdr:col>
      <xdr:colOff>247651</xdr:colOff>
      <xdr:row>25</xdr:row>
      <xdr:rowOff>85726</xdr:rowOff>
    </xdr:from>
    <xdr:to>
      <xdr:col>14</xdr:col>
      <xdr:colOff>38101</xdr:colOff>
      <xdr:row>26</xdr:row>
      <xdr:rowOff>38101</xdr:rowOff>
    </xdr:to>
    <xdr:sp macro="" textlink="">
      <xdr:nvSpPr>
        <xdr:cNvPr id="43" name="矩形: 圆角 42">
          <a:extLst>
            <a:ext uri="{FF2B5EF4-FFF2-40B4-BE49-F238E27FC236}">
              <a16:creationId xmlns:a16="http://schemas.microsoft.com/office/drawing/2014/main" id="{6897A8B5-CCAE-40ED-B9B9-284B8216BEAE}"/>
            </a:ext>
          </a:extLst>
        </xdr:cNvPr>
        <xdr:cNvSpPr/>
      </xdr:nvSpPr>
      <xdr:spPr>
        <a:xfrm>
          <a:off x="8829676" y="4629151"/>
          <a:ext cx="476250" cy="1333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/>
        <a:lstStyle/>
        <a:p>
          <a:pPr algn="ctr"/>
          <a:r>
            <a:rPr lang="en-US" altLang="zh-CN" sz="1000" b="1">
              <a:solidFill>
                <a:schemeClr val="accent4"/>
              </a:solidFill>
              <a:latin typeface="ITC Officina Sans Std Book" panose="020B0506040203020204" pitchFamily="34" charset="0"/>
            </a:rPr>
            <a:t>×</a:t>
          </a:r>
          <a:r>
            <a:rPr lang="en-US" altLang="zh-CN" sz="1000">
              <a:solidFill>
                <a:schemeClr val="accent4"/>
              </a:solidFill>
              <a:latin typeface="ITC Officina Sans Std Book" panose="020B0506040203020204" pitchFamily="34" charset="0"/>
            </a:rPr>
            <a:t>100</a:t>
          </a:r>
          <a:endParaRPr lang="zh-CN" altLang="en-US" sz="1000">
            <a:solidFill>
              <a:schemeClr val="accent4"/>
            </a:solidFill>
            <a:latin typeface="ITC Officina Sans Std Book" panose="020B0506040203020204" pitchFamily="34" charset="0"/>
          </a:endParaRPr>
        </a:p>
      </xdr:txBody>
    </xdr:sp>
    <xdr:clientData/>
  </xdr:twoCellAnchor>
  <xdr:twoCellAnchor>
    <xdr:from>
      <xdr:col>14</xdr:col>
      <xdr:colOff>200025</xdr:colOff>
      <xdr:row>26</xdr:row>
      <xdr:rowOff>47625</xdr:rowOff>
    </xdr:from>
    <xdr:to>
      <xdr:col>15</xdr:col>
      <xdr:colOff>19050</xdr:colOff>
      <xdr:row>27</xdr:row>
      <xdr:rowOff>9525</xdr:rowOff>
    </xdr:to>
    <xdr:sp macro="" textlink="">
      <xdr:nvSpPr>
        <xdr:cNvPr id="44" name="矩形: 圆角 43">
          <a:extLst>
            <a:ext uri="{FF2B5EF4-FFF2-40B4-BE49-F238E27FC236}">
              <a16:creationId xmlns:a16="http://schemas.microsoft.com/office/drawing/2014/main" id="{DE154B40-D0AF-4EE0-B391-BD28201C0709}"/>
            </a:ext>
          </a:extLst>
        </xdr:cNvPr>
        <xdr:cNvSpPr/>
      </xdr:nvSpPr>
      <xdr:spPr>
        <a:xfrm>
          <a:off x="9467850" y="4772025"/>
          <a:ext cx="504825" cy="1428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/>
        <a:lstStyle/>
        <a:p>
          <a:pPr algn="ctr"/>
          <a:r>
            <a:rPr lang="en-US" altLang="zh-CN" sz="1000" b="1">
              <a:solidFill>
                <a:schemeClr val="accent4"/>
              </a:solidFill>
              <a:latin typeface="ITC Officina Sans Std Book" panose="020B0506040203020204" pitchFamily="34" charset="0"/>
            </a:rPr>
            <a:t>×</a:t>
          </a:r>
          <a:r>
            <a:rPr lang="en-US" altLang="zh-CN" sz="1000">
              <a:solidFill>
                <a:schemeClr val="accent4"/>
              </a:solidFill>
              <a:latin typeface="ITC Officina Sans Std Book" panose="020B0506040203020204" pitchFamily="34" charset="0"/>
            </a:rPr>
            <a:t>15</a:t>
          </a:r>
          <a:endParaRPr lang="zh-CN" altLang="en-US" sz="1000">
            <a:solidFill>
              <a:schemeClr val="accent4"/>
            </a:solidFill>
            <a:latin typeface="ITC Officina Sans Std Book" panose="020B0506040203020204" pitchFamily="34" charset="0"/>
          </a:endParaRPr>
        </a:p>
      </xdr:txBody>
    </xdr:sp>
    <xdr:clientData/>
  </xdr:twoCellAnchor>
  <xdr:twoCellAnchor>
    <xdr:from>
      <xdr:col>7</xdr:col>
      <xdr:colOff>257174</xdr:colOff>
      <xdr:row>38</xdr:row>
      <xdr:rowOff>123826</xdr:rowOff>
    </xdr:from>
    <xdr:to>
      <xdr:col>12</xdr:col>
      <xdr:colOff>514350</xdr:colOff>
      <xdr:row>39</xdr:row>
      <xdr:rowOff>104775</xdr:rowOff>
    </xdr:to>
    <xdr:sp macro="" textlink="">
      <xdr:nvSpPr>
        <xdr:cNvPr id="45" name="矩形: 圆角 44">
          <a:extLst>
            <a:ext uri="{FF2B5EF4-FFF2-40B4-BE49-F238E27FC236}">
              <a16:creationId xmlns:a16="http://schemas.microsoft.com/office/drawing/2014/main" id="{C0170B95-E5E9-463E-942F-EC7256693BC0}"/>
            </a:ext>
          </a:extLst>
        </xdr:cNvPr>
        <xdr:cNvSpPr/>
      </xdr:nvSpPr>
      <xdr:spPr>
        <a:xfrm>
          <a:off x="4724399" y="7019926"/>
          <a:ext cx="3686176" cy="16192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>
              <a:solidFill>
                <a:schemeClr val="tx1"/>
              </a:solidFill>
              <a:latin typeface="黑体" panose="02010609060101010101" pitchFamily="49" charset="-122"/>
              <a:ea typeface="黑体" panose="02010609060101010101" pitchFamily="49" charset="-122"/>
            </a:rPr>
            <a:t>数据来源：联合国；中国统计部；中国商务部；中国外汇管理局</a:t>
          </a:r>
        </a:p>
      </xdr:txBody>
    </xdr:sp>
    <xdr:clientData/>
  </xdr:twoCellAnchor>
  <xdr:twoCellAnchor editAs="oneCell">
    <xdr:from>
      <xdr:col>10</xdr:col>
      <xdr:colOff>676275</xdr:colOff>
      <xdr:row>26</xdr:row>
      <xdr:rowOff>66675</xdr:rowOff>
    </xdr:from>
    <xdr:to>
      <xdr:col>11</xdr:col>
      <xdr:colOff>285750</xdr:colOff>
      <xdr:row>27</xdr:row>
      <xdr:rowOff>133350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E3D8DF96-B8E1-47E7-A3ED-AA4D471E4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7200900" y="4791075"/>
          <a:ext cx="295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9525</xdr:colOff>
      <xdr:row>25</xdr:row>
      <xdr:rowOff>161925</xdr:rowOff>
    </xdr:from>
    <xdr:to>
      <xdr:col>14</xdr:col>
      <xdr:colOff>304800</xdr:colOff>
      <xdr:row>27</xdr:row>
      <xdr:rowOff>47625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6F64E7D8-B548-4418-BB82-52B773A88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9277350" y="4705350"/>
          <a:ext cx="295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666750</xdr:colOff>
      <xdr:row>25</xdr:row>
      <xdr:rowOff>133350</xdr:rowOff>
    </xdr:from>
    <xdr:to>
      <xdr:col>8</xdr:col>
      <xdr:colOff>276225</xdr:colOff>
      <xdr:row>27</xdr:row>
      <xdr:rowOff>19050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ED6DD78C-1650-4D2D-A3A8-C6B51778C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5133975" y="4676775"/>
          <a:ext cx="295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9525</xdr:colOff>
      <xdr:row>24</xdr:row>
      <xdr:rowOff>19050</xdr:rowOff>
    </xdr:from>
    <xdr:to>
      <xdr:col>12</xdr:col>
      <xdr:colOff>304800</xdr:colOff>
      <xdr:row>25</xdr:row>
      <xdr:rowOff>85725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6162E1A0-36CE-47C8-8468-72F8A3944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7905750" y="4381500"/>
          <a:ext cx="295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676275</xdr:colOff>
      <xdr:row>26</xdr:row>
      <xdr:rowOff>38100</xdr:rowOff>
    </xdr:from>
    <xdr:to>
      <xdr:col>10</xdr:col>
      <xdr:colOff>285750</xdr:colOff>
      <xdr:row>27</xdr:row>
      <xdr:rowOff>104775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241D5599-22DC-4C54-A672-01090B1C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515100" y="4762500"/>
          <a:ext cx="295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676275</xdr:colOff>
      <xdr:row>30</xdr:row>
      <xdr:rowOff>38100</xdr:rowOff>
    </xdr:from>
    <xdr:to>
      <xdr:col>9</xdr:col>
      <xdr:colOff>285750</xdr:colOff>
      <xdr:row>31</xdr:row>
      <xdr:rowOff>104775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CA92E6F9-0272-4E00-8605-19FA1158E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5829300" y="5486400"/>
          <a:ext cx="295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22</xdr:row>
      <xdr:rowOff>95250</xdr:rowOff>
    </xdr:from>
    <xdr:to>
      <xdr:col>13</xdr:col>
      <xdr:colOff>295275</xdr:colOff>
      <xdr:row>23</xdr:row>
      <xdr:rowOff>161925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0E192CE2-4C13-4BE5-B193-37EEC089B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8582025" y="4095750"/>
          <a:ext cx="295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9525</xdr:colOff>
      <xdr:row>24</xdr:row>
      <xdr:rowOff>57150</xdr:rowOff>
    </xdr:from>
    <xdr:to>
      <xdr:col>15</xdr:col>
      <xdr:colOff>304800</xdr:colOff>
      <xdr:row>25</xdr:row>
      <xdr:rowOff>123825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55EE0BE7-FFD8-47D4-9DCB-6EB4E3AFF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9963150" y="4419600"/>
          <a:ext cx="295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11</xdr:row>
      <xdr:rowOff>0</xdr:rowOff>
    </xdr:from>
    <xdr:to>
      <xdr:col>12</xdr:col>
      <xdr:colOff>666749</xdr:colOff>
      <xdr:row>35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B5887C7-A4F0-4E57-A977-7BDF9ACFC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180974</xdr:rowOff>
    </xdr:from>
    <xdr:to>
      <xdr:col>15</xdr:col>
      <xdr:colOff>0</xdr:colOff>
      <xdr:row>37</xdr:row>
      <xdr:rowOff>180974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9038CFB-E4B2-4EF2-9382-E61B89147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13</xdr:row>
      <xdr:rowOff>0</xdr:rowOff>
    </xdr:from>
    <xdr:to>
      <xdr:col>16</xdr:col>
      <xdr:colOff>547687</xdr:colOff>
      <xdr:row>35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EE7486E-B75C-4DB9-920F-01DC18A9C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10</xdr:row>
      <xdr:rowOff>1</xdr:rowOff>
    </xdr:from>
    <xdr:to>
      <xdr:col>14</xdr:col>
      <xdr:colOff>0</xdr:colOff>
      <xdr:row>30</xdr:row>
      <xdr:rowOff>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9F224BA-20BB-4AE4-8F97-5B1FB7B4C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E36CAC-4CD2-4480-A26F-4BF2AA6DE9E9}" name="表30" displayName="表30" ref="B4:C12" totalsRowShown="0" headerRowDxfId="12" dataDxfId="11">
  <tableColumns count="2">
    <tableColumn id="1" xr3:uid="{D4B91C41-EB2B-4271-B8C1-90CC2B4638F2}" name=" " dataDxfId="10"/>
    <tableColumn id="2" xr3:uid="{765934D3-AC41-4A90-9D64-38BC9BBFAF3A}" name="人口" dataDxfId="9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103B79-CA26-4D91-8348-D4B040DFB6B1}" name="表31" displayName="表31" ref="E4:K12" totalsRowShown="0" headerRowDxfId="8" dataDxfId="7">
  <tableColumns count="7">
    <tableColumn id="1" xr3:uid="{496D175E-00EA-4734-9C60-FAFCFAC96D7D}" name="  " dataDxfId="6"/>
    <tableColumn id="2" xr3:uid="{5F0E15DB-94FC-43B5-A180-8E55451D956D}" name="helper" dataDxfId="5"/>
    <tableColumn id="3" xr3:uid="{A1D46DBD-3078-4B87-B26E-DCAFDAF5CE43}" name="起始序列" dataDxfId="4"/>
    <tableColumn id="4" xr3:uid="{F71224D6-5F9B-46D6-B32B-1E1AE945CEFA}" name="辅助" dataDxfId="3"/>
    <tableColumn id="5" xr3:uid="{E7C039BF-DE42-4716-9745-15412375872B}" name="正值" dataDxfId="2"/>
    <tableColumn id="6" xr3:uid="{5483CB33-ADC9-4BF9-8AB0-99F08C5D4A92}" name="负值" dataDxfId="1"/>
    <tableColumn id="7" xr3:uid="{2DD8D80B-E5C6-4C07-8798-E4096DD0E280}" name="结束序列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McKinsey1">
      <a:dk1>
        <a:sysClr val="windowText" lastClr="000000"/>
      </a:dk1>
      <a:lt1>
        <a:sysClr val="window" lastClr="FFFFFF"/>
      </a:lt1>
      <a:dk2>
        <a:srgbClr val="FFF9F1"/>
      </a:dk2>
      <a:lt2>
        <a:srgbClr val="F1F1F1"/>
      </a:lt2>
      <a:accent1>
        <a:srgbClr val="00828F"/>
      </a:accent1>
      <a:accent2>
        <a:srgbClr val="65C6CC"/>
      </a:accent2>
      <a:accent3>
        <a:srgbClr val="25A7DB"/>
      </a:accent3>
      <a:accent4>
        <a:srgbClr val="E06D26"/>
      </a:accent4>
      <a:accent5>
        <a:srgbClr val="9EB1BB"/>
      </a:accent5>
      <a:accent6>
        <a:srgbClr val="E2DFCA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CC42-32F2-48D9-A00C-814DC0B8A22D}">
  <dimension ref="B2:D9"/>
  <sheetViews>
    <sheetView workbookViewId="0"/>
  </sheetViews>
  <sheetFormatPr defaultColWidth="9" defaultRowHeight="15.6" x14ac:dyDescent="0.25"/>
  <cols>
    <col min="1" max="1" width="4.6640625" style="6" customWidth="1"/>
    <col min="2" max="16384" width="9" style="6"/>
  </cols>
  <sheetData>
    <row r="2" spans="2:4" x14ac:dyDescent="0.25">
      <c r="B2" s="6" t="s">
        <v>20</v>
      </c>
    </row>
    <row r="3" spans="2:4" x14ac:dyDescent="0.25">
      <c r="B3" s="6" t="s">
        <v>21</v>
      </c>
    </row>
    <row r="4" spans="2:4" x14ac:dyDescent="0.25">
      <c r="C4" s="8" t="s">
        <v>27</v>
      </c>
      <c r="D4" s="8" t="s">
        <v>28</v>
      </c>
    </row>
    <row r="5" spans="2:4" x14ac:dyDescent="0.25">
      <c r="B5" s="7" t="s">
        <v>22</v>
      </c>
      <c r="C5" s="8">
        <v>363</v>
      </c>
      <c r="D5" s="8">
        <v>537</v>
      </c>
    </row>
    <row r="6" spans="2:4" x14ac:dyDescent="0.25">
      <c r="B6" s="7" t="s">
        <v>23</v>
      </c>
      <c r="C6" s="8">
        <v>388</v>
      </c>
      <c r="D6" s="8">
        <v>570</v>
      </c>
    </row>
    <row r="7" spans="2:4" x14ac:dyDescent="0.25">
      <c r="B7" s="7" t="s">
        <v>24</v>
      </c>
      <c r="C7" s="8">
        <v>395</v>
      </c>
      <c r="D7" s="8">
        <v>608</v>
      </c>
    </row>
    <row r="8" spans="2:4" x14ac:dyDescent="0.25">
      <c r="B8" s="7" t="s">
        <v>25</v>
      </c>
      <c r="C8" s="8">
        <v>420</v>
      </c>
      <c r="D8" s="8">
        <v>680</v>
      </c>
    </row>
    <row r="9" spans="2:4" x14ac:dyDescent="0.25">
      <c r="B9" s="7" t="s">
        <v>26</v>
      </c>
      <c r="C9" s="8">
        <v>460</v>
      </c>
      <c r="D9" s="8">
        <v>760</v>
      </c>
    </row>
  </sheetData>
  <phoneticPr fontId="2" type="noConversion"/>
  <pageMargins left="0.7" right="0.7" top="0.75" bottom="0.75" header="0.3" footer="0.3"/>
  <ignoredErrors>
    <ignoredError sqref="B9 B5 B6 B7 B8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12"/>
  <sheetViews>
    <sheetView showGridLines="0" tabSelected="1" workbookViewId="0">
      <selection activeCell="F24" sqref="F24"/>
    </sheetView>
  </sheetViews>
  <sheetFormatPr defaultColWidth="9" defaultRowHeight="13.2" x14ac:dyDescent="0.25"/>
  <cols>
    <col min="1" max="1" width="4.6640625" style="4" customWidth="1"/>
    <col min="2" max="16384" width="9" style="4"/>
  </cols>
  <sheetData>
    <row r="2" spans="2:14" x14ac:dyDescent="0.25">
      <c r="B2" s="4" t="s">
        <v>16</v>
      </c>
    </row>
    <row r="3" spans="2:14" x14ac:dyDescent="0.25">
      <c r="B3" s="4" t="s">
        <v>17</v>
      </c>
      <c r="H3" s="4" t="s">
        <v>15</v>
      </c>
      <c r="M3" s="4" t="s">
        <v>13</v>
      </c>
    </row>
    <row r="4" spans="2:14" x14ac:dyDescent="0.25">
      <c r="C4" s="2">
        <v>2004</v>
      </c>
      <c r="D4" s="2">
        <v>2014</v>
      </c>
      <c r="E4" s="2" t="s">
        <v>14</v>
      </c>
      <c r="I4" s="2">
        <v>2004</v>
      </c>
      <c r="J4" s="2">
        <v>2014</v>
      </c>
      <c r="K4" s="2" t="s">
        <v>14</v>
      </c>
      <c r="M4" s="2" t="s">
        <v>18</v>
      </c>
      <c r="N4" s="2" t="s">
        <v>19</v>
      </c>
    </row>
    <row r="5" spans="2:14" x14ac:dyDescent="0.25">
      <c r="B5" s="4" t="s">
        <v>5</v>
      </c>
      <c r="C5" s="2">
        <v>2</v>
      </c>
      <c r="D5" s="2">
        <v>1214</v>
      </c>
      <c r="E5" s="5">
        <f>(D5-C5)/C5</f>
        <v>606</v>
      </c>
      <c r="H5" s="4" t="s">
        <v>5</v>
      </c>
      <c r="I5" s="2">
        <v>2</v>
      </c>
      <c r="J5" s="2">
        <v>1214</v>
      </c>
      <c r="K5" s="5">
        <f>(J5-I5)/I5</f>
        <v>606</v>
      </c>
      <c r="M5" s="2"/>
      <c r="N5" s="2">
        <f>I5+J5*0.5</f>
        <v>609</v>
      </c>
    </row>
    <row r="6" spans="2:14" x14ac:dyDescent="0.25">
      <c r="B6" s="4" t="s">
        <v>6</v>
      </c>
      <c r="C6" s="2">
        <v>14</v>
      </c>
      <c r="D6" s="2">
        <v>64</v>
      </c>
      <c r="E6" s="5">
        <f t="shared" ref="E6:E12" si="0">(D6-C6)/C6</f>
        <v>3.5714285714285716</v>
      </c>
      <c r="H6" s="4" t="s">
        <v>6</v>
      </c>
      <c r="I6" s="2">
        <v>14</v>
      </c>
      <c r="J6" s="2">
        <v>64</v>
      </c>
      <c r="K6" s="5">
        <f t="shared" ref="K6:K12" si="1">(J6-I6)/I6</f>
        <v>3.5714285714285716</v>
      </c>
      <c r="M6" s="2"/>
      <c r="N6" s="2">
        <f t="shared" ref="N6:N12" si="2">I6+J6*0.5</f>
        <v>46</v>
      </c>
    </row>
    <row r="7" spans="2:14" x14ac:dyDescent="0.25">
      <c r="B7" s="4" t="s">
        <v>7</v>
      </c>
      <c r="C7" s="2">
        <v>14</v>
      </c>
      <c r="D7" s="2">
        <v>915</v>
      </c>
      <c r="E7" s="5">
        <f t="shared" si="0"/>
        <v>64.357142857142861</v>
      </c>
      <c r="H7" s="4" t="s">
        <v>7</v>
      </c>
      <c r="I7" s="2">
        <v>14</v>
      </c>
      <c r="J7" s="2">
        <v>915</v>
      </c>
      <c r="K7" s="5">
        <f t="shared" si="1"/>
        <v>64.357142857142861</v>
      </c>
      <c r="M7" s="2"/>
      <c r="N7" s="2">
        <f t="shared" si="2"/>
        <v>471.5</v>
      </c>
    </row>
    <row r="8" spans="2:14" x14ac:dyDescent="0.25">
      <c r="B8" s="4" t="s">
        <v>8</v>
      </c>
      <c r="C8" s="2">
        <v>28</v>
      </c>
      <c r="D8" s="2">
        <v>854</v>
      </c>
      <c r="E8" s="5">
        <f t="shared" si="0"/>
        <v>29.5</v>
      </c>
      <c r="H8" s="4" t="s">
        <v>8</v>
      </c>
      <c r="I8" s="2">
        <v>28</v>
      </c>
      <c r="J8" s="2">
        <v>854</v>
      </c>
      <c r="K8" s="5">
        <f t="shared" si="1"/>
        <v>29.5</v>
      </c>
      <c r="M8" s="2"/>
      <c r="N8" s="2">
        <f t="shared" si="2"/>
        <v>455</v>
      </c>
    </row>
    <row r="9" spans="2:14" x14ac:dyDescent="0.25">
      <c r="B9" s="4" t="s">
        <v>9</v>
      </c>
      <c r="C9" s="2">
        <v>76</v>
      </c>
      <c r="D9" s="2">
        <v>2323</v>
      </c>
      <c r="E9" s="5">
        <f t="shared" si="0"/>
        <v>29.565789473684209</v>
      </c>
      <c r="H9" s="4" t="s">
        <v>9</v>
      </c>
      <c r="I9" s="2">
        <v>76</v>
      </c>
      <c r="J9" s="2">
        <v>2323</v>
      </c>
      <c r="K9" s="5">
        <f t="shared" si="1"/>
        <v>29.565789473684209</v>
      </c>
      <c r="M9" s="2"/>
      <c r="N9" s="2">
        <f t="shared" si="2"/>
        <v>1237.5</v>
      </c>
    </row>
    <row r="10" spans="2:14" x14ac:dyDescent="0.25">
      <c r="B10" s="4" t="s">
        <v>10</v>
      </c>
      <c r="C10" s="2">
        <v>59</v>
      </c>
      <c r="D10" s="2">
        <v>5954</v>
      </c>
      <c r="E10" s="5">
        <f t="shared" si="0"/>
        <v>99.915254237288138</v>
      </c>
      <c r="H10" s="4" t="s">
        <v>10</v>
      </c>
      <c r="I10" s="2">
        <v>59</v>
      </c>
      <c r="J10" s="2">
        <v>5954</v>
      </c>
      <c r="K10" s="5">
        <f t="shared" si="1"/>
        <v>99.915254237288138</v>
      </c>
      <c r="M10" s="2"/>
      <c r="N10" s="2">
        <f t="shared" si="2"/>
        <v>3036</v>
      </c>
    </row>
    <row r="11" spans="2:14" x14ac:dyDescent="0.25">
      <c r="B11" s="4" t="s">
        <v>11</v>
      </c>
      <c r="C11" s="2">
        <v>54</v>
      </c>
      <c r="D11" s="2">
        <v>885</v>
      </c>
      <c r="E11" s="5">
        <f t="shared" si="0"/>
        <v>15.388888888888889</v>
      </c>
      <c r="H11" s="4" t="s">
        <v>11</v>
      </c>
      <c r="I11" s="2">
        <v>54</v>
      </c>
      <c r="J11" s="2">
        <v>885</v>
      </c>
      <c r="K11" s="5">
        <f t="shared" si="1"/>
        <v>15.388888888888889</v>
      </c>
      <c r="M11" s="2"/>
      <c r="N11" s="2">
        <f t="shared" si="2"/>
        <v>496.5</v>
      </c>
    </row>
    <row r="12" spans="2:14" x14ac:dyDescent="0.25">
      <c r="B12" s="4" t="s">
        <v>12</v>
      </c>
      <c r="C12" s="2">
        <v>148</v>
      </c>
      <c r="D12" s="2">
        <v>2272</v>
      </c>
      <c r="E12" s="5">
        <f t="shared" si="0"/>
        <v>14.351351351351351</v>
      </c>
      <c r="H12" s="4" t="s">
        <v>12</v>
      </c>
      <c r="I12" s="2">
        <v>148</v>
      </c>
      <c r="J12" s="2">
        <v>2272</v>
      </c>
      <c r="K12" s="5">
        <f t="shared" si="1"/>
        <v>14.351351351351351</v>
      </c>
      <c r="M12" s="2"/>
      <c r="N12" s="2">
        <f t="shared" si="2"/>
        <v>1284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3707-B3D0-41DF-8387-22E9CD0F4A3D}">
  <dimension ref="B2:T39"/>
  <sheetViews>
    <sheetView showGridLines="0" workbookViewId="0"/>
  </sheetViews>
  <sheetFormatPr defaultColWidth="9" defaultRowHeight="15" customHeight="1" x14ac:dyDescent="0.25"/>
  <cols>
    <col min="1" max="1" width="4.6640625" style="1" customWidth="1"/>
    <col min="2" max="19" width="9" style="1"/>
    <col min="20" max="20" width="9" style="12"/>
    <col min="21" max="16384" width="9" style="1"/>
  </cols>
  <sheetData>
    <row r="2" spans="2:20" ht="15" customHeight="1" x14ac:dyDescent="0.25">
      <c r="B2" s="1" t="s">
        <v>29</v>
      </c>
    </row>
    <row r="3" spans="2:20" ht="15" customHeight="1" x14ac:dyDescent="0.25">
      <c r="B3" s="1" t="s">
        <v>45</v>
      </c>
      <c r="J3" s="1" t="s">
        <v>46</v>
      </c>
      <c r="R3" s="1" t="s">
        <v>49</v>
      </c>
    </row>
    <row r="4" spans="2:20" ht="15" customHeight="1" x14ac:dyDescent="0.25">
      <c r="C4" s="2" t="s">
        <v>35</v>
      </c>
      <c r="D4" s="2" t="s">
        <v>37</v>
      </c>
      <c r="E4" s="2" t="s">
        <v>39</v>
      </c>
      <c r="F4" s="2" t="s">
        <v>41</v>
      </c>
      <c r="G4" s="2" t="s">
        <v>43</v>
      </c>
      <c r="H4" s="2" t="s">
        <v>44</v>
      </c>
      <c r="K4" s="2" t="s">
        <v>35</v>
      </c>
      <c r="L4" s="2" t="s">
        <v>37</v>
      </c>
      <c r="M4" s="2" t="s">
        <v>39</v>
      </c>
      <c r="N4" s="2" t="s">
        <v>41</v>
      </c>
      <c r="O4" s="2" t="s">
        <v>43</v>
      </c>
      <c r="P4" s="2" t="s">
        <v>44</v>
      </c>
      <c r="R4" s="2" t="s">
        <v>47</v>
      </c>
      <c r="S4" s="2" t="s">
        <v>48</v>
      </c>
      <c r="T4" s="12" t="s">
        <v>50</v>
      </c>
    </row>
    <row r="5" spans="2:20" ht="15" customHeight="1" x14ac:dyDescent="0.25">
      <c r="B5" s="3" t="s">
        <v>30</v>
      </c>
      <c r="C5" s="9">
        <v>0.16</v>
      </c>
      <c r="D5" s="9">
        <v>0.4</v>
      </c>
      <c r="E5" s="9">
        <v>0.04</v>
      </c>
      <c r="F5" s="9">
        <v>0.11</v>
      </c>
      <c r="G5" s="9">
        <v>0.28999999999999998</v>
      </c>
      <c r="H5" s="10">
        <v>1260</v>
      </c>
      <c r="J5" s="3" t="s">
        <v>30</v>
      </c>
      <c r="K5" s="11">
        <f>$H5*C5</f>
        <v>201.6</v>
      </c>
      <c r="L5" s="11">
        <f t="shared" ref="L5:O5" si="0">$H5*D5</f>
        <v>504</v>
      </c>
      <c r="M5" s="11">
        <f t="shared" si="0"/>
        <v>50.4</v>
      </c>
      <c r="N5" s="11">
        <f t="shared" si="0"/>
        <v>138.6</v>
      </c>
      <c r="O5" s="11">
        <f t="shared" si="0"/>
        <v>365.4</v>
      </c>
      <c r="P5" s="10">
        <v>1260</v>
      </c>
      <c r="R5" s="2">
        <v>4.5</v>
      </c>
      <c r="S5" s="13">
        <f>P8-O8*0.5</f>
        <v>2763.25</v>
      </c>
      <c r="T5" s="12" t="s">
        <v>42</v>
      </c>
    </row>
    <row r="6" spans="2:20" ht="15" customHeight="1" x14ac:dyDescent="0.25">
      <c r="B6" s="3" t="s">
        <v>31</v>
      </c>
      <c r="C6" s="9">
        <v>0.16</v>
      </c>
      <c r="D6" s="9">
        <v>0.35</v>
      </c>
      <c r="E6" s="9">
        <v>0.05</v>
      </c>
      <c r="F6" s="9">
        <v>0.09</v>
      </c>
      <c r="G6" s="9">
        <v>0.36</v>
      </c>
      <c r="H6" s="10">
        <v>1808</v>
      </c>
      <c r="J6" s="3" t="s">
        <v>31</v>
      </c>
      <c r="K6" s="11">
        <f t="shared" ref="K6:K8" si="1">$H6*C6</f>
        <v>289.28000000000003</v>
      </c>
      <c r="L6" s="11">
        <f t="shared" ref="L6:L8" si="2">$H6*D6</f>
        <v>632.79999999999995</v>
      </c>
      <c r="M6" s="11">
        <f t="shared" ref="M6:M8" si="3">$H6*E6</f>
        <v>90.4</v>
      </c>
      <c r="N6" s="11">
        <f t="shared" ref="N6:N8" si="4">$H6*F6</f>
        <v>162.72</v>
      </c>
      <c r="O6" s="11">
        <f t="shared" ref="O6:O8" si="5">$H6*G6</f>
        <v>650.88</v>
      </c>
      <c r="P6" s="10">
        <v>1808</v>
      </c>
      <c r="R6" s="2">
        <v>4.5</v>
      </c>
      <c r="S6" s="13">
        <f>P8-O8-N8*0.5</f>
        <v>2194.81</v>
      </c>
      <c r="T6" s="12" t="s">
        <v>40</v>
      </c>
    </row>
    <row r="7" spans="2:20" ht="15" customHeight="1" x14ac:dyDescent="0.25">
      <c r="B7" s="3" t="s">
        <v>32</v>
      </c>
      <c r="C7" s="9">
        <v>0.22</v>
      </c>
      <c r="D7" s="9">
        <v>0.23</v>
      </c>
      <c r="E7" s="9">
        <v>7.0000000000000007E-2</v>
      </c>
      <c r="F7" s="9">
        <v>0.08</v>
      </c>
      <c r="G7" s="9">
        <v>0.4</v>
      </c>
      <c r="H7" s="10">
        <v>2179</v>
      </c>
      <c r="J7" s="3" t="s">
        <v>32</v>
      </c>
      <c r="K7" s="11">
        <f t="shared" si="1"/>
        <v>479.38</v>
      </c>
      <c r="L7" s="11">
        <f t="shared" si="2"/>
        <v>501.17</v>
      </c>
      <c r="M7" s="11">
        <f t="shared" si="3"/>
        <v>152.53</v>
      </c>
      <c r="N7" s="11">
        <f t="shared" si="4"/>
        <v>174.32</v>
      </c>
      <c r="O7" s="11">
        <f t="shared" si="5"/>
        <v>871.6</v>
      </c>
      <c r="P7" s="10">
        <v>2179</v>
      </c>
      <c r="R7" s="2">
        <v>4.5</v>
      </c>
      <c r="S7" s="13">
        <f>P8-O8-N8-M8*0.5</f>
        <v>1894.8</v>
      </c>
      <c r="T7" s="12" t="s">
        <v>38</v>
      </c>
    </row>
    <row r="8" spans="2:20" ht="15" customHeight="1" x14ac:dyDescent="0.25">
      <c r="B8" s="3" t="s">
        <v>33</v>
      </c>
      <c r="C8" s="9">
        <v>0.27</v>
      </c>
      <c r="D8" s="9">
        <v>0.28999999999999998</v>
      </c>
      <c r="E8" s="9">
        <v>0.08</v>
      </c>
      <c r="F8" s="9">
        <v>0.11</v>
      </c>
      <c r="G8" s="9">
        <v>0.25</v>
      </c>
      <c r="H8" s="10">
        <v>3158</v>
      </c>
      <c r="J8" s="3" t="s">
        <v>33</v>
      </c>
      <c r="K8" s="11">
        <f t="shared" si="1"/>
        <v>852.66000000000008</v>
      </c>
      <c r="L8" s="11">
        <f t="shared" si="2"/>
        <v>915.81999999999994</v>
      </c>
      <c r="M8" s="11">
        <f t="shared" si="3"/>
        <v>252.64000000000001</v>
      </c>
      <c r="N8" s="11">
        <f t="shared" si="4"/>
        <v>347.38</v>
      </c>
      <c r="O8" s="11">
        <f t="shared" si="5"/>
        <v>789.5</v>
      </c>
      <c r="P8" s="10">
        <v>3158</v>
      </c>
      <c r="R8" s="2">
        <v>4.5</v>
      </c>
      <c r="S8" s="13">
        <f>P8-SUM(M8:O8)-L8*0.5</f>
        <v>1310.5700000000002</v>
      </c>
      <c r="T8" s="12" t="s">
        <v>36</v>
      </c>
    </row>
    <row r="9" spans="2:20" ht="15" customHeight="1" x14ac:dyDescent="0.25">
      <c r="R9" s="2">
        <v>4.5</v>
      </c>
      <c r="S9" s="11">
        <f>K8*0.5</f>
        <v>426.33000000000004</v>
      </c>
      <c r="T9" s="12" t="s">
        <v>34</v>
      </c>
    </row>
    <row r="11" spans="2:20" ht="27.9" customHeight="1" x14ac:dyDescent="0.25">
      <c r="G11" s="30" t="s">
        <v>54</v>
      </c>
      <c r="H11" s="16"/>
      <c r="I11" s="16"/>
      <c r="J11" s="16"/>
      <c r="K11" s="16"/>
      <c r="L11" s="16"/>
      <c r="M11" s="17"/>
    </row>
    <row r="12" spans="2:20" ht="15" customHeight="1" x14ac:dyDescent="0.25">
      <c r="G12" s="18"/>
      <c r="H12" s="19"/>
      <c r="I12" s="19"/>
      <c r="J12" s="19"/>
      <c r="K12" s="19"/>
      <c r="L12" s="19"/>
      <c r="M12" s="20"/>
    </row>
    <row r="13" spans="2:20" ht="15" customHeight="1" x14ac:dyDescent="0.25">
      <c r="G13" s="18"/>
      <c r="H13" s="19"/>
      <c r="I13" s="19"/>
      <c r="J13" s="19"/>
      <c r="K13" s="19"/>
      <c r="L13" s="19"/>
      <c r="M13" s="20"/>
    </row>
    <row r="14" spans="2:20" ht="15" customHeight="1" x14ac:dyDescent="0.25">
      <c r="G14" s="18"/>
      <c r="H14" s="19"/>
      <c r="I14" s="19"/>
      <c r="J14" s="19"/>
      <c r="K14" s="19"/>
      <c r="L14" s="19"/>
      <c r="M14" s="20"/>
    </row>
    <row r="15" spans="2:20" ht="15" customHeight="1" x14ac:dyDescent="0.25">
      <c r="G15" s="18"/>
      <c r="H15" s="19"/>
      <c r="I15" s="19"/>
      <c r="J15" s="19"/>
      <c r="K15" s="19"/>
      <c r="L15" s="19"/>
      <c r="M15" s="20"/>
    </row>
    <row r="16" spans="2:20" ht="15" customHeight="1" x14ac:dyDescent="0.25">
      <c r="G16" s="18"/>
      <c r="H16" s="19"/>
      <c r="I16" s="19"/>
      <c r="J16" s="19"/>
      <c r="K16" s="19"/>
      <c r="L16" s="19"/>
      <c r="M16" s="20"/>
    </row>
    <row r="17" spans="7:13" ht="15" customHeight="1" x14ac:dyDescent="0.25">
      <c r="G17" s="18"/>
      <c r="H17" s="19"/>
      <c r="I17" s="19"/>
      <c r="J17" s="19"/>
      <c r="K17" s="19"/>
      <c r="L17" s="19"/>
      <c r="M17" s="20"/>
    </row>
    <row r="18" spans="7:13" ht="15" customHeight="1" x14ac:dyDescent="0.25">
      <c r="G18" s="18"/>
      <c r="H18" s="19"/>
      <c r="I18" s="19"/>
      <c r="J18" s="19"/>
      <c r="K18" s="19"/>
      <c r="L18" s="19"/>
      <c r="M18" s="20"/>
    </row>
    <row r="19" spans="7:13" ht="15" customHeight="1" x14ac:dyDescent="0.25">
      <c r="G19" s="18"/>
      <c r="H19" s="19"/>
      <c r="I19" s="19"/>
      <c r="J19" s="19"/>
      <c r="K19" s="19"/>
      <c r="L19" s="19"/>
      <c r="M19" s="20"/>
    </row>
    <row r="20" spans="7:13" ht="15" customHeight="1" x14ac:dyDescent="0.25">
      <c r="G20" s="18"/>
      <c r="H20" s="19"/>
      <c r="I20" s="19"/>
      <c r="J20" s="19"/>
      <c r="K20" s="19"/>
      <c r="L20" s="19"/>
      <c r="M20" s="20"/>
    </row>
    <row r="21" spans="7:13" ht="15" customHeight="1" x14ac:dyDescent="0.25">
      <c r="G21" s="18"/>
      <c r="H21" s="19"/>
      <c r="I21" s="19"/>
      <c r="J21" s="19"/>
      <c r="K21" s="19"/>
      <c r="L21" s="19"/>
      <c r="M21" s="20"/>
    </row>
    <row r="22" spans="7:13" ht="15" customHeight="1" x14ac:dyDescent="0.25">
      <c r="G22" s="18"/>
      <c r="H22" s="19"/>
      <c r="I22" s="19"/>
      <c r="J22" s="19"/>
      <c r="K22" s="19"/>
      <c r="L22" s="19"/>
      <c r="M22" s="20"/>
    </row>
    <row r="23" spans="7:13" ht="15" customHeight="1" x14ac:dyDescent="0.25">
      <c r="G23" s="18"/>
      <c r="H23" s="19"/>
      <c r="I23" s="19"/>
      <c r="J23" s="19"/>
      <c r="K23" s="19"/>
      <c r="L23" s="19"/>
      <c r="M23" s="20"/>
    </row>
    <row r="24" spans="7:13" ht="15" customHeight="1" x14ac:dyDescent="0.25">
      <c r="G24" s="18"/>
      <c r="H24" s="19"/>
      <c r="I24" s="19"/>
      <c r="J24" s="19"/>
      <c r="K24" s="19"/>
      <c r="L24" s="19"/>
      <c r="M24" s="20"/>
    </row>
    <row r="25" spans="7:13" ht="15" customHeight="1" x14ac:dyDescent="0.25">
      <c r="G25" s="18"/>
      <c r="H25" s="19"/>
      <c r="I25" s="19"/>
      <c r="J25" s="19"/>
      <c r="K25" s="19"/>
      <c r="L25" s="19"/>
      <c r="M25" s="20"/>
    </row>
    <row r="26" spans="7:13" ht="15" customHeight="1" x14ac:dyDescent="0.25">
      <c r="G26" s="18"/>
      <c r="H26" s="19"/>
      <c r="I26" s="19"/>
      <c r="J26" s="19"/>
      <c r="K26" s="19"/>
      <c r="L26" s="19"/>
      <c r="M26" s="20"/>
    </row>
    <row r="27" spans="7:13" ht="15" customHeight="1" x14ac:dyDescent="0.25">
      <c r="G27" s="18"/>
      <c r="H27" s="19"/>
      <c r="I27" s="19"/>
      <c r="J27" s="19"/>
      <c r="K27" s="19"/>
      <c r="L27" s="19"/>
      <c r="M27" s="20"/>
    </row>
    <row r="28" spans="7:13" ht="15" customHeight="1" x14ac:dyDescent="0.25">
      <c r="G28" s="18"/>
      <c r="H28" s="19"/>
      <c r="I28" s="19"/>
      <c r="J28" s="19"/>
      <c r="K28" s="19"/>
      <c r="L28" s="19"/>
      <c r="M28" s="20"/>
    </row>
    <row r="29" spans="7:13" ht="15" customHeight="1" x14ac:dyDescent="0.25">
      <c r="G29" s="18"/>
      <c r="H29" s="19"/>
      <c r="I29" s="19"/>
      <c r="J29" s="19"/>
      <c r="K29" s="19"/>
      <c r="L29" s="19"/>
      <c r="M29" s="20"/>
    </row>
    <row r="30" spans="7:13" ht="15" customHeight="1" x14ac:dyDescent="0.25">
      <c r="G30" s="18"/>
      <c r="H30" s="19"/>
      <c r="I30" s="19"/>
      <c r="J30" s="19"/>
      <c r="K30" s="19"/>
      <c r="L30" s="19"/>
      <c r="M30" s="20"/>
    </row>
    <row r="31" spans="7:13" ht="15" customHeight="1" x14ac:dyDescent="0.25">
      <c r="G31" s="18"/>
      <c r="H31" s="19"/>
      <c r="I31" s="19"/>
      <c r="J31" s="19"/>
      <c r="K31" s="19"/>
      <c r="L31" s="19"/>
      <c r="M31" s="20"/>
    </row>
    <row r="32" spans="7:13" ht="15" customHeight="1" x14ac:dyDescent="0.25">
      <c r="G32" s="18"/>
      <c r="H32" s="19"/>
      <c r="I32" s="19"/>
      <c r="J32" s="19"/>
      <c r="K32" s="19"/>
      <c r="L32" s="19"/>
      <c r="M32" s="20"/>
    </row>
    <row r="33" spans="7:20" ht="15" customHeight="1" x14ac:dyDescent="0.25">
      <c r="G33" s="18"/>
      <c r="H33" s="19"/>
      <c r="I33" s="19"/>
      <c r="J33" s="19"/>
      <c r="K33" s="19"/>
      <c r="L33" s="19"/>
      <c r="M33" s="20"/>
    </row>
    <row r="34" spans="7:20" ht="15" customHeight="1" x14ac:dyDescent="0.25">
      <c r="G34" s="18"/>
      <c r="H34" s="19"/>
      <c r="I34" s="19"/>
      <c r="J34" s="19"/>
      <c r="K34" s="19"/>
      <c r="L34" s="19"/>
      <c r="M34" s="20"/>
    </row>
    <row r="35" spans="7:20" ht="15" customHeight="1" x14ac:dyDescent="0.25">
      <c r="G35" s="18"/>
      <c r="H35" s="19"/>
      <c r="I35" s="19"/>
      <c r="J35" s="19"/>
      <c r="K35" s="19"/>
      <c r="L35" s="19"/>
      <c r="M35" s="20"/>
    </row>
    <row r="36" spans="7:20" ht="5.0999999999999996" customHeight="1" x14ac:dyDescent="0.25">
      <c r="G36" s="18"/>
      <c r="H36" s="19"/>
      <c r="I36" s="19"/>
      <c r="J36" s="19"/>
      <c r="K36" s="19"/>
      <c r="L36" s="19"/>
      <c r="M36" s="20"/>
    </row>
    <row r="37" spans="7:20" s="14" customFormat="1" ht="15" customHeight="1" x14ac:dyDescent="0.25">
      <c r="G37" s="28" t="s">
        <v>51</v>
      </c>
      <c r="H37" s="29"/>
      <c r="I37" s="29"/>
      <c r="J37" s="29"/>
      <c r="K37" s="29"/>
      <c r="L37" s="21"/>
      <c r="M37" s="22"/>
      <c r="T37" s="15"/>
    </row>
    <row r="38" spans="7:20" s="14" customFormat="1" ht="15" customHeight="1" x14ac:dyDescent="0.25">
      <c r="G38" s="28" t="s">
        <v>52</v>
      </c>
      <c r="H38" s="29"/>
      <c r="I38" s="29"/>
      <c r="J38" s="29"/>
      <c r="K38" s="29"/>
      <c r="L38" s="21"/>
      <c r="M38" s="22"/>
      <c r="T38" s="15"/>
    </row>
    <row r="39" spans="7:20" s="26" customFormat="1" ht="20.100000000000001" customHeight="1" x14ac:dyDescent="0.35">
      <c r="G39" s="23" t="s">
        <v>53</v>
      </c>
      <c r="H39" s="24"/>
      <c r="I39" s="24"/>
      <c r="J39" s="24"/>
      <c r="K39" s="24"/>
      <c r="L39" s="24"/>
      <c r="M39" s="25"/>
      <c r="T39" s="27"/>
    </row>
  </sheetData>
  <phoneticPr fontId="2" type="noConversion"/>
  <pageMargins left="0.7" right="0.7" top="0.75" bottom="0.75" header="0.3" footer="0.3"/>
  <ignoredErrors>
    <ignoredError sqref="B5:B8 J6:J8 J5" numberStoredAsText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512BA-FECD-4826-87D1-ECACEA07AD50}">
  <dimension ref="A1:G8"/>
  <sheetViews>
    <sheetView showGridLines="0" workbookViewId="0"/>
  </sheetViews>
  <sheetFormatPr defaultRowHeight="13.8" x14ac:dyDescent="0.25"/>
  <cols>
    <col min="1" max="1" width="4.66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 t="s">
        <v>29</v>
      </c>
      <c r="C2" s="1"/>
      <c r="D2" s="1"/>
      <c r="E2" s="1"/>
      <c r="F2" s="1"/>
      <c r="G2" s="1"/>
    </row>
    <row r="3" spans="1:7" x14ac:dyDescent="0.25">
      <c r="A3" s="1"/>
      <c r="B3" s="1" t="s">
        <v>55</v>
      </c>
      <c r="C3" s="1"/>
      <c r="D3" s="1"/>
      <c r="E3" s="1"/>
      <c r="F3" s="1"/>
      <c r="G3" s="1"/>
    </row>
    <row r="4" spans="1:7" x14ac:dyDescent="0.25">
      <c r="A4" s="1"/>
      <c r="B4" s="1"/>
      <c r="C4" s="2" t="s">
        <v>35</v>
      </c>
      <c r="D4" s="2" t="s">
        <v>37</v>
      </c>
      <c r="E4" s="2" t="s">
        <v>39</v>
      </c>
      <c r="F4" s="2" t="s">
        <v>41</v>
      </c>
      <c r="G4" s="2" t="s">
        <v>43</v>
      </c>
    </row>
    <row r="5" spans="1:7" x14ac:dyDescent="0.25">
      <c r="A5" s="1"/>
      <c r="B5" s="3" t="s">
        <v>30</v>
      </c>
      <c r="C5" s="9">
        <v>0.16</v>
      </c>
      <c r="D5" s="9">
        <v>0.4</v>
      </c>
      <c r="E5" s="9">
        <v>0.04</v>
      </c>
      <c r="F5" s="9">
        <v>0.11</v>
      </c>
      <c r="G5" s="9">
        <v>0.28999999999999998</v>
      </c>
    </row>
    <row r="6" spans="1:7" x14ac:dyDescent="0.25">
      <c r="A6" s="1"/>
      <c r="B6" s="3" t="s">
        <v>31</v>
      </c>
      <c r="C6" s="9">
        <v>0.16</v>
      </c>
      <c r="D6" s="9">
        <v>0.35</v>
      </c>
      <c r="E6" s="9">
        <v>0.05</v>
      </c>
      <c r="F6" s="9">
        <v>0.09</v>
      </c>
      <c r="G6" s="9">
        <v>0.36</v>
      </c>
    </row>
    <row r="7" spans="1:7" x14ac:dyDescent="0.25">
      <c r="A7" s="1"/>
      <c r="B7" s="3" t="s">
        <v>32</v>
      </c>
      <c r="C7" s="9">
        <v>0.22</v>
      </c>
      <c r="D7" s="9">
        <v>0.23</v>
      </c>
      <c r="E7" s="9">
        <v>7.0000000000000007E-2</v>
      </c>
      <c r="F7" s="9">
        <v>0.08</v>
      </c>
      <c r="G7" s="9">
        <v>0.4</v>
      </c>
    </row>
    <row r="8" spans="1:7" x14ac:dyDescent="0.25">
      <c r="A8" s="1"/>
      <c r="B8" s="3" t="s">
        <v>33</v>
      </c>
      <c r="C8" s="9">
        <v>0.27</v>
      </c>
      <c r="D8" s="9">
        <v>0.28999999999999998</v>
      </c>
      <c r="E8" s="9">
        <v>0.08</v>
      </c>
      <c r="F8" s="9">
        <v>0.11</v>
      </c>
      <c r="G8" s="9">
        <v>0.25</v>
      </c>
    </row>
  </sheetData>
  <phoneticPr fontId="2" type="noConversion"/>
  <pageMargins left="0.7" right="0.7" top="0.75" bottom="0.75" header="0.3" footer="0.3"/>
  <ignoredErrors>
    <ignoredError sqref="B5:G8" numberStoredAsText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D89D6-DF1A-47B6-90B9-033977700744}">
  <dimension ref="B1:K12"/>
  <sheetViews>
    <sheetView showGridLines="0" workbookViewId="0"/>
  </sheetViews>
  <sheetFormatPr defaultColWidth="9" defaultRowHeight="13.2" x14ac:dyDescent="0.25"/>
  <cols>
    <col min="1" max="1" width="4.6640625" style="1" customWidth="1"/>
    <col min="2" max="16384" width="9" style="1"/>
  </cols>
  <sheetData>
    <row r="1" spans="2:11" x14ac:dyDescent="0.25">
      <c r="F1" s="2"/>
    </row>
    <row r="2" spans="2:11" x14ac:dyDescent="0.25">
      <c r="B2" s="1" t="s">
        <v>56</v>
      </c>
      <c r="F2" s="2"/>
    </row>
    <row r="3" spans="2:11" x14ac:dyDescent="0.25">
      <c r="B3" s="1" t="s">
        <v>57</v>
      </c>
      <c r="E3" s="1" t="s">
        <v>58</v>
      </c>
      <c r="F3" s="2"/>
    </row>
    <row r="4" spans="2:11" x14ac:dyDescent="0.25">
      <c r="B4" s="1" t="s">
        <v>59</v>
      </c>
      <c r="C4" s="2" t="s">
        <v>60</v>
      </c>
      <c r="E4" s="1" t="s">
        <v>61</v>
      </c>
      <c r="F4" s="2" t="s">
        <v>62</v>
      </c>
      <c r="G4" s="2" t="s">
        <v>63</v>
      </c>
      <c r="H4" s="2" t="s">
        <v>64</v>
      </c>
      <c r="I4" s="2" t="s">
        <v>65</v>
      </c>
      <c r="J4" s="2" t="s">
        <v>66</v>
      </c>
      <c r="K4" s="2" t="s">
        <v>67</v>
      </c>
    </row>
    <row r="5" spans="2:11" x14ac:dyDescent="0.25">
      <c r="B5" s="3" t="s">
        <v>68</v>
      </c>
      <c r="C5" s="31">
        <v>85</v>
      </c>
      <c r="E5" s="3" t="s">
        <v>68</v>
      </c>
      <c r="F5" s="32">
        <v>0</v>
      </c>
      <c r="G5" s="31">
        <v>85</v>
      </c>
      <c r="H5" s="2"/>
      <c r="I5" s="2"/>
      <c r="J5" s="2"/>
      <c r="K5" s="2"/>
    </row>
    <row r="6" spans="2:11" x14ac:dyDescent="0.25">
      <c r="B6" s="1" t="s">
        <v>69</v>
      </c>
      <c r="C6" s="31">
        <v>-14.6</v>
      </c>
      <c r="E6" s="1" t="s">
        <v>69</v>
      </c>
      <c r="F6" s="2">
        <v>0</v>
      </c>
      <c r="G6" s="2"/>
      <c r="H6" s="2">
        <f>G5-J6</f>
        <v>70.400000000000006</v>
      </c>
      <c r="I6" s="2"/>
      <c r="J6" s="2">
        <v>14.6</v>
      </c>
      <c r="K6" s="2"/>
    </row>
    <row r="7" spans="2:11" x14ac:dyDescent="0.25">
      <c r="B7" s="1" t="s">
        <v>70</v>
      </c>
      <c r="C7" s="31">
        <v>13.4</v>
      </c>
      <c r="E7" s="1" t="s">
        <v>70</v>
      </c>
      <c r="F7" s="2">
        <v>0</v>
      </c>
      <c r="G7" s="2"/>
      <c r="H7" s="2">
        <v>70.400000000000006</v>
      </c>
      <c r="I7" s="2">
        <v>13.4</v>
      </c>
      <c r="J7" s="2"/>
      <c r="K7" s="2"/>
    </row>
    <row r="8" spans="2:11" x14ac:dyDescent="0.25">
      <c r="B8" s="1" t="s">
        <v>71</v>
      </c>
      <c r="C8" s="31">
        <v>7.2</v>
      </c>
      <c r="E8" s="1" t="s">
        <v>71</v>
      </c>
      <c r="F8" s="2">
        <v>0</v>
      </c>
      <c r="G8" s="2"/>
      <c r="H8" s="2">
        <f>H7+I7</f>
        <v>83.800000000000011</v>
      </c>
      <c r="I8" s="2">
        <v>7.2</v>
      </c>
      <c r="J8" s="2"/>
      <c r="K8" s="2"/>
    </row>
    <row r="9" spans="2:11" x14ac:dyDescent="0.25">
      <c r="B9" s="1" t="s">
        <v>72</v>
      </c>
      <c r="C9" s="31">
        <v>2.2000000000000002</v>
      </c>
      <c r="E9" s="1" t="s">
        <v>72</v>
      </c>
      <c r="F9" s="2">
        <v>0</v>
      </c>
      <c r="G9" s="2"/>
      <c r="H9" s="2">
        <f t="shared" ref="H9:H11" si="0">H8+I8</f>
        <v>91.000000000000014</v>
      </c>
      <c r="I9" s="2">
        <v>2.2000000000000002</v>
      </c>
      <c r="J9" s="2"/>
      <c r="K9" s="2"/>
    </row>
    <row r="10" spans="2:11" x14ac:dyDescent="0.25">
      <c r="B10" s="1" t="s">
        <v>73</v>
      </c>
      <c r="C10" s="31">
        <v>0.9</v>
      </c>
      <c r="E10" s="1" t="s">
        <v>73</v>
      </c>
      <c r="F10" s="2">
        <v>0</v>
      </c>
      <c r="G10" s="2"/>
      <c r="H10" s="2">
        <f t="shared" si="0"/>
        <v>93.200000000000017</v>
      </c>
      <c r="I10" s="2">
        <v>0.9</v>
      </c>
      <c r="J10" s="2"/>
      <c r="K10" s="2"/>
    </row>
    <row r="11" spans="2:11" x14ac:dyDescent="0.25">
      <c r="B11" s="1" t="s">
        <v>74</v>
      </c>
      <c r="C11" s="31">
        <v>0.3</v>
      </c>
      <c r="E11" s="1" t="s">
        <v>74</v>
      </c>
      <c r="F11" s="2">
        <v>0</v>
      </c>
      <c r="G11" s="2"/>
      <c r="H11" s="2">
        <f t="shared" si="0"/>
        <v>94.100000000000023</v>
      </c>
      <c r="I11" s="2">
        <v>0.3</v>
      </c>
      <c r="J11" s="2"/>
      <c r="K11" s="2"/>
    </row>
    <row r="12" spans="2:11" x14ac:dyDescent="0.25">
      <c r="B12" s="3" t="s">
        <v>75</v>
      </c>
      <c r="C12" s="31">
        <v>94.4</v>
      </c>
      <c r="E12" s="3" t="s">
        <v>75</v>
      </c>
      <c r="F12" s="32">
        <v>0</v>
      </c>
      <c r="G12" s="2"/>
      <c r="H12" s="2"/>
      <c r="I12" s="2"/>
      <c r="J12" s="2"/>
      <c r="K12" s="2">
        <v>94.4</v>
      </c>
    </row>
  </sheetData>
  <phoneticPr fontId="2" type="noConversion"/>
  <pageMargins left="0.7" right="0.7" top="0.75" bottom="0.75" header="0.3" footer="0.3"/>
  <ignoredErrors>
    <ignoredError sqref="B5:K12" numberStoredAsText="1"/>
  </ignoredErrors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C098-83EA-40FE-8814-5AECF75187B5}">
  <dimension ref="B2:R18"/>
  <sheetViews>
    <sheetView showGridLines="0" workbookViewId="0"/>
  </sheetViews>
  <sheetFormatPr defaultColWidth="9" defaultRowHeight="13.2" x14ac:dyDescent="0.25"/>
  <cols>
    <col min="1" max="1" width="4.6640625" style="1" customWidth="1"/>
    <col min="2" max="3" width="9" style="1"/>
    <col min="4" max="4" width="4.6640625" style="1" customWidth="1"/>
    <col min="5" max="6" width="9" style="1"/>
    <col min="7" max="7" width="4.6640625" style="1" customWidth="1"/>
    <col min="8" max="16384" width="9" style="1"/>
  </cols>
  <sheetData>
    <row r="2" spans="2:18" x14ac:dyDescent="0.25">
      <c r="B2" s="1" t="s">
        <v>76</v>
      </c>
    </row>
    <row r="3" spans="2:18" x14ac:dyDescent="0.25">
      <c r="B3" s="1" t="s">
        <v>77</v>
      </c>
      <c r="E3" s="1" t="s">
        <v>81</v>
      </c>
    </row>
    <row r="4" spans="2:18" x14ac:dyDescent="0.25">
      <c r="C4" s="2" t="s">
        <v>80</v>
      </c>
      <c r="E4" s="2" t="s">
        <v>82</v>
      </c>
      <c r="F4" s="2" t="s">
        <v>83</v>
      </c>
      <c r="G4" s="2"/>
    </row>
    <row r="5" spans="2:18" x14ac:dyDescent="0.25">
      <c r="B5" s="3" t="s">
        <v>78</v>
      </c>
      <c r="C5" s="33">
        <v>157</v>
      </c>
      <c r="E5" s="2">
        <v>0.5</v>
      </c>
      <c r="F5" s="34">
        <v>157</v>
      </c>
      <c r="G5" s="34"/>
    </row>
    <row r="6" spans="2:18" x14ac:dyDescent="0.25">
      <c r="B6" s="3" t="s">
        <v>79</v>
      </c>
      <c r="C6" s="33">
        <v>170.2</v>
      </c>
      <c r="E6" s="2">
        <v>1.5</v>
      </c>
      <c r="F6" s="34">
        <v>157</v>
      </c>
      <c r="G6" s="34"/>
    </row>
    <row r="7" spans="2:18" x14ac:dyDescent="0.25">
      <c r="B7" s="3" t="s">
        <v>0</v>
      </c>
      <c r="C7" s="33">
        <v>192</v>
      </c>
      <c r="E7" s="2">
        <v>1.5</v>
      </c>
      <c r="F7" s="33">
        <v>170.2</v>
      </c>
      <c r="G7" s="33"/>
    </row>
    <row r="8" spans="2:18" x14ac:dyDescent="0.25">
      <c r="B8" s="3" t="s">
        <v>1</v>
      </c>
      <c r="C8" s="33">
        <v>231.3</v>
      </c>
      <c r="E8" s="2">
        <v>2.5</v>
      </c>
      <c r="F8" s="33">
        <v>170.2</v>
      </c>
      <c r="G8" s="33"/>
    </row>
    <row r="9" spans="2:18" x14ac:dyDescent="0.25">
      <c r="B9" s="3" t="s">
        <v>2</v>
      </c>
      <c r="C9" s="33">
        <v>217.6</v>
      </c>
      <c r="E9" s="2">
        <v>2.5</v>
      </c>
      <c r="F9" s="33">
        <v>192</v>
      </c>
      <c r="G9" s="33"/>
    </row>
    <row r="10" spans="2:18" x14ac:dyDescent="0.25">
      <c r="B10" s="3" t="s">
        <v>3</v>
      </c>
      <c r="C10" s="33">
        <v>230.7</v>
      </c>
      <c r="E10" s="2">
        <v>3.5</v>
      </c>
      <c r="F10" s="33">
        <v>192</v>
      </c>
      <c r="G10" s="33"/>
    </row>
    <row r="11" spans="2:18" x14ac:dyDescent="0.25">
      <c r="B11" s="3" t="s">
        <v>4</v>
      </c>
      <c r="C11" s="33">
        <v>227.1</v>
      </c>
      <c r="E11" s="2">
        <v>3.5</v>
      </c>
      <c r="F11" s="33">
        <v>231.3</v>
      </c>
      <c r="G11" s="33"/>
    </row>
    <row r="12" spans="2:18" x14ac:dyDescent="0.25">
      <c r="E12" s="1">
        <v>4.5</v>
      </c>
      <c r="F12" s="33">
        <v>231.3</v>
      </c>
      <c r="G12" s="33"/>
    </row>
    <row r="13" spans="2:18" x14ac:dyDescent="0.25">
      <c r="E13" s="1">
        <v>4.5</v>
      </c>
      <c r="F13" s="33">
        <v>217.6</v>
      </c>
      <c r="G13" s="33"/>
    </row>
    <row r="14" spans="2:18" x14ac:dyDescent="0.25">
      <c r="E14" s="1">
        <v>5.5</v>
      </c>
      <c r="F14" s="33">
        <v>217.6</v>
      </c>
      <c r="G14" s="33"/>
      <c r="R14" s="35"/>
    </row>
    <row r="15" spans="2:18" x14ac:dyDescent="0.25">
      <c r="E15" s="1">
        <v>5.5</v>
      </c>
      <c r="F15" s="33">
        <v>230.7</v>
      </c>
      <c r="G15" s="33"/>
    </row>
    <row r="16" spans="2:18" x14ac:dyDescent="0.25">
      <c r="E16" s="1">
        <v>6.5</v>
      </c>
      <c r="F16" s="33">
        <v>230.7</v>
      </c>
      <c r="G16" s="33"/>
    </row>
    <row r="17" spans="5:7" x14ac:dyDescent="0.25">
      <c r="E17" s="1">
        <v>6.5</v>
      </c>
      <c r="F17" s="33">
        <v>227.1</v>
      </c>
      <c r="G17" s="33"/>
    </row>
    <row r="18" spans="5:7" x14ac:dyDescent="0.25">
      <c r="E18" s="1">
        <v>7.5</v>
      </c>
      <c r="F18" s="33">
        <v>227.1</v>
      </c>
      <c r="G18" s="33"/>
    </row>
  </sheetData>
  <phoneticPr fontId="2" type="noConversion"/>
  <pageMargins left="0.7" right="0.7" top="0.75" bottom="0.75" header="0.3" footer="0.3"/>
  <ignoredErrors>
    <ignoredError sqref="B5:B11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图0</vt:lpstr>
      <vt:lpstr>图6</vt:lpstr>
      <vt:lpstr>图7</vt:lpstr>
      <vt:lpstr>图8</vt:lpstr>
      <vt:lpstr>图9</vt:lpstr>
      <vt:lpstr>图10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拉登Dony</cp:lastModifiedBy>
  <dcterms:created xsi:type="dcterms:W3CDTF">2017-09-12T12:41:14Z</dcterms:created>
  <dcterms:modified xsi:type="dcterms:W3CDTF">2019-03-08T02:11:31Z</dcterms:modified>
</cp:coreProperties>
</file>