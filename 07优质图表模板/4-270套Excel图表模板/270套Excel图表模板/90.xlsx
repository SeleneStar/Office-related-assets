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showInkAnnotation="0" defaultThemeVersion="124226"/>
  <bookViews>
    <workbookView xWindow="240" yWindow="120" windowWidth="16152" windowHeight="8508"/>
  </bookViews>
  <sheets>
    <sheet name="成绩汇总表" sheetId="1" r:id="rId1"/>
    <sheet name="图表分析" sheetId="6" r:id="rId2"/>
    <sheet name="学生信息汇总" sheetId="3" r:id="rId3"/>
  </sheets>
  <definedNames>
    <definedName name="_xlnm._FilterDatabase" localSheetId="0" hidden="1">成绩汇总表!$A$4:$M$962</definedName>
    <definedName name="汇总表首行">成绩汇总表!#REF!</definedName>
  </definedNames>
  <calcPr calcId="152511"/>
</workbook>
</file>

<file path=xl/calcChain.xml><?xml version="1.0" encoding="utf-8"?>
<calcChain xmlns="http://schemas.openxmlformats.org/spreadsheetml/2006/main">
  <c r="T17" i="6" l="1"/>
  <c r="T18" i="6"/>
  <c r="T16" i="6"/>
  <c r="T15" i="6"/>
  <c r="C45" i="1"/>
  <c r="C46" i="1"/>
  <c r="C47" i="1"/>
  <c r="C48" i="1"/>
  <c r="C44" i="1"/>
  <c r="E12" i="6" l="1"/>
  <c r="L16" i="6" a="1"/>
  <c r="L16" i="6" s="1"/>
  <c r="S16" i="6" s="1"/>
  <c r="M16" i="6" a="1"/>
  <c r="M16" i="6" s="1"/>
  <c r="N16" i="6" a="1"/>
  <c r="N16" i="6" s="1"/>
  <c r="O16" i="6" a="1"/>
  <c r="O16" i="6" s="1"/>
  <c r="P16" i="6" a="1"/>
  <c r="P16" i="6" s="1"/>
  <c r="L17" i="6" a="1"/>
  <c r="L17" i="6" s="1"/>
  <c r="S17" i="6" s="1"/>
  <c r="M17" i="6" a="1"/>
  <c r="M17" i="6" s="1"/>
  <c r="N17" i="6" a="1"/>
  <c r="N17" i="6" s="1"/>
  <c r="O17" i="6" a="1"/>
  <c r="O17" i="6" s="1"/>
  <c r="P17" i="6" a="1"/>
  <c r="P17" i="6" s="1"/>
  <c r="L18" i="6" a="1"/>
  <c r="L18" i="6" s="1"/>
  <c r="S18" i="6" s="1"/>
  <c r="M18" i="6" a="1"/>
  <c r="M18" i="6" s="1"/>
  <c r="N18" i="6" a="1"/>
  <c r="N18" i="6" s="1"/>
  <c r="O18" i="6" a="1"/>
  <c r="O18" i="6" s="1"/>
  <c r="P18" i="6" a="1"/>
  <c r="P18" i="6" s="1"/>
  <c r="P15" i="6" a="1"/>
  <c r="P15" i="6" s="1"/>
  <c r="O15" i="6" a="1"/>
  <c r="O15" i="6" s="1"/>
  <c r="N15" i="6" a="1"/>
  <c r="N15" i="6" s="1"/>
  <c r="M15" i="6" a="1"/>
  <c r="M15" i="6" s="1"/>
  <c r="L15" i="6" a="1"/>
  <c r="L15" i="6" s="1"/>
  <c r="S15" i="6" s="1"/>
  <c r="B16" i="6" a="1"/>
  <c r="B16" i="6" s="1"/>
  <c r="R16" i="6" s="1"/>
  <c r="C16" i="6" a="1"/>
  <c r="C16" i="6" s="1"/>
  <c r="D16" i="6" a="1"/>
  <c r="D16" i="6" s="1"/>
  <c r="E16" i="6" a="1"/>
  <c r="E16" i="6" s="1"/>
  <c r="F16" i="6" a="1"/>
  <c r="F16" i="6" s="1"/>
  <c r="B17" i="6" a="1"/>
  <c r="B17" i="6" s="1"/>
  <c r="R17" i="6" s="1"/>
  <c r="C17" i="6" a="1"/>
  <c r="C17" i="6" s="1"/>
  <c r="D17" i="6" a="1"/>
  <c r="D17" i="6" s="1"/>
  <c r="E17" i="6" a="1"/>
  <c r="E17" i="6" s="1"/>
  <c r="F17" i="6" a="1"/>
  <c r="F17" i="6" s="1"/>
  <c r="B18" i="6" a="1"/>
  <c r="B18" i="6" s="1"/>
  <c r="R18" i="6" s="1"/>
  <c r="C18" i="6" a="1"/>
  <c r="C18" i="6" s="1"/>
  <c r="D18" i="6" a="1"/>
  <c r="D18" i="6" s="1"/>
  <c r="E18" i="6" a="1"/>
  <c r="E18" i="6" s="1"/>
  <c r="F18" i="6" a="1"/>
  <c r="F18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R15" i="6" s="1"/>
  <c r="F7" i="6"/>
  <c r="E7" i="6"/>
  <c r="D7" i="6"/>
  <c r="C7" i="6"/>
  <c r="B7" i="6"/>
  <c r="F6" i="6"/>
  <c r="F32" i="6" s="1"/>
  <c r="E6" i="6"/>
  <c r="E32" i="6" s="1"/>
  <c r="D6" i="6"/>
  <c r="D32" i="6" s="1"/>
  <c r="C6" i="6"/>
  <c r="C32" i="6" s="1"/>
  <c r="B6" i="6"/>
  <c r="B32" i="6" s="1"/>
  <c r="E5" i="6"/>
  <c r="D5" i="6"/>
  <c r="C5" i="6"/>
  <c r="B5" i="6"/>
  <c r="F5" i="6"/>
  <c r="C4" i="6"/>
  <c r="D4" i="6"/>
  <c r="E4" i="6"/>
  <c r="F4" i="6"/>
  <c r="B4" i="6"/>
  <c r="M35" i="1"/>
  <c r="M36" i="1"/>
  <c r="M37" i="1"/>
  <c r="M38" i="1"/>
  <c r="M39" i="1"/>
  <c r="M40" i="1"/>
  <c r="M41" i="1"/>
  <c r="M42" i="1"/>
  <c r="M43" i="1"/>
  <c r="M34" i="1"/>
  <c r="K35" i="1"/>
  <c r="K36" i="1"/>
  <c r="K37" i="1"/>
  <c r="K38" i="1"/>
  <c r="K39" i="1"/>
  <c r="K40" i="1"/>
  <c r="K41" i="1"/>
  <c r="K42" i="1"/>
  <c r="K43" i="1"/>
  <c r="K34" i="1"/>
  <c r="I35" i="1"/>
  <c r="I36" i="1"/>
  <c r="I37" i="1"/>
  <c r="I38" i="1"/>
  <c r="I39" i="1"/>
  <c r="I40" i="1"/>
  <c r="I41" i="1"/>
  <c r="I42" i="1"/>
  <c r="I43" i="1"/>
  <c r="I34" i="1"/>
  <c r="G35" i="1"/>
  <c r="G36" i="1"/>
  <c r="G37" i="1"/>
  <c r="G38" i="1"/>
  <c r="G39" i="1"/>
  <c r="G40" i="1"/>
  <c r="G41" i="1"/>
  <c r="G42" i="1"/>
  <c r="G43" i="1"/>
  <c r="G34" i="1"/>
  <c r="M25" i="1"/>
  <c r="M26" i="1"/>
  <c r="M27" i="1"/>
  <c r="M28" i="1"/>
  <c r="M29" i="1"/>
  <c r="M30" i="1"/>
  <c r="M31" i="1"/>
  <c r="M32" i="1"/>
  <c r="M33" i="1"/>
  <c r="M24" i="1"/>
  <c r="K25" i="1"/>
  <c r="K26" i="1"/>
  <c r="K27" i="1"/>
  <c r="K28" i="1"/>
  <c r="K29" i="1"/>
  <c r="K30" i="1"/>
  <c r="K31" i="1"/>
  <c r="K32" i="1"/>
  <c r="K33" i="1"/>
  <c r="K24" i="1"/>
  <c r="I25" i="1"/>
  <c r="I26" i="1"/>
  <c r="I27" i="1"/>
  <c r="I28" i="1"/>
  <c r="I29" i="1"/>
  <c r="I30" i="1"/>
  <c r="I31" i="1"/>
  <c r="I32" i="1"/>
  <c r="I33" i="1"/>
  <c r="I24" i="1"/>
  <c r="G25" i="1"/>
  <c r="G26" i="1"/>
  <c r="G27" i="1"/>
  <c r="G28" i="1"/>
  <c r="G29" i="1"/>
  <c r="G30" i="1"/>
  <c r="G31" i="1"/>
  <c r="G32" i="1"/>
  <c r="G33" i="1"/>
  <c r="G24" i="1"/>
  <c r="M15" i="1"/>
  <c r="M16" i="1"/>
  <c r="M17" i="1"/>
  <c r="M18" i="1"/>
  <c r="M19" i="1"/>
  <c r="M20" i="1"/>
  <c r="M21" i="1"/>
  <c r="M22" i="1"/>
  <c r="M23" i="1"/>
  <c r="M14" i="1"/>
  <c r="M5" i="1"/>
  <c r="M6" i="1"/>
  <c r="M7" i="1"/>
  <c r="M8" i="1"/>
  <c r="M9" i="1"/>
  <c r="M10" i="1"/>
  <c r="M11" i="1"/>
  <c r="M12" i="1"/>
  <c r="M1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" i="1"/>
  <c r="K15" i="1"/>
  <c r="K16" i="1"/>
  <c r="K17" i="1"/>
  <c r="K18" i="1"/>
  <c r="K19" i="1"/>
  <c r="K20" i="1"/>
  <c r="K21" i="1"/>
  <c r="K22" i="1"/>
  <c r="K23" i="1"/>
  <c r="K14" i="1"/>
  <c r="I15" i="1"/>
  <c r="I16" i="1"/>
  <c r="I17" i="1"/>
  <c r="I18" i="1"/>
  <c r="I19" i="1"/>
  <c r="I20" i="1"/>
  <c r="I21" i="1"/>
  <c r="I22" i="1"/>
  <c r="I23" i="1"/>
  <c r="I14" i="1"/>
  <c r="G15" i="1"/>
  <c r="G16" i="1"/>
  <c r="G17" i="1"/>
  <c r="G18" i="1"/>
  <c r="G19" i="1"/>
  <c r="G20" i="1"/>
  <c r="G21" i="1"/>
  <c r="G22" i="1"/>
  <c r="G23" i="1"/>
  <c r="G14" i="1"/>
  <c r="E35" i="1"/>
  <c r="E36" i="1"/>
  <c r="E37" i="1"/>
  <c r="E38" i="1"/>
  <c r="E39" i="1"/>
  <c r="E40" i="1"/>
  <c r="E41" i="1"/>
  <c r="E42" i="1"/>
  <c r="E43" i="1"/>
  <c r="E34" i="1"/>
  <c r="E25" i="1"/>
  <c r="E26" i="1"/>
  <c r="E27" i="1"/>
  <c r="E28" i="1"/>
  <c r="E29" i="1"/>
  <c r="E30" i="1"/>
  <c r="E31" i="1"/>
  <c r="E32" i="1"/>
  <c r="E33" i="1"/>
  <c r="E24" i="1"/>
  <c r="E15" i="1"/>
  <c r="E16" i="1"/>
  <c r="E17" i="1"/>
  <c r="E18" i="1"/>
  <c r="E19" i="1"/>
  <c r="E20" i="1"/>
  <c r="E21" i="1"/>
  <c r="E22" i="1"/>
  <c r="E23" i="1"/>
  <c r="E14" i="1"/>
  <c r="K5" i="1"/>
  <c r="K6" i="1"/>
  <c r="K7" i="1"/>
  <c r="K8" i="1"/>
  <c r="K9" i="1"/>
  <c r="K10" i="1"/>
  <c r="K11" i="1"/>
  <c r="K12" i="1"/>
  <c r="K13" i="1"/>
  <c r="K4" i="1"/>
  <c r="I5" i="1"/>
  <c r="I6" i="1"/>
  <c r="I7" i="1"/>
  <c r="I8" i="1"/>
  <c r="I9" i="1"/>
  <c r="I10" i="1"/>
  <c r="I11" i="1"/>
  <c r="I12" i="1"/>
  <c r="I13" i="1"/>
  <c r="I4" i="1"/>
  <c r="G5" i="1"/>
  <c r="G6" i="1"/>
  <c r="G7" i="1"/>
  <c r="G8" i="1"/>
  <c r="G9" i="1"/>
  <c r="G10" i="1"/>
  <c r="G11" i="1"/>
  <c r="G12" i="1"/>
  <c r="G13" i="1"/>
  <c r="G4" i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N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/>
  <c r="L78" i="1"/>
  <c r="M78" i="1" s="1"/>
  <c r="L79" i="1"/>
  <c r="M79" i="1" s="1"/>
  <c r="L80" i="1"/>
  <c r="M80" i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/>
  <c r="L110" i="1"/>
  <c r="M110" i="1" s="1"/>
  <c r="L111" i="1"/>
  <c r="M111" i="1" s="1"/>
  <c r="L112" i="1"/>
  <c r="M112" i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/>
  <c r="L142" i="1"/>
  <c r="M142" i="1" s="1"/>
  <c r="L143" i="1"/>
  <c r="M143" i="1" s="1"/>
  <c r="L144" i="1"/>
  <c r="M144" i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/>
  <c r="L174" i="1"/>
  <c r="M174" i="1" s="1"/>
  <c r="L175" i="1"/>
  <c r="M175" i="1" s="1"/>
  <c r="L176" i="1"/>
  <c r="M176" i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/>
  <c r="L206" i="1"/>
  <c r="M206" i="1" s="1"/>
  <c r="L207" i="1"/>
  <c r="M207" i="1" s="1"/>
  <c r="L208" i="1"/>
  <c r="M208" i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/>
  <c r="L299" i="1"/>
  <c r="M299" i="1" s="1"/>
  <c r="L300" i="1"/>
  <c r="M300" i="1" s="1"/>
  <c r="L301" i="1"/>
  <c r="M301" i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/>
  <c r="L354" i="1"/>
  <c r="M354" i="1" s="1"/>
  <c r="L355" i="1"/>
  <c r="M355" i="1" s="1"/>
  <c r="L356" i="1"/>
  <c r="M356" i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/>
  <c r="L386" i="1"/>
  <c r="M386" i="1" s="1"/>
  <c r="L387" i="1"/>
  <c r="M387" i="1" s="1"/>
  <c r="L388" i="1"/>
  <c r="M388" i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/>
  <c r="L418" i="1"/>
  <c r="M418" i="1" s="1"/>
  <c r="L419" i="1"/>
  <c r="M419" i="1" s="1"/>
  <c r="L420" i="1"/>
  <c r="M420" i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E5" i="1"/>
  <c r="E6" i="1"/>
  <c r="E7" i="1"/>
  <c r="E8" i="1"/>
  <c r="E9" i="1"/>
  <c r="E10" i="1"/>
  <c r="E11" i="1"/>
  <c r="E12" i="1"/>
  <c r="E13" i="1"/>
  <c r="E4" i="1"/>
  <c r="B30" i="6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4" i="1"/>
  <c r="J14" i="6" l="1"/>
  <c r="I14" i="6"/>
  <c r="I30" i="6" l="1"/>
  <c r="A30" i="6"/>
  <c r="I44" i="1" l="1"/>
  <c r="K44" i="1"/>
  <c r="I45" i="1"/>
  <c r="K45" i="1"/>
  <c r="I46" i="1"/>
  <c r="K46" i="1"/>
  <c r="E47" i="1"/>
  <c r="G47" i="1"/>
  <c r="I47" i="1"/>
  <c r="K47" i="1"/>
  <c r="E48" i="1"/>
  <c r="G48" i="1"/>
  <c r="I48" i="1"/>
  <c r="K48" i="1"/>
  <c r="E49" i="1"/>
  <c r="G49" i="1"/>
  <c r="I49" i="1"/>
  <c r="K49" i="1"/>
  <c r="E50" i="1"/>
  <c r="G50" i="1"/>
  <c r="I50" i="1"/>
  <c r="K50" i="1"/>
  <c r="E51" i="1"/>
  <c r="G51" i="1"/>
  <c r="I51" i="1"/>
  <c r="K51" i="1"/>
  <c r="E52" i="1"/>
  <c r="G52" i="1"/>
  <c r="I52" i="1"/>
  <c r="K52" i="1"/>
  <c r="E53" i="1"/>
  <c r="G53" i="1"/>
  <c r="I53" i="1"/>
  <c r="K53" i="1"/>
  <c r="E54" i="1"/>
  <c r="G54" i="1"/>
  <c r="I54" i="1"/>
  <c r="K54" i="1"/>
  <c r="E55" i="1"/>
  <c r="G55" i="1"/>
  <c r="I55" i="1"/>
  <c r="K55" i="1"/>
  <c r="E56" i="1"/>
  <c r="G56" i="1"/>
  <c r="I56" i="1"/>
  <c r="K56" i="1"/>
  <c r="E57" i="1"/>
  <c r="G57" i="1"/>
  <c r="I57" i="1"/>
  <c r="K57" i="1"/>
  <c r="E58" i="1"/>
  <c r="G58" i="1"/>
  <c r="I58" i="1"/>
  <c r="K58" i="1"/>
  <c r="E59" i="1"/>
  <c r="G59" i="1"/>
  <c r="I59" i="1"/>
  <c r="K59" i="1"/>
  <c r="E60" i="1"/>
  <c r="G60" i="1"/>
  <c r="I60" i="1"/>
  <c r="K60" i="1"/>
  <c r="E61" i="1"/>
  <c r="G61" i="1"/>
  <c r="I61" i="1"/>
  <c r="K61" i="1"/>
  <c r="E62" i="1"/>
  <c r="G62" i="1"/>
  <c r="I62" i="1"/>
  <c r="K62" i="1"/>
  <c r="E63" i="1"/>
  <c r="G63" i="1"/>
  <c r="I63" i="1"/>
  <c r="K63" i="1"/>
  <c r="E64" i="1"/>
  <c r="G64" i="1"/>
  <c r="I64" i="1"/>
  <c r="K64" i="1"/>
  <c r="E65" i="1"/>
  <c r="G65" i="1"/>
  <c r="I65" i="1"/>
  <c r="K65" i="1"/>
  <c r="E66" i="1"/>
  <c r="G66" i="1"/>
  <c r="I66" i="1"/>
  <c r="K66" i="1"/>
  <c r="E67" i="1"/>
  <c r="G67" i="1"/>
  <c r="I67" i="1"/>
  <c r="K67" i="1"/>
  <c r="E68" i="1"/>
  <c r="G68" i="1"/>
  <c r="I68" i="1"/>
  <c r="K68" i="1"/>
  <c r="E69" i="1"/>
  <c r="G69" i="1"/>
  <c r="I69" i="1"/>
  <c r="K69" i="1"/>
  <c r="E70" i="1"/>
  <c r="G70" i="1"/>
  <c r="I70" i="1"/>
  <c r="K70" i="1"/>
  <c r="E71" i="1"/>
  <c r="G71" i="1"/>
  <c r="I71" i="1"/>
  <c r="K71" i="1"/>
  <c r="E72" i="1"/>
  <c r="G72" i="1"/>
  <c r="I72" i="1"/>
  <c r="K72" i="1"/>
  <c r="E73" i="1"/>
  <c r="G73" i="1"/>
  <c r="I73" i="1"/>
  <c r="K73" i="1"/>
  <c r="E74" i="1"/>
  <c r="G74" i="1"/>
  <c r="I74" i="1"/>
  <c r="K74" i="1"/>
  <c r="E75" i="1"/>
  <c r="G75" i="1"/>
  <c r="I75" i="1"/>
  <c r="K75" i="1"/>
  <c r="E76" i="1"/>
  <c r="G76" i="1"/>
  <c r="I76" i="1"/>
  <c r="K76" i="1"/>
  <c r="E77" i="1"/>
  <c r="G77" i="1"/>
  <c r="I77" i="1"/>
  <c r="K77" i="1"/>
  <c r="E78" i="1"/>
  <c r="G78" i="1"/>
  <c r="I78" i="1"/>
  <c r="K78" i="1"/>
  <c r="E79" i="1"/>
  <c r="G79" i="1"/>
  <c r="I79" i="1"/>
  <c r="K79" i="1"/>
  <c r="E80" i="1"/>
  <c r="G80" i="1"/>
  <c r="I80" i="1"/>
  <c r="K80" i="1"/>
  <c r="E81" i="1"/>
  <c r="G81" i="1"/>
  <c r="I81" i="1"/>
  <c r="K81" i="1"/>
  <c r="E82" i="1"/>
  <c r="G82" i="1"/>
  <c r="I82" i="1"/>
  <c r="K82" i="1"/>
  <c r="E83" i="1"/>
  <c r="G83" i="1"/>
  <c r="I83" i="1"/>
  <c r="K83" i="1"/>
  <c r="E84" i="1"/>
  <c r="G84" i="1"/>
  <c r="I84" i="1"/>
  <c r="K84" i="1"/>
  <c r="E85" i="1"/>
  <c r="G85" i="1"/>
  <c r="I85" i="1"/>
  <c r="K85" i="1"/>
  <c r="E86" i="1"/>
  <c r="G86" i="1"/>
  <c r="I86" i="1"/>
  <c r="K86" i="1"/>
  <c r="E87" i="1"/>
  <c r="G87" i="1"/>
  <c r="I87" i="1"/>
  <c r="K87" i="1"/>
  <c r="E88" i="1"/>
  <c r="G88" i="1"/>
  <c r="I88" i="1"/>
  <c r="K88" i="1"/>
  <c r="E89" i="1"/>
  <c r="G89" i="1"/>
  <c r="I89" i="1"/>
  <c r="K89" i="1"/>
  <c r="E90" i="1"/>
  <c r="G90" i="1"/>
  <c r="I90" i="1"/>
  <c r="K90" i="1"/>
  <c r="E91" i="1"/>
  <c r="G91" i="1"/>
  <c r="I91" i="1"/>
  <c r="K91" i="1"/>
  <c r="E92" i="1"/>
  <c r="G92" i="1"/>
  <c r="I92" i="1"/>
  <c r="K92" i="1"/>
  <c r="E93" i="1"/>
  <c r="G93" i="1"/>
  <c r="I93" i="1"/>
  <c r="K93" i="1"/>
  <c r="E94" i="1"/>
  <c r="G94" i="1"/>
  <c r="I94" i="1"/>
  <c r="K94" i="1"/>
  <c r="E95" i="1"/>
  <c r="G95" i="1"/>
  <c r="I95" i="1"/>
  <c r="K95" i="1"/>
  <c r="E96" i="1"/>
  <c r="G96" i="1"/>
  <c r="I96" i="1"/>
  <c r="K96" i="1"/>
  <c r="E97" i="1"/>
  <c r="G97" i="1"/>
  <c r="I97" i="1"/>
  <c r="K97" i="1"/>
  <c r="E98" i="1"/>
  <c r="G98" i="1"/>
  <c r="I98" i="1"/>
  <c r="K98" i="1"/>
  <c r="E99" i="1"/>
  <c r="G99" i="1"/>
  <c r="I99" i="1"/>
  <c r="K99" i="1"/>
  <c r="E100" i="1"/>
  <c r="G100" i="1"/>
  <c r="I100" i="1"/>
  <c r="K100" i="1"/>
  <c r="E101" i="1"/>
  <c r="G101" i="1"/>
  <c r="I101" i="1"/>
  <c r="K101" i="1"/>
  <c r="E102" i="1"/>
  <c r="G102" i="1"/>
  <c r="I102" i="1"/>
  <c r="K102" i="1"/>
  <c r="E103" i="1"/>
  <c r="G103" i="1"/>
  <c r="I103" i="1"/>
  <c r="K103" i="1"/>
  <c r="E104" i="1"/>
  <c r="G104" i="1"/>
  <c r="I104" i="1"/>
  <c r="K104" i="1"/>
  <c r="E105" i="1"/>
  <c r="G105" i="1"/>
  <c r="I105" i="1"/>
  <c r="K105" i="1"/>
  <c r="E106" i="1"/>
  <c r="G106" i="1"/>
  <c r="I106" i="1"/>
  <c r="K106" i="1"/>
  <c r="E107" i="1"/>
  <c r="G107" i="1"/>
  <c r="I107" i="1"/>
  <c r="K107" i="1"/>
  <c r="E108" i="1"/>
  <c r="G108" i="1"/>
  <c r="I108" i="1"/>
  <c r="K108" i="1"/>
  <c r="E109" i="1"/>
  <c r="G109" i="1"/>
  <c r="I109" i="1"/>
  <c r="K109" i="1"/>
  <c r="E110" i="1"/>
  <c r="G110" i="1"/>
  <c r="I110" i="1"/>
  <c r="K110" i="1"/>
  <c r="E111" i="1"/>
  <c r="G111" i="1"/>
  <c r="I111" i="1"/>
  <c r="K111" i="1"/>
  <c r="E112" i="1"/>
  <c r="G112" i="1"/>
  <c r="I112" i="1"/>
  <c r="K112" i="1"/>
  <c r="E113" i="1"/>
  <c r="G113" i="1"/>
  <c r="I113" i="1"/>
  <c r="K113" i="1"/>
  <c r="E114" i="1"/>
  <c r="G114" i="1"/>
  <c r="I114" i="1"/>
  <c r="K114" i="1"/>
  <c r="E115" i="1"/>
  <c r="G115" i="1"/>
  <c r="I115" i="1"/>
  <c r="K115" i="1"/>
  <c r="E116" i="1"/>
  <c r="G116" i="1"/>
  <c r="I116" i="1"/>
  <c r="K116" i="1"/>
  <c r="E117" i="1"/>
  <c r="G117" i="1"/>
  <c r="I117" i="1"/>
  <c r="K117" i="1"/>
  <c r="E118" i="1"/>
  <c r="G118" i="1"/>
  <c r="I118" i="1"/>
  <c r="K118" i="1"/>
  <c r="E119" i="1"/>
  <c r="G119" i="1"/>
  <c r="I119" i="1"/>
  <c r="K119" i="1"/>
  <c r="E120" i="1"/>
  <c r="G120" i="1"/>
  <c r="I120" i="1"/>
  <c r="K120" i="1"/>
  <c r="E121" i="1"/>
  <c r="G121" i="1"/>
  <c r="I121" i="1"/>
  <c r="K121" i="1"/>
  <c r="E122" i="1"/>
  <c r="G122" i="1"/>
  <c r="I122" i="1"/>
  <c r="K122" i="1"/>
  <c r="E123" i="1"/>
  <c r="G123" i="1"/>
  <c r="I123" i="1"/>
  <c r="K123" i="1"/>
  <c r="E124" i="1"/>
  <c r="G124" i="1"/>
  <c r="I124" i="1"/>
  <c r="K124" i="1"/>
  <c r="E125" i="1"/>
  <c r="G125" i="1"/>
  <c r="I125" i="1"/>
  <c r="K125" i="1"/>
  <c r="E126" i="1"/>
  <c r="G126" i="1"/>
  <c r="I126" i="1"/>
  <c r="K126" i="1"/>
  <c r="E127" i="1"/>
  <c r="G127" i="1"/>
  <c r="I127" i="1"/>
  <c r="K127" i="1"/>
  <c r="E128" i="1"/>
  <c r="G128" i="1"/>
  <c r="I128" i="1"/>
  <c r="K128" i="1"/>
  <c r="E129" i="1"/>
  <c r="G129" i="1"/>
  <c r="I129" i="1"/>
  <c r="K129" i="1"/>
  <c r="E130" i="1"/>
  <c r="G130" i="1"/>
  <c r="I130" i="1"/>
  <c r="K130" i="1"/>
  <c r="E131" i="1"/>
  <c r="G131" i="1"/>
  <c r="I131" i="1"/>
  <c r="K131" i="1"/>
  <c r="E132" i="1"/>
  <c r="G132" i="1"/>
  <c r="I132" i="1"/>
  <c r="K132" i="1"/>
  <c r="E133" i="1"/>
  <c r="G133" i="1"/>
  <c r="I133" i="1"/>
  <c r="K133" i="1"/>
  <c r="E134" i="1"/>
  <c r="G134" i="1"/>
  <c r="I134" i="1"/>
  <c r="K134" i="1"/>
  <c r="E135" i="1"/>
  <c r="G135" i="1"/>
  <c r="I135" i="1"/>
  <c r="K135" i="1"/>
  <c r="E136" i="1"/>
  <c r="G136" i="1"/>
  <c r="I136" i="1"/>
  <c r="K136" i="1"/>
  <c r="E137" i="1"/>
  <c r="G137" i="1"/>
  <c r="I137" i="1"/>
  <c r="K137" i="1"/>
  <c r="E138" i="1"/>
  <c r="G138" i="1"/>
  <c r="I138" i="1"/>
  <c r="K138" i="1"/>
  <c r="E139" i="1"/>
  <c r="G139" i="1"/>
  <c r="I139" i="1"/>
  <c r="K139" i="1"/>
  <c r="E140" i="1"/>
  <c r="G140" i="1"/>
  <c r="I140" i="1"/>
  <c r="K140" i="1"/>
  <c r="E141" i="1"/>
  <c r="G141" i="1"/>
  <c r="I141" i="1"/>
  <c r="K141" i="1"/>
  <c r="E142" i="1"/>
  <c r="G142" i="1"/>
  <c r="I142" i="1"/>
  <c r="K142" i="1"/>
  <c r="E143" i="1"/>
  <c r="G143" i="1"/>
  <c r="I143" i="1"/>
  <c r="K143" i="1"/>
  <c r="E144" i="1"/>
  <c r="G144" i="1"/>
  <c r="I144" i="1"/>
  <c r="K144" i="1"/>
  <c r="E145" i="1"/>
  <c r="G145" i="1"/>
  <c r="I145" i="1"/>
  <c r="K145" i="1"/>
  <c r="E146" i="1"/>
  <c r="G146" i="1"/>
  <c r="I146" i="1"/>
  <c r="K146" i="1"/>
  <c r="E147" i="1"/>
  <c r="G147" i="1"/>
  <c r="I147" i="1"/>
  <c r="K147" i="1"/>
  <c r="E148" i="1"/>
  <c r="G148" i="1"/>
  <c r="I148" i="1"/>
  <c r="K148" i="1"/>
  <c r="E149" i="1"/>
  <c r="G149" i="1"/>
  <c r="I149" i="1"/>
  <c r="K149" i="1"/>
  <c r="E150" i="1"/>
  <c r="G150" i="1"/>
  <c r="I150" i="1"/>
  <c r="K150" i="1"/>
  <c r="E151" i="1"/>
  <c r="G151" i="1"/>
  <c r="I151" i="1"/>
  <c r="K151" i="1"/>
  <c r="E152" i="1"/>
  <c r="G152" i="1"/>
  <c r="I152" i="1"/>
  <c r="K152" i="1"/>
  <c r="E153" i="1"/>
  <c r="G153" i="1"/>
  <c r="I153" i="1"/>
  <c r="K153" i="1"/>
  <c r="E154" i="1"/>
  <c r="G154" i="1"/>
  <c r="I154" i="1"/>
  <c r="K154" i="1"/>
  <c r="E155" i="1"/>
  <c r="G155" i="1"/>
  <c r="I155" i="1"/>
  <c r="K155" i="1"/>
  <c r="E156" i="1"/>
  <c r="G156" i="1"/>
  <c r="I156" i="1"/>
  <c r="K156" i="1"/>
  <c r="E157" i="1"/>
  <c r="G157" i="1"/>
  <c r="I157" i="1"/>
  <c r="K157" i="1"/>
  <c r="E158" i="1"/>
  <c r="G158" i="1"/>
  <c r="I158" i="1"/>
  <c r="K158" i="1"/>
  <c r="E159" i="1"/>
  <c r="G159" i="1"/>
  <c r="I159" i="1"/>
  <c r="K159" i="1"/>
  <c r="E160" i="1"/>
  <c r="G160" i="1"/>
  <c r="I160" i="1"/>
  <c r="K160" i="1"/>
  <c r="E161" i="1"/>
  <c r="G161" i="1"/>
  <c r="I161" i="1"/>
  <c r="K161" i="1"/>
  <c r="E162" i="1"/>
  <c r="G162" i="1"/>
  <c r="I162" i="1"/>
  <c r="K162" i="1"/>
  <c r="E163" i="1"/>
  <c r="G163" i="1"/>
  <c r="I163" i="1"/>
  <c r="K163" i="1"/>
  <c r="E164" i="1"/>
  <c r="G164" i="1"/>
  <c r="I164" i="1"/>
  <c r="K164" i="1"/>
  <c r="E165" i="1"/>
  <c r="G165" i="1"/>
  <c r="I165" i="1"/>
  <c r="K165" i="1"/>
  <c r="E166" i="1"/>
  <c r="G166" i="1"/>
  <c r="I166" i="1"/>
  <c r="K166" i="1"/>
  <c r="E167" i="1"/>
  <c r="G167" i="1"/>
  <c r="I167" i="1"/>
  <c r="K167" i="1"/>
  <c r="E168" i="1"/>
  <c r="G168" i="1"/>
  <c r="I168" i="1"/>
  <c r="K168" i="1"/>
  <c r="E169" i="1"/>
  <c r="G169" i="1"/>
  <c r="I169" i="1"/>
  <c r="K169" i="1"/>
  <c r="E170" i="1"/>
  <c r="G170" i="1"/>
  <c r="I170" i="1"/>
  <c r="K170" i="1"/>
  <c r="E171" i="1"/>
  <c r="G171" i="1"/>
  <c r="I171" i="1"/>
  <c r="K171" i="1"/>
  <c r="E172" i="1"/>
  <c r="G172" i="1"/>
  <c r="I172" i="1"/>
  <c r="K172" i="1"/>
  <c r="E173" i="1"/>
  <c r="G173" i="1"/>
  <c r="I173" i="1"/>
  <c r="K173" i="1"/>
  <c r="E174" i="1"/>
  <c r="G174" i="1"/>
  <c r="I174" i="1"/>
  <c r="K174" i="1"/>
  <c r="E175" i="1"/>
  <c r="G175" i="1"/>
  <c r="I175" i="1"/>
  <c r="K175" i="1"/>
  <c r="E176" i="1"/>
  <c r="G176" i="1"/>
  <c r="I176" i="1"/>
  <c r="K176" i="1"/>
  <c r="E177" i="1"/>
  <c r="G177" i="1"/>
  <c r="I177" i="1"/>
  <c r="K177" i="1"/>
  <c r="E178" i="1"/>
  <c r="G178" i="1"/>
  <c r="I178" i="1"/>
  <c r="K178" i="1"/>
  <c r="E179" i="1"/>
  <c r="G179" i="1"/>
  <c r="I179" i="1"/>
  <c r="K179" i="1"/>
  <c r="E180" i="1"/>
  <c r="G180" i="1"/>
  <c r="I180" i="1"/>
  <c r="K180" i="1"/>
  <c r="E181" i="1"/>
  <c r="G181" i="1"/>
  <c r="I181" i="1"/>
  <c r="K181" i="1"/>
  <c r="E182" i="1"/>
  <c r="G182" i="1"/>
  <c r="I182" i="1"/>
  <c r="K182" i="1"/>
  <c r="E183" i="1"/>
  <c r="G183" i="1"/>
  <c r="I183" i="1"/>
  <c r="K183" i="1"/>
  <c r="E184" i="1"/>
  <c r="G184" i="1"/>
  <c r="I184" i="1"/>
  <c r="K184" i="1"/>
  <c r="E185" i="1"/>
  <c r="G185" i="1"/>
  <c r="I185" i="1"/>
  <c r="K185" i="1"/>
  <c r="E186" i="1"/>
  <c r="G186" i="1"/>
  <c r="I186" i="1"/>
  <c r="K186" i="1"/>
  <c r="E187" i="1"/>
  <c r="G187" i="1"/>
  <c r="I187" i="1"/>
  <c r="K187" i="1"/>
  <c r="E188" i="1"/>
  <c r="G188" i="1"/>
  <c r="I188" i="1"/>
  <c r="K188" i="1"/>
  <c r="E189" i="1"/>
  <c r="G189" i="1"/>
  <c r="I189" i="1"/>
  <c r="K189" i="1"/>
  <c r="E190" i="1"/>
  <c r="G190" i="1"/>
  <c r="I190" i="1"/>
  <c r="K190" i="1"/>
  <c r="E191" i="1"/>
  <c r="G191" i="1"/>
  <c r="I191" i="1"/>
  <c r="K191" i="1"/>
  <c r="E192" i="1"/>
  <c r="G192" i="1"/>
  <c r="I192" i="1"/>
  <c r="K192" i="1"/>
  <c r="E193" i="1"/>
  <c r="G193" i="1"/>
  <c r="I193" i="1"/>
  <c r="K193" i="1"/>
  <c r="E194" i="1"/>
  <c r="G194" i="1"/>
  <c r="I194" i="1"/>
  <c r="K194" i="1"/>
  <c r="E195" i="1"/>
  <c r="G195" i="1"/>
  <c r="I195" i="1"/>
  <c r="K195" i="1"/>
  <c r="E196" i="1"/>
  <c r="G196" i="1"/>
  <c r="I196" i="1"/>
  <c r="K196" i="1"/>
  <c r="E197" i="1"/>
  <c r="G197" i="1"/>
  <c r="I197" i="1"/>
  <c r="K197" i="1"/>
  <c r="E198" i="1"/>
  <c r="G198" i="1"/>
  <c r="I198" i="1"/>
  <c r="K198" i="1"/>
  <c r="E199" i="1"/>
  <c r="G199" i="1"/>
  <c r="I199" i="1"/>
  <c r="K199" i="1"/>
  <c r="E200" i="1"/>
  <c r="G200" i="1"/>
  <c r="I200" i="1"/>
  <c r="K200" i="1"/>
  <c r="E201" i="1"/>
  <c r="G201" i="1"/>
  <c r="I201" i="1"/>
  <c r="K201" i="1"/>
  <c r="E202" i="1"/>
  <c r="G202" i="1"/>
  <c r="I202" i="1"/>
  <c r="K202" i="1"/>
  <c r="E203" i="1"/>
  <c r="G203" i="1"/>
  <c r="I203" i="1"/>
  <c r="K203" i="1"/>
  <c r="E204" i="1"/>
  <c r="G204" i="1"/>
  <c r="I204" i="1"/>
  <c r="K204" i="1"/>
  <c r="E205" i="1"/>
  <c r="G205" i="1"/>
  <c r="I205" i="1"/>
  <c r="K205" i="1"/>
  <c r="E206" i="1"/>
  <c r="G206" i="1"/>
  <c r="I206" i="1"/>
  <c r="K206" i="1"/>
  <c r="E207" i="1"/>
  <c r="G207" i="1"/>
  <c r="I207" i="1"/>
  <c r="K207" i="1"/>
  <c r="E208" i="1"/>
  <c r="G208" i="1"/>
  <c r="I208" i="1"/>
  <c r="K208" i="1"/>
  <c r="E209" i="1"/>
  <c r="G209" i="1"/>
  <c r="I209" i="1"/>
  <c r="K209" i="1"/>
  <c r="E210" i="1"/>
  <c r="G210" i="1"/>
  <c r="I210" i="1"/>
  <c r="K210" i="1"/>
  <c r="E211" i="1"/>
  <c r="G211" i="1"/>
  <c r="I211" i="1"/>
  <c r="K211" i="1"/>
  <c r="E212" i="1"/>
  <c r="G212" i="1"/>
  <c r="I212" i="1"/>
  <c r="K212" i="1"/>
  <c r="E213" i="1"/>
  <c r="G213" i="1"/>
  <c r="I213" i="1"/>
  <c r="K213" i="1"/>
  <c r="E214" i="1"/>
  <c r="G214" i="1"/>
  <c r="I214" i="1"/>
  <c r="K214" i="1"/>
  <c r="E215" i="1"/>
  <c r="G215" i="1"/>
  <c r="I215" i="1"/>
  <c r="K215" i="1"/>
  <c r="E216" i="1"/>
  <c r="G216" i="1"/>
  <c r="I216" i="1"/>
  <c r="K216" i="1"/>
  <c r="E217" i="1"/>
  <c r="G217" i="1"/>
  <c r="I217" i="1"/>
  <c r="K217" i="1"/>
  <c r="E218" i="1"/>
  <c r="G218" i="1"/>
  <c r="I218" i="1"/>
  <c r="K218" i="1"/>
  <c r="E219" i="1"/>
  <c r="G219" i="1"/>
  <c r="I219" i="1"/>
  <c r="K219" i="1"/>
  <c r="E220" i="1"/>
  <c r="G220" i="1"/>
  <c r="I220" i="1"/>
  <c r="K220" i="1"/>
  <c r="E221" i="1"/>
  <c r="G221" i="1"/>
  <c r="I221" i="1"/>
  <c r="K221" i="1"/>
  <c r="E222" i="1"/>
  <c r="G222" i="1"/>
  <c r="I222" i="1"/>
  <c r="K222" i="1"/>
  <c r="E223" i="1"/>
  <c r="G223" i="1"/>
  <c r="I223" i="1"/>
  <c r="K223" i="1"/>
  <c r="E224" i="1"/>
  <c r="G224" i="1"/>
  <c r="I224" i="1"/>
  <c r="K224" i="1"/>
  <c r="E225" i="1"/>
  <c r="G225" i="1"/>
  <c r="I225" i="1"/>
  <c r="K225" i="1"/>
  <c r="E226" i="1"/>
  <c r="G226" i="1"/>
  <c r="I226" i="1"/>
  <c r="K226" i="1"/>
  <c r="E227" i="1"/>
  <c r="G227" i="1"/>
  <c r="I227" i="1"/>
  <c r="K227" i="1"/>
  <c r="E228" i="1"/>
  <c r="G228" i="1"/>
  <c r="I228" i="1"/>
  <c r="K228" i="1"/>
  <c r="E229" i="1"/>
  <c r="G229" i="1"/>
  <c r="I229" i="1"/>
  <c r="K229" i="1"/>
  <c r="E230" i="1"/>
  <c r="G230" i="1"/>
  <c r="I230" i="1"/>
  <c r="K230" i="1"/>
  <c r="E231" i="1"/>
  <c r="G231" i="1"/>
  <c r="I231" i="1"/>
  <c r="K231" i="1"/>
  <c r="E232" i="1"/>
  <c r="G232" i="1"/>
  <c r="I232" i="1"/>
  <c r="K232" i="1"/>
  <c r="E233" i="1"/>
  <c r="G233" i="1"/>
  <c r="I233" i="1"/>
  <c r="K233" i="1"/>
  <c r="E234" i="1"/>
  <c r="G234" i="1"/>
  <c r="I234" i="1"/>
  <c r="K234" i="1"/>
  <c r="E235" i="1"/>
  <c r="G235" i="1"/>
  <c r="I235" i="1"/>
  <c r="K235" i="1"/>
  <c r="E236" i="1"/>
  <c r="G236" i="1"/>
  <c r="I236" i="1"/>
  <c r="K236" i="1"/>
  <c r="E237" i="1"/>
  <c r="G237" i="1"/>
  <c r="I237" i="1"/>
  <c r="K237" i="1"/>
  <c r="E238" i="1"/>
  <c r="G238" i="1"/>
  <c r="I238" i="1"/>
  <c r="K238" i="1"/>
  <c r="E239" i="1"/>
  <c r="G239" i="1"/>
  <c r="I239" i="1"/>
  <c r="K239" i="1"/>
  <c r="E240" i="1"/>
  <c r="G240" i="1"/>
  <c r="I240" i="1"/>
  <c r="K240" i="1"/>
  <c r="E241" i="1"/>
  <c r="G241" i="1"/>
  <c r="I241" i="1"/>
  <c r="K241" i="1"/>
  <c r="E242" i="1"/>
  <c r="G242" i="1"/>
  <c r="I242" i="1"/>
  <c r="K242" i="1"/>
  <c r="E243" i="1"/>
  <c r="G243" i="1"/>
  <c r="I243" i="1"/>
  <c r="K243" i="1"/>
  <c r="E244" i="1"/>
  <c r="G244" i="1"/>
  <c r="I244" i="1"/>
  <c r="K244" i="1"/>
  <c r="E245" i="1"/>
  <c r="G245" i="1"/>
  <c r="I245" i="1"/>
  <c r="K245" i="1"/>
  <c r="E246" i="1"/>
  <c r="G246" i="1"/>
  <c r="I246" i="1"/>
  <c r="K246" i="1"/>
  <c r="E247" i="1"/>
  <c r="G247" i="1"/>
  <c r="I247" i="1"/>
  <c r="K247" i="1"/>
  <c r="E248" i="1"/>
  <c r="G248" i="1"/>
  <c r="I248" i="1"/>
  <c r="K248" i="1"/>
  <c r="E249" i="1"/>
  <c r="G249" i="1"/>
  <c r="I249" i="1"/>
  <c r="K249" i="1"/>
  <c r="E250" i="1"/>
  <c r="G250" i="1"/>
  <c r="I250" i="1"/>
  <c r="K250" i="1"/>
  <c r="E251" i="1"/>
  <c r="G251" i="1"/>
  <c r="I251" i="1"/>
  <c r="K251" i="1"/>
  <c r="E252" i="1"/>
  <c r="G252" i="1"/>
  <c r="I252" i="1"/>
  <c r="K252" i="1"/>
  <c r="E253" i="1"/>
  <c r="G253" i="1"/>
  <c r="I253" i="1"/>
  <c r="K253" i="1"/>
  <c r="E254" i="1"/>
  <c r="G254" i="1"/>
  <c r="I254" i="1"/>
  <c r="K254" i="1"/>
  <c r="E255" i="1"/>
  <c r="G255" i="1"/>
  <c r="I255" i="1"/>
  <c r="K255" i="1"/>
  <c r="E256" i="1"/>
  <c r="G256" i="1"/>
  <c r="I256" i="1"/>
  <c r="K256" i="1"/>
  <c r="E257" i="1"/>
  <c r="G257" i="1"/>
  <c r="I257" i="1"/>
  <c r="K257" i="1"/>
  <c r="E258" i="1"/>
  <c r="G258" i="1"/>
  <c r="I258" i="1"/>
  <c r="K258" i="1"/>
  <c r="E259" i="1"/>
  <c r="G259" i="1"/>
  <c r="I259" i="1"/>
  <c r="K259" i="1"/>
  <c r="E260" i="1"/>
  <c r="G260" i="1"/>
  <c r="I260" i="1"/>
  <c r="K260" i="1"/>
  <c r="E261" i="1"/>
  <c r="G261" i="1"/>
  <c r="I261" i="1"/>
  <c r="K261" i="1"/>
  <c r="E262" i="1"/>
  <c r="G262" i="1"/>
  <c r="I262" i="1"/>
  <c r="K262" i="1"/>
  <c r="E263" i="1"/>
  <c r="G263" i="1"/>
  <c r="I263" i="1"/>
  <c r="K263" i="1"/>
  <c r="E264" i="1"/>
  <c r="G264" i="1"/>
  <c r="I264" i="1"/>
  <c r="K264" i="1"/>
  <c r="E265" i="1"/>
  <c r="G265" i="1"/>
  <c r="I265" i="1"/>
  <c r="K265" i="1"/>
  <c r="E266" i="1"/>
  <c r="G266" i="1"/>
  <c r="I266" i="1"/>
  <c r="K266" i="1"/>
  <c r="E267" i="1"/>
  <c r="G267" i="1"/>
  <c r="I267" i="1"/>
  <c r="K267" i="1"/>
  <c r="E268" i="1"/>
  <c r="G268" i="1"/>
  <c r="I268" i="1"/>
  <c r="K268" i="1"/>
  <c r="E269" i="1"/>
  <c r="G269" i="1"/>
  <c r="I269" i="1"/>
  <c r="K269" i="1"/>
  <c r="E270" i="1"/>
  <c r="G270" i="1"/>
  <c r="I270" i="1"/>
  <c r="K270" i="1"/>
  <c r="E271" i="1"/>
  <c r="G271" i="1"/>
  <c r="I271" i="1"/>
  <c r="K271" i="1"/>
  <c r="E272" i="1"/>
  <c r="G272" i="1"/>
  <c r="I272" i="1"/>
  <c r="K272" i="1"/>
  <c r="E273" i="1"/>
  <c r="G273" i="1"/>
  <c r="I273" i="1"/>
  <c r="K273" i="1"/>
  <c r="E274" i="1"/>
  <c r="G274" i="1"/>
  <c r="I274" i="1"/>
  <c r="K274" i="1"/>
  <c r="E275" i="1"/>
  <c r="G275" i="1"/>
  <c r="I275" i="1"/>
  <c r="K275" i="1"/>
  <c r="E276" i="1"/>
  <c r="G276" i="1"/>
  <c r="I276" i="1"/>
  <c r="K276" i="1"/>
  <c r="E277" i="1"/>
  <c r="G277" i="1"/>
  <c r="I277" i="1"/>
  <c r="K277" i="1"/>
  <c r="E278" i="1"/>
  <c r="G278" i="1"/>
  <c r="I278" i="1"/>
  <c r="K278" i="1"/>
  <c r="E279" i="1"/>
  <c r="G279" i="1"/>
  <c r="I279" i="1"/>
  <c r="K279" i="1"/>
  <c r="E280" i="1"/>
  <c r="G280" i="1"/>
  <c r="I280" i="1"/>
  <c r="K280" i="1"/>
  <c r="E281" i="1"/>
  <c r="G281" i="1"/>
  <c r="I281" i="1"/>
  <c r="K281" i="1"/>
  <c r="E282" i="1"/>
  <c r="G282" i="1"/>
  <c r="I282" i="1"/>
  <c r="K282" i="1"/>
  <c r="E283" i="1"/>
  <c r="G283" i="1"/>
  <c r="I283" i="1"/>
  <c r="K283" i="1"/>
  <c r="E284" i="1"/>
  <c r="G284" i="1"/>
  <c r="I284" i="1"/>
  <c r="K284" i="1"/>
  <c r="E285" i="1"/>
  <c r="G285" i="1"/>
  <c r="I285" i="1"/>
  <c r="K285" i="1"/>
  <c r="E286" i="1"/>
  <c r="G286" i="1"/>
  <c r="I286" i="1"/>
  <c r="K286" i="1"/>
  <c r="E287" i="1"/>
  <c r="G287" i="1"/>
  <c r="I287" i="1"/>
  <c r="K287" i="1"/>
  <c r="E288" i="1"/>
  <c r="G288" i="1"/>
  <c r="I288" i="1"/>
  <c r="K288" i="1"/>
  <c r="E289" i="1"/>
  <c r="G289" i="1"/>
  <c r="I289" i="1"/>
  <c r="K289" i="1"/>
  <c r="E290" i="1"/>
  <c r="G290" i="1"/>
  <c r="I290" i="1"/>
  <c r="K290" i="1"/>
  <c r="E291" i="1"/>
  <c r="G291" i="1"/>
  <c r="I291" i="1"/>
  <c r="K291" i="1"/>
  <c r="E292" i="1"/>
  <c r="G292" i="1"/>
  <c r="I292" i="1"/>
  <c r="K292" i="1"/>
  <c r="E293" i="1"/>
  <c r="G293" i="1"/>
  <c r="I293" i="1"/>
  <c r="K293" i="1"/>
  <c r="E294" i="1"/>
  <c r="G294" i="1"/>
  <c r="I294" i="1"/>
  <c r="K294" i="1"/>
  <c r="E295" i="1"/>
  <c r="G295" i="1"/>
  <c r="I295" i="1"/>
  <c r="K295" i="1"/>
  <c r="E296" i="1"/>
  <c r="G296" i="1"/>
  <c r="I296" i="1"/>
  <c r="K296" i="1"/>
  <c r="E297" i="1"/>
  <c r="G297" i="1"/>
  <c r="I297" i="1"/>
  <c r="K297" i="1"/>
  <c r="E298" i="1"/>
  <c r="G298" i="1"/>
  <c r="I298" i="1"/>
  <c r="K298" i="1"/>
  <c r="E299" i="1"/>
  <c r="G299" i="1"/>
  <c r="I299" i="1"/>
  <c r="K299" i="1"/>
  <c r="E300" i="1"/>
  <c r="G300" i="1"/>
  <c r="I300" i="1"/>
  <c r="K300" i="1"/>
  <c r="E301" i="1"/>
  <c r="G301" i="1"/>
  <c r="I301" i="1"/>
  <c r="K301" i="1"/>
  <c r="E302" i="1"/>
  <c r="G302" i="1"/>
  <c r="I302" i="1"/>
  <c r="K302" i="1"/>
  <c r="E303" i="1"/>
  <c r="G303" i="1"/>
  <c r="I303" i="1"/>
  <c r="K303" i="1"/>
  <c r="E304" i="1"/>
  <c r="G304" i="1"/>
  <c r="I304" i="1"/>
  <c r="K304" i="1"/>
  <c r="E305" i="1"/>
  <c r="G305" i="1"/>
  <c r="I305" i="1"/>
  <c r="K305" i="1"/>
  <c r="E306" i="1"/>
  <c r="G306" i="1"/>
  <c r="I306" i="1"/>
  <c r="K306" i="1"/>
  <c r="E307" i="1"/>
  <c r="G307" i="1"/>
  <c r="I307" i="1"/>
  <c r="K307" i="1"/>
  <c r="E308" i="1"/>
  <c r="G308" i="1"/>
  <c r="I308" i="1"/>
  <c r="K308" i="1"/>
  <c r="E309" i="1"/>
  <c r="G309" i="1"/>
  <c r="I309" i="1"/>
  <c r="K309" i="1"/>
  <c r="E310" i="1"/>
  <c r="G310" i="1"/>
  <c r="I310" i="1"/>
  <c r="K310" i="1"/>
  <c r="E311" i="1"/>
  <c r="G311" i="1"/>
  <c r="I311" i="1"/>
  <c r="K311" i="1"/>
  <c r="E312" i="1"/>
  <c r="G312" i="1"/>
  <c r="I312" i="1"/>
  <c r="K312" i="1"/>
  <c r="E313" i="1"/>
  <c r="G313" i="1"/>
  <c r="I313" i="1"/>
  <c r="K313" i="1"/>
  <c r="E314" i="1"/>
  <c r="G314" i="1"/>
  <c r="I314" i="1"/>
  <c r="K314" i="1"/>
  <c r="E315" i="1"/>
  <c r="G315" i="1"/>
  <c r="I315" i="1"/>
  <c r="K315" i="1"/>
  <c r="E316" i="1"/>
  <c r="G316" i="1"/>
  <c r="I316" i="1"/>
  <c r="K316" i="1"/>
  <c r="E317" i="1"/>
  <c r="G317" i="1"/>
  <c r="I317" i="1"/>
  <c r="K317" i="1"/>
  <c r="E318" i="1"/>
  <c r="G318" i="1"/>
  <c r="I318" i="1"/>
  <c r="K318" i="1"/>
  <c r="E319" i="1"/>
  <c r="G319" i="1"/>
  <c r="I319" i="1"/>
  <c r="K319" i="1"/>
  <c r="E320" i="1"/>
  <c r="G320" i="1"/>
  <c r="I320" i="1"/>
  <c r="K320" i="1"/>
  <c r="E321" i="1"/>
  <c r="G321" i="1"/>
  <c r="I321" i="1"/>
  <c r="K321" i="1"/>
  <c r="E322" i="1"/>
  <c r="G322" i="1"/>
  <c r="I322" i="1"/>
  <c r="K322" i="1"/>
  <c r="E323" i="1"/>
  <c r="G323" i="1"/>
  <c r="I323" i="1"/>
  <c r="K323" i="1"/>
  <c r="E324" i="1"/>
  <c r="G324" i="1"/>
  <c r="I324" i="1"/>
  <c r="K324" i="1"/>
  <c r="E325" i="1"/>
  <c r="G325" i="1"/>
  <c r="I325" i="1"/>
  <c r="K325" i="1"/>
  <c r="E326" i="1"/>
  <c r="G326" i="1"/>
  <c r="I326" i="1"/>
  <c r="K326" i="1"/>
  <c r="E327" i="1"/>
  <c r="G327" i="1"/>
  <c r="I327" i="1"/>
  <c r="K327" i="1"/>
  <c r="E328" i="1"/>
  <c r="G328" i="1"/>
  <c r="I328" i="1"/>
  <c r="K328" i="1"/>
  <c r="E329" i="1"/>
  <c r="G329" i="1"/>
  <c r="I329" i="1"/>
  <c r="K329" i="1"/>
  <c r="E330" i="1"/>
  <c r="G330" i="1"/>
  <c r="I330" i="1"/>
  <c r="K330" i="1"/>
  <c r="E331" i="1"/>
  <c r="G331" i="1"/>
  <c r="I331" i="1"/>
  <c r="K331" i="1"/>
  <c r="E332" i="1"/>
  <c r="G332" i="1"/>
  <c r="I332" i="1"/>
  <c r="K332" i="1"/>
  <c r="E333" i="1"/>
  <c r="G333" i="1"/>
  <c r="I333" i="1"/>
  <c r="K333" i="1"/>
  <c r="E334" i="1"/>
  <c r="G334" i="1"/>
  <c r="I334" i="1"/>
  <c r="K334" i="1"/>
  <c r="E335" i="1"/>
  <c r="G335" i="1"/>
  <c r="I335" i="1"/>
  <c r="K335" i="1"/>
  <c r="E336" i="1"/>
  <c r="G336" i="1"/>
  <c r="I336" i="1"/>
  <c r="K336" i="1"/>
  <c r="E337" i="1"/>
  <c r="G337" i="1"/>
  <c r="I337" i="1"/>
  <c r="K337" i="1"/>
  <c r="E338" i="1"/>
  <c r="G338" i="1"/>
  <c r="I338" i="1"/>
  <c r="K338" i="1"/>
  <c r="E339" i="1"/>
  <c r="G339" i="1"/>
  <c r="I339" i="1"/>
  <c r="K339" i="1"/>
  <c r="E340" i="1"/>
  <c r="G340" i="1"/>
  <c r="I340" i="1"/>
  <c r="K340" i="1"/>
  <c r="E341" i="1"/>
  <c r="G341" i="1"/>
  <c r="I341" i="1"/>
  <c r="K341" i="1"/>
  <c r="E342" i="1"/>
  <c r="G342" i="1"/>
  <c r="I342" i="1"/>
  <c r="K342" i="1"/>
  <c r="E343" i="1"/>
  <c r="G343" i="1"/>
  <c r="I343" i="1"/>
  <c r="K343" i="1"/>
  <c r="E344" i="1"/>
  <c r="G344" i="1"/>
  <c r="I344" i="1"/>
  <c r="K344" i="1"/>
  <c r="E345" i="1"/>
  <c r="G345" i="1"/>
  <c r="I345" i="1"/>
  <c r="K345" i="1"/>
  <c r="E346" i="1"/>
  <c r="G346" i="1"/>
  <c r="I346" i="1"/>
  <c r="K346" i="1"/>
  <c r="E347" i="1"/>
  <c r="G347" i="1"/>
  <c r="I347" i="1"/>
  <c r="K347" i="1"/>
  <c r="E348" i="1"/>
  <c r="G348" i="1"/>
  <c r="I348" i="1"/>
  <c r="K348" i="1"/>
  <c r="E349" i="1"/>
  <c r="G349" i="1"/>
  <c r="I349" i="1"/>
  <c r="K349" i="1"/>
  <c r="E350" i="1"/>
  <c r="G350" i="1"/>
  <c r="I350" i="1"/>
  <c r="K350" i="1"/>
  <c r="E351" i="1"/>
  <c r="G351" i="1"/>
  <c r="I351" i="1"/>
  <c r="K351" i="1"/>
  <c r="E352" i="1"/>
  <c r="G352" i="1"/>
  <c r="I352" i="1"/>
  <c r="K352" i="1"/>
  <c r="E353" i="1"/>
  <c r="G353" i="1"/>
  <c r="I353" i="1"/>
  <c r="K353" i="1"/>
  <c r="E354" i="1"/>
  <c r="G354" i="1"/>
  <c r="I354" i="1"/>
  <c r="K354" i="1"/>
  <c r="E355" i="1"/>
  <c r="G355" i="1"/>
  <c r="I355" i="1"/>
  <c r="K355" i="1"/>
  <c r="E356" i="1"/>
  <c r="G356" i="1"/>
  <c r="I356" i="1"/>
  <c r="K356" i="1"/>
  <c r="E357" i="1"/>
  <c r="G357" i="1"/>
  <c r="I357" i="1"/>
  <c r="K357" i="1"/>
  <c r="E358" i="1"/>
  <c r="G358" i="1"/>
  <c r="I358" i="1"/>
  <c r="K358" i="1"/>
  <c r="E359" i="1"/>
  <c r="G359" i="1"/>
  <c r="I359" i="1"/>
  <c r="K359" i="1"/>
  <c r="E360" i="1"/>
  <c r="G360" i="1"/>
  <c r="I360" i="1"/>
  <c r="K360" i="1"/>
  <c r="E361" i="1"/>
  <c r="G361" i="1"/>
  <c r="I361" i="1"/>
  <c r="K361" i="1"/>
  <c r="E362" i="1"/>
  <c r="G362" i="1"/>
  <c r="I362" i="1"/>
  <c r="K362" i="1"/>
  <c r="E363" i="1"/>
  <c r="G363" i="1"/>
  <c r="I363" i="1"/>
  <c r="K363" i="1"/>
  <c r="E364" i="1"/>
  <c r="G364" i="1"/>
  <c r="I364" i="1"/>
  <c r="K364" i="1"/>
  <c r="E365" i="1"/>
  <c r="G365" i="1"/>
  <c r="I365" i="1"/>
  <c r="K365" i="1"/>
  <c r="E366" i="1"/>
  <c r="G366" i="1"/>
  <c r="I366" i="1"/>
  <c r="K366" i="1"/>
  <c r="E367" i="1"/>
  <c r="G367" i="1"/>
  <c r="I367" i="1"/>
  <c r="K367" i="1"/>
  <c r="E368" i="1"/>
  <c r="G368" i="1"/>
  <c r="I368" i="1"/>
  <c r="K368" i="1"/>
  <c r="E369" i="1"/>
  <c r="G369" i="1"/>
  <c r="I369" i="1"/>
  <c r="K369" i="1"/>
  <c r="E370" i="1"/>
  <c r="G370" i="1"/>
  <c r="I370" i="1"/>
  <c r="K370" i="1"/>
  <c r="E371" i="1"/>
  <c r="G371" i="1"/>
  <c r="I371" i="1"/>
  <c r="K371" i="1"/>
  <c r="E372" i="1"/>
  <c r="G372" i="1"/>
  <c r="I372" i="1"/>
  <c r="K372" i="1"/>
  <c r="E373" i="1"/>
  <c r="G373" i="1"/>
  <c r="I373" i="1"/>
  <c r="K373" i="1"/>
  <c r="E374" i="1"/>
  <c r="G374" i="1"/>
  <c r="I374" i="1"/>
  <c r="K374" i="1"/>
  <c r="E375" i="1"/>
  <c r="G375" i="1"/>
  <c r="I375" i="1"/>
  <c r="K375" i="1"/>
  <c r="E376" i="1"/>
  <c r="G376" i="1"/>
  <c r="I376" i="1"/>
  <c r="K376" i="1"/>
  <c r="E377" i="1"/>
  <c r="G377" i="1"/>
  <c r="I377" i="1"/>
  <c r="K377" i="1"/>
  <c r="E378" i="1"/>
  <c r="G378" i="1"/>
  <c r="I378" i="1"/>
  <c r="K378" i="1"/>
  <c r="E379" i="1"/>
  <c r="G379" i="1"/>
  <c r="I379" i="1"/>
  <c r="K379" i="1"/>
  <c r="E380" i="1"/>
  <c r="G380" i="1"/>
  <c r="I380" i="1"/>
  <c r="K380" i="1"/>
  <c r="E381" i="1"/>
  <c r="G381" i="1"/>
  <c r="I381" i="1"/>
  <c r="K381" i="1"/>
  <c r="E382" i="1"/>
  <c r="G382" i="1"/>
  <c r="I382" i="1"/>
  <c r="K382" i="1"/>
  <c r="E383" i="1"/>
  <c r="G383" i="1"/>
  <c r="I383" i="1"/>
  <c r="K383" i="1"/>
  <c r="E384" i="1"/>
  <c r="G384" i="1"/>
  <c r="I384" i="1"/>
  <c r="K384" i="1"/>
  <c r="E385" i="1"/>
  <c r="G385" i="1"/>
  <c r="I385" i="1"/>
  <c r="K385" i="1"/>
  <c r="E386" i="1"/>
  <c r="G386" i="1"/>
  <c r="I386" i="1"/>
  <c r="K386" i="1"/>
  <c r="E387" i="1"/>
  <c r="G387" i="1"/>
  <c r="I387" i="1"/>
  <c r="K387" i="1"/>
  <c r="E388" i="1"/>
  <c r="G388" i="1"/>
  <c r="I388" i="1"/>
  <c r="K388" i="1"/>
  <c r="E389" i="1"/>
  <c r="G389" i="1"/>
  <c r="I389" i="1"/>
  <c r="K389" i="1"/>
  <c r="E390" i="1"/>
  <c r="G390" i="1"/>
  <c r="I390" i="1"/>
  <c r="K390" i="1"/>
  <c r="E391" i="1"/>
  <c r="G391" i="1"/>
  <c r="I391" i="1"/>
  <c r="K391" i="1"/>
  <c r="E392" i="1"/>
  <c r="G392" i="1"/>
  <c r="I392" i="1"/>
  <c r="K392" i="1"/>
  <c r="E393" i="1"/>
  <c r="G393" i="1"/>
  <c r="I393" i="1"/>
  <c r="K393" i="1"/>
  <c r="E394" i="1"/>
  <c r="G394" i="1"/>
  <c r="I394" i="1"/>
  <c r="K394" i="1"/>
  <c r="E395" i="1"/>
  <c r="G395" i="1"/>
  <c r="I395" i="1"/>
  <c r="K395" i="1"/>
  <c r="E396" i="1"/>
  <c r="G396" i="1"/>
  <c r="I396" i="1"/>
  <c r="K396" i="1"/>
  <c r="E397" i="1"/>
  <c r="G397" i="1"/>
  <c r="I397" i="1"/>
  <c r="K397" i="1"/>
  <c r="E398" i="1"/>
  <c r="G398" i="1"/>
  <c r="I398" i="1"/>
  <c r="K398" i="1"/>
  <c r="E399" i="1"/>
  <c r="G399" i="1"/>
  <c r="I399" i="1"/>
  <c r="K399" i="1"/>
  <c r="E400" i="1"/>
  <c r="G400" i="1"/>
  <c r="I400" i="1"/>
  <c r="K400" i="1"/>
  <c r="E401" i="1"/>
  <c r="G401" i="1"/>
  <c r="I401" i="1"/>
  <c r="K401" i="1"/>
  <c r="E402" i="1"/>
  <c r="G402" i="1"/>
  <c r="I402" i="1"/>
  <c r="K402" i="1"/>
  <c r="E403" i="1"/>
  <c r="G403" i="1"/>
  <c r="I403" i="1"/>
  <c r="K403" i="1"/>
  <c r="E404" i="1"/>
  <c r="G404" i="1"/>
  <c r="I404" i="1"/>
  <c r="K404" i="1"/>
  <c r="E405" i="1"/>
  <c r="G405" i="1"/>
  <c r="I405" i="1"/>
  <c r="K405" i="1"/>
  <c r="E406" i="1"/>
  <c r="G406" i="1"/>
  <c r="I406" i="1"/>
  <c r="K406" i="1"/>
  <c r="E407" i="1"/>
  <c r="G407" i="1"/>
  <c r="I407" i="1"/>
  <c r="K407" i="1"/>
  <c r="E408" i="1"/>
  <c r="G408" i="1"/>
  <c r="I408" i="1"/>
  <c r="K408" i="1"/>
  <c r="E409" i="1"/>
  <c r="G409" i="1"/>
  <c r="I409" i="1"/>
  <c r="K409" i="1"/>
  <c r="E410" i="1"/>
  <c r="G410" i="1"/>
  <c r="I410" i="1"/>
  <c r="K410" i="1"/>
  <c r="E411" i="1"/>
  <c r="G411" i="1"/>
  <c r="I411" i="1"/>
  <c r="K411" i="1"/>
  <c r="E412" i="1"/>
  <c r="G412" i="1"/>
  <c r="I412" i="1"/>
  <c r="K412" i="1"/>
  <c r="E413" i="1"/>
  <c r="G413" i="1"/>
  <c r="I413" i="1"/>
  <c r="K413" i="1"/>
  <c r="E414" i="1"/>
  <c r="G414" i="1"/>
  <c r="I414" i="1"/>
  <c r="K414" i="1"/>
  <c r="E415" i="1"/>
  <c r="G415" i="1"/>
  <c r="I415" i="1"/>
  <c r="K415" i="1"/>
  <c r="E416" i="1"/>
  <c r="G416" i="1"/>
  <c r="I416" i="1"/>
  <c r="K416" i="1"/>
  <c r="E417" i="1"/>
  <c r="G417" i="1"/>
  <c r="I417" i="1"/>
  <c r="K417" i="1"/>
  <c r="E418" i="1"/>
  <c r="G418" i="1"/>
  <c r="I418" i="1"/>
  <c r="K418" i="1"/>
  <c r="E419" i="1"/>
  <c r="G419" i="1"/>
  <c r="I419" i="1"/>
  <c r="K419" i="1"/>
  <c r="E420" i="1"/>
  <c r="G420" i="1"/>
  <c r="I420" i="1"/>
  <c r="K420" i="1"/>
  <c r="E421" i="1"/>
  <c r="G421" i="1"/>
  <c r="I421" i="1"/>
  <c r="K421" i="1"/>
  <c r="E422" i="1"/>
  <c r="G422" i="1"/>
  <c r="I422" i="1"/>
  <c r="K422" i="1"/>
  <c r="E423" i="1"/>
  <c r="G423" i="1"/>
  <c r="I423" i="1"/>
  <c r="K423" i="1"/>
  <c r="E424" i="1"/>
  <c r="G424" i="1"/>
  <c r="I424" i="1"/>
  <c r="K424" i="1"/>
  <c r="E425" i="1"/>
  <c r="G425" i="1"/>
  <c r="I425" i="1"/>
  <c r="K425" i="1"/>
  <c r="E426" i="1"/>
  <c r="G426" i="1"/>
  <c r="I426" i="1"/>
  <c r="K426" i="1"/>
  <c r="E427" i="1"/>
  <c r="G427" i="1"/>
  <c r="I427" i="1"/>
  <c r="K427" i="1"/>
  <c r="E428" i="1"/>
  <c r="G428" i="1"/>
  <c r="I428" i="1"/>
  <c r="K428" i="1"/>
  <c r="E429" i="1"/>
  <c r="G429" i="1"/>
  <c r="I429" i="1"/>
  <c r="K429" i="1"/>
  <c r="E430" i="1"/>
  <c r="G430" i="1"/>
  <c r="I430" i="1"/>
  <c r="K430" i="1"/>
  <c r="E431" i="1"/>
  <c r="G431" i="1"/>
  <c r="I431" i="1"/>
  <c r="K431" i="1"/>
  <c r="E432" i="1"/>
  <c r="G432" i="1"/>
  <c r="I432" i="1"/>
  <c r="K432" i="1"/>
  <c r="E433" i="1"/>
  <c r="G433" i="1"/>
  <c r="I433" i="1"/>
  <c r="K433" i="1"/>
  <c r="E434" i="1"/>
  <c r="G434" i="1"/>
  <c r="I434" i="1"/>
  <c r="K434" i="1"/>
  <c r="E435" i="1"/>
  <c r="G435" i="1"/>
  <c r="I435" i="1"/>
  <c r="K435" i="1"/>
  <c r="E436" i="1"/>
  <c r="G436" i="1"/>
  <c r="I436" i="1"/>
  <c r="K436" i="1"/>
  <c r="E437" i="1"/>
  <c r="G437" i="1"/>
  <c r="I437" i="1"/>
  <c r="K437" i="1"/>
  <c r="E438" i="1"/>
  <c r="G438" i="1"/>
  <c r="I438" i="1"/>
  <c r="K438" i="1"/>
  <c r="E439" i="1"/>
  <c r="G439" i="1"/>
  <c r="I439" i="1"/>
  <c r="K439" i="1"/>
  <c r="E440" i="1"/>
  <c r="G440" i="1"/>
  <c r="I440" i="1"/>
  <c r="K440" i="1"/>
  <c r="E441" i="1"/>
  <c r="G441" i="1"/>
  <c r="I441" i="1"/>
  <c r="K441" i="1"/>
  <c r="E442" i="1"/>
  <c r="G442" i="1"/>
  <c r="I442" i="1"/>
  <c r="K442" i="1"/>
  <c r="E443" i="1"/>
  <c r="G443" i="1"/>
  <c r="I443" i="1"/>
  <c r="K443" i="1"/>
  <c r="E444" i="1"/>
  <c r="G444" i="1"/>
  <c r="I444" i="1"/>
  <c r="K444" i="1"/>
  <c r="E445" i="1"/>
  <c r="G445" i="1"/>
  <c r="I445" i="1"/>
  <c r="K445" i="1"/>
  <c r="E446" i="1"/>
  <c r="G446" i="1"/>
  <c r="I446" i="1"/>
  <c r="K446" i="1"/>
  <c r="E447" i="1"/>
  <c r="G447" i="1"/>
  <c r="I447" i="1"/>
  <c r="K447" i="1"/>
  <c r="E448" i="1"/>
  <c r="G448" i="1"/>
  <c r="I448" i="1"/>
  <c r="K448" i="1"/>
  <c r="E449" i="1"/>
  <c r="G449" i="1"/>
  <c r="I449" i="1"/>
  <c r="K449" i="1"/>
  <c r="E450" i="1"/>
  <c r="G450" i="1"/>
  <c r="I450" i="1"/>
  <c r="K450" i="1"/>
  <c r="E451" i="1"/>
  <c r="G451" i="1"/>
  <c r="I451" i="1"/>
  <c r="K451" i="1"/>
  <c r="E452" i="1"/>
  <c r="G452" i="1"/>
  <c r="I452" i="1"/>
  <c r="K452" i="1"/>
  <c r="E453" i="1"/>
  <c r="G453" i="1"/>
  <c r="I453" i="1"/>
  <c r="K453" i="1"/>
  <c r="E454" i="1"/>
  <c r="G454" i="1"/>
  <c r="I454" i="1"/>
  <c r="K454" i="1"/>
  <c r="E455" i="1"/>
  <c r="G455" i="1"/>
  <c r="I455" i="1"/>
  <c r="K455" i="1"/>
  <c r="E456" i="1"/>
  <c r="G456" i="1"/>
  <c r="I456" i="1"/>
  <c r="K456" i="1"/>
  <c r="E457" i="1"/>
  <c r="G457" i="1"/>
  <c r="I457" i="1"/>
  <c r="K457" i="1"/>
  <c r="E458" i="1"/>
  <c r="G458" i="1"/>
  <c r="I458" i="1"/>
  <c r="K458" i="1"/>
  <c r="E459" i="1"/>
  <c r="G459" i="1"/>
  <c r="I459" i="1"/>
  <c r="K459" i="1"/>
  <c r="E460" i="1"/>
  <c r="G460" i="1"/>
  <c r="I460" i="1"/>
  <c r="K460" i="1"/>
  <c r="E461" i="1"/>
  <c r="G461" i="1"/>
  <c r="I461" i="1"/>
  <c r="K461" i="1"/>
  <c r="E462" i="1"/>
  <c r="G462" i="1"/>
  <c r="I462" i="1"/>
  <c r="K462" i="1"/>
  <c r="E463" i="1"/>
  <c r="G463" i="1"/>
  <c r="I463" i="1"/>
  <c r="K463" i="1"/>
  <c r="E464" i="1"/>
  <c r="G464" i="1"/>
  <c r="I464" i="1"/>
  <c r="K464" i="1"/>
  <c r="E465" i="1"/>
  <c r="G465" i="1"/>
  <c r="I465" i="1"/>
  <c r="K465" i="1"/>
  <c r="E466" i="1"/>
  <c r="G466" i="1"/>
  <c r="I466" i="1"/>
  <c r="K466" i="1"/>
  <c r="E467" i="1"/>
  <c r="G467" i="1"/>
  <c r="I467" i="1"/>
  <c r="K467" i="1"/>
  <c r="E468" i="1"/>
  <c r="G468" i="1"/>
  <c r="I468" i="1"/>
  <c r="K468" i="1"/>
  <c r="E469" i="1"/>
  <c r="G469" i="1"/>
  <c r="I469" i="1"/>
  <c r="K469" i="1"/>
  <c r="E470" i="1"/>
  <c r="G470" i="1"/>
  <c r="I470" i="1"/>
  <c r="K470" i="1"/>
  <c r="E471" i="1"/>
  <c r="G471" i="1"/>
  <c r="I471" i="1"/>
  <c r="K471" i="1"/>
  <c r="E472" i="1"/>
  <c r="G472" i="1"/>
  <c r="I472" i="1"/>
  <c r="K472" i="1"/>
  <c r="E473" i="1"/>
  <c r="G473" i="1"/>
  <c r="I473" i="1"/>
  <c r="K473" i="1"/>
  <c r="E474" i="1"/>
  <c r="G474" i="1"/>
  <c r="I474" i="1"/>
  <c r="K474" i="1"/>
  <c r="E475" i="1"/>
  <c r="G475" i="1"/>
  <c r="I475" i="1"/>
  <c r="K475" i="1"/>
  <c r="E476" i="1"/>
  <c r="G476" i="1"/>
  <c r="I476" i="1"/>
  <c r="K476" i="1"/>
  <c r="E477" i="1"/>
  <c r="G477" i="1"/>
  <c r="I477" i="1"/>
  <c r="K477" i="1"/>
  <c r="E478" i="1"/>
  <c r="G478" i="1"/>
  <c r="I478" i="1"/>
  <c r="K478" i="1"/>
  <c r="E479" i="1"/>
  <c r="G479" i="1"/>
  <c r="I479" i="1"/>
  <c r="K479" i="1"/>
  <c r="E480" i="1"/>
  <c r="G480" i="1"/>
  <c r="I480" i="1"/>
  <c r="K480" i="1"/>
  <c r="E481" i="1"/>
  <c r="G481" i="1"/>
  <c r="I481" i="1"/>
  <c r="K481" i="1"/>
  <c r="E482" i="1"/>
  <c r="G482" i="1"/>
  <c r="I482" i="1"/>
  <c r="K482" i="1"/>
  <c r="E483" i="1"/>
  <c r="G483" i="1"/>
  <c r="I483" i="1"/>
  <c r="K483" i="1"/>
  <c r="E484" i="1"/>
  <c r="G484" i="1"/>
  <c r="I484" i="1"/>
  <c r="K484" i="1"/>
  <c r="E485" i="1"/>
  <c r="G485" i="1"/>
  <c r="I485" i="1"/>
  <c r="K485" i="1"/>
  <c r="E486" i="1"/>
  <c r="G486" i="1"/>
  <c r="I486" i="1"/>
  <c r="K486" i="1"/>
  <c r="E487" i="1"/>
  <c r="G487" i="1"/>
  <c r="I487" i="1"/>
  <c r="K487" i="1"/>
  <c r="E488" i="1"/>
  <c r="G488" i="1"/>
  <c r="I488" i="1"/>
  <c r="K488" i="1"/>
  <c r="E489" i="1"/>
  <c r="G489" i="1"/>
  <c r="I489" i="1"/>
  <c r="K489" i="1"/>
  <c r="E490" i="1"/>
  <c r="G490" i="1"/>
  <c r="I490" i="1"/>
  <c r="K490" i="1"/>
  <c r="E491" i="1"/>
  <c r="G491" i="1"/>
  <c r="I491" i="1"/>
  <c r="K491" i="1"/>
  <c r="E492" i="1"/>
  <c r="G492" i="1"/>
  <c r="I492" i="1"/>
  <c r="K492" i="1"/>
  <c r="E493" i="1"/>
  <c r="G493" i="1"/>
  <c r="I493" i="1"/>
  <c r="K493" i="1"/>
  <c r="E494" i="1"/>
  <c r="G494" i="1"/>
  <c r="I494" i="1"/>
  <c r="K494" i="1"/>
  <c r="E495" i="1"/>
  <c r="G495" i="1"/>
  <c r="I495" i="1"/>
  <c r="K495" i="1"/>
  <c r="E496" i="1"/>
  <c r="G496" i="1"/>
  <c r="I496" i="1"/>
  <c r="K496" i="1"/>
  <c r="E497" i="1"/>
  <c r="G497" i="1"/>
  <c r="I497" i="1"/>
  <c r="K497" i="1"/>
  <c r="E498" i="1"/>
  <c r="G498" i="1"/>
  <c r="I498" i="1"/>
  <c r="K498" i="1"/>
  <c r="E499" i="1"/>
  <c r="G499" i="1"/>
  <c r="I499" i="1"/>
  <c r="K499" i="1"/>
  <c r="E500" i="1"/>
  <c r="G500" i="1"/>
  <c r="I500" i="1"/>
  <c r="K500" i="1"/>
  <c r="E501" i="1"/>
  <c r="G501" i="1"/>
  <c r="I501" i="1"/>
  <c r="K501" i="1"/>
  <c r="E502" i="1"/>
  <c r="G502" i="1"/>
  <c r="I502" i="1"/>
  <c r="K502" i="1"/>
  <c r="E503" i="1"/>
  <c r="G503" i="1"/>
  <c r="I503" i="1"/>
  <c r="K503" i="1"/>
  <c r="E504" i="1"/>
  <c r="G504" i="1"/>
  <c r="I504" i="1"/>
  <c r="K504" i="1"/>
  <c r="E505" i="1"/>
  <c r="G505" i="1"/>
  <c r="I505" i="1"/>
  <c r="K505" i="1"/>
  <c r="E506" i="1"/>
  <c r="G506" i="1"/>
  <c r="I506" i="1"/>
  <c r="K506" i="1"/>
  <c r="E507" i="1"/>
  <c r="G507" i="1"/>
  <c r="I507" i="1"/>
  <c r="K507" i="1"/>
  <c r="E508" i="1"/>
  <c r="G508" i="1"/>
  <c r="I508" i="1"/>
  <c r="K508" i="1"/>
  <c r="E509" i="1"/>
  <c r="G509" i="1"/>
  <c r="I509" i="1"/>
  <c r="K509" i="1"/>
  <c r="E510" i="1"/>
  <c r="G510" i="1"/>
  <c r="I510" i="1"/>
  <c r="K510" i="1"/>
  <c r="E511" i="1"/>
  <c r="G511" i="1"/>
  <c r="I511" i="1"/>
  <c r="K511" i="1"/>
  <c r="E512" i="1"/>
  <c r="G512" i="1"/>
  <c r="I512" i="1"/>
  <c r="K512" i="1"/>
  <c r="E513" i="1"/>
  <c r="G513" i="1"/>
  <c r="I513" i="1"/>
  <c r="K513" i="1"/>
  <c r="E514" i="1"/>
  <c r="G514" i="1"/>
  <c r="I514" i="1"/>
  <c r="K514" i="1"/>
  <c r="E515" i="1"/>
  <c r="G515" i="1"/>
  <c r="I515" i="1"/>
  <c r="K515" i="1"/>
  <c r="E516" i="1"/>
  <c r="G516" i="1"/>
  <c r="I516" i="1"/>
  <c r="K516" i="1"/>
  <c r="E517" i="1"/>
  <c r="G517" i="1"/>
  <c r="I517" i="1"/>
  <c r="K517" i="1"/>
  <c r="E518" i="1"/>
  <c r="G518" i="1"/>
  <c r="I518" i="1"/>
  <c r="K518" i="1"/>
  <c r="E519" i="1"/>
  <c r="G519" i="1"/>
  <c r="I519" i="1"/>
  <c r="K519" i="1"/>
  <c r="E520" i="1"/>
  <c r="G520" i="1"/>
  <c r="I520" i="1"/>
  <c r="K520" i="1"/>
  <c r="E521" i="1"/>
  <c r="G521" i="1"/>
  <c r="I521" i="1"/>
  <c r="K521" i="1"/>
  <c r="E522" i="1"/>
  <c r="G522" i="1"/>
  <c r="I522" i="1"/>
  <c r="K522" i="1"/>
  <c r="E523" i="1"/>
  <c r="G523" i="1"/>
  <c r="I523" i="1"/>
  <c r="K523" i="1"/>
  <c r="E524" i="1"/>
  <c r="G524" i="1"/>
  <c r="I524" i="1"/>
  <c r="K524" i="1"/>
  <c r="E525" i="1"/>
  <c r="G525" i="1"/>
  <c r="I525" i="1"/>
  <c r="K525" i="1"/>
  <c r="E526" i="1"/>
  <c r="G526" i="1"/>
  <c r="I526" i="1"/>
  <c r="K526" i="1"/>
  <c r="E527" i="1"/>
  <c r="G527" i="1"/>
  <c r="I527" i="1"/>
  <c r="K527" i="1"/>
  <c r="E528" i="1"/>
  <c r="G528" i="1"/>
  <c r="I528" i="1"/>
  <c r="K528" i="1"/>
  <c r="E529" i="1"/>
  <c r="G529" i="1"/>
  <c r="I529" i="1"/>
  <c r="K529" i="1"/>
  <c r="E530" i="1"/>
  <c r="G530" i="1"/>
  <c r="I530" i="1"/>
  <c r="K530" i="1"/>
  <c r="E531" i="1"/>
  <c r="G531" i="1"/>
  <c r="I531" i="1"/>
  <c r="K531" i="1"/>
  <c r="E532" i="1"/>
  <c r="G532" i="1"/>
  <c r="I532" i="1"/>
  <c r="K532" i="1"/>
  <c r="E533" i="1"/>
  <c r="G533" i="1"/>
  <c r="I533" i="1"/>
  <c r="K533" i="1"/>
  <c r="E534" i="1"/>
  <c r="G534" i="1"/>
  <c r="I534" i="1"/>
  <c r="K534" i="1"/>
  <c r="E535" i="1"/>
  <c r="G535" i="1"/>
  <c r="I535" i="1"/>
  <c r="K535" i="1"/>
  <c r="E536" i="1"/>
  <c r="G536" i="1"/>
  <c r="I536" i="1"/>
  <c r="K536" i="1"/>
  <c r="E537" i="1"/>
  <c r="G537" i="1"/>
  <c r="I537" i="1"/>
  <c r="K537" i="1"/>
  <c r="E538" i="1"/>
  <c r="G538" i="1"/>
  <c r="I538" i="1"/>
  <c r="K538" i="1"/>
  <c r="E539" i="1"/>
  <c r="G539" i="1"/>
  <c r="I539" i="1"/>
  <c r="K539" i="1"/>
  <c r="E540" i="1"/>
  <c r="G540" i="1"/>
  <c r="I540" i="1"/>
  <c r="K540" i="1"/>
  <c r="E541" i="1"/>
  <c r="G541" i="1"/>
  <c r="I541" i="1"/>
  <c r="K541" i="1"/>
  <c r="E542" i="1"/>
  <c r="G542" i="1"/>
  <c r="I542" i="1"/>
  <c r="K542" i="1"/>
  <c r="E543" i="1"/>
  <c r="G543" i="1"/>
  <c r="I543" i="1"/>
  <c r="K543" i="1"/>
  <c r="E544" i="1"/>
  <c r="G544" i="1"/>
  <c r="I544" i="1"/>
  <c r="K544" i="1"/>
  <c r="E545" i="1"/>
  <c r="G545" i="1"/>
  <c r="I545" i="1"/>
  <c r="K545" i="1"/>
  <c r="E546" i="1"/>
  <c r="G546" i="1"/>
  <c r="I546" i="1"/>
  <c r="K546" i="1"/>
  <c r="E547" i="1"/>
  <c r="G547" i="1"/>
  <c r="I547" i="1"/>
  <c r="K547" i="1"/>
  <c r="E548" i="1"/>
  <c r="G548" i="1"/>
  <c r="I548" i="1"/>
  <c r="K548" i="1"/>
  <c r="E549" i="1"/>
  <c r="G549" i="1"/>
  <c r="I549" i="1"/>
  <c r="K549" i="1"/>
  <c r="E550" i="1"/>
  <c r="G550" i="1"/>
  <c r="I550" i="1"/>
  <c r="K550" i="1"/>
  <c r="E551" i="1"/>
  <c r="G551" i="1"/>
  <c r="I551" i="1"/>
  <c r="K551" i="1"/>
  <c r="E552" i="1"/>
  <c r="G552" i="1"/>
  <c r="I552" i="1"/>
  <c r="K552" i="1"/>
  <c r="E553" i="1"/>
  <c r="G553" i="1"/>
  <c r="I553" i="1"/>
  <c r="K553" i="1"/>
  <c r="E554" i="1"/>
  <c r="G554" i="1"/>
  <c r="I554" i="1"/>
  <c r="K554" i="1"/>
  <c r="E555" i="1"/>
  <c r="G555" i="1"/>
  <c r="I555" i="1"/>
  <c r="K555" i="1"/>
  <c r="E556" i="1"/>
  <c r="G556" i="1"/>
  <c r="I556" i="1"/>
  <c r="K556" i="1"/>
  <c r="E557" i="1"/>
  <c r="G557" i="1"/>
  <c r="I557" i="1"/>
  <c r="K557" i="1"/>
  <c r="E558" i="1"/>
  <c r="G558" i="1"/>
  <c r="I558" i="1"/>
  <c r="K558" i="1"/>
  <c r="E559" i="1"/>
  <c r="G559" i="1"/>
  <c r="I559" i="1"/>
  <c r="K559" i="1"/>
  <c r="E560" i="1"/>
  <c r="G560" i="1"/>
  <c r="I560" i="1"/>
  <c r="K560" i="1"/>
  <c r="E561" i="1"/>
  <c r="G561" i="1"/>
  <c r="I561" i="1"/>
  <c r="K561" i="1"/>
  <c r="E562" i="1"/>
  <c r="G562" i="1"/>
  <c r="I562" i="1"/>
  <c r="K562" i="1"/>
  <c r="E563" i="1"/>
  <c r="G563" i="1"/>
  <c r="I563" i="1"/>
  <c r="K563" i="1"/>
  <c r="E564" i="1"/>
  <c r="G564" i="1"/>
  <c r="I564" i="1"/>
  <c r="K564" i="1"/>
  <c r="E565" i="1"/>
  <c r="G565" i="1"/>
  <c r="I565" i="1"/>
  <c r="K565" i="1"/>
  <c r="E566" i="1"/>
  <c r="G566" i="1"/>
  <c r="I566" i="1"/>
  <c r="K566" i="1"/>
  <c r="E567" i="1"/>
  <c r="G567" i="1"/>
  <c r="I567" i="1"/>
  <c r="K567" i="1"/>
  <c r="E568" i="1"/>
  <c r="G568" i="1"/>
  <c r="I568" i="1"/>
  <c r="K568" i="1"/>
  <c r="E569" i="1"/>
  <c r="G569" i="1"/>
  <c r="I569" i="1"/>
  <c r="K569" i="1"/>
  <c r="E570" i="1"/>
  <c r="G570" i="1"/>
  <c r="I570" i="1"/>
  <c r="K570" i="1"/>
  <c r="E571" i="1"/>
  <c r="G571" i="1"/>
  <c r="I571" i="1"/>
  <c r="K571" i="1"/>
  <c r="E572" i="1"/>
  <c r="G572" i="1"/>
  <c r="I572" i="1"/>
  <c r="K572" i="1"/>
  <c r="E573" i="1"/>
  <c r="G573" i="1"/>
  <c r="I573" i="1"/>
  <c r="K573" i="1"/>
  <c r="E574" i="1"/>
  <c r="G574" i="1"/>
  <c r="I574" i="1"/>
  <c r="K574" i="1"/>
  <c r="E575" i="1"/>
  <c r="G575" i="1"/>
  <c r="I575" i="1"/>
  <c r="K575" i="1"/>
  <c r="E576" i="1"/>
  <c r="G576" i="1"/>
  <c r="I576" i="1"/>
  <c r="K576" i="1"/>
  <c r="E577" i="1"/>
  <c r="G577" i="1"/>
  <c r="I577" i="1"/>
  <c r="K577" i="1"/>
  <c r="E578" i="1"/>
  <c r="G578" i="1"/>
  <c r="I578" i="1"/>
  <c r="K578" i="1"/>
  <c r="E579" i="1"/>
  <c r="G579" i="1"/>
  <c r="I579" i="1"/>
  <c r="K579" i="1"/>
  <c r="E580" i="1"/>
  <c r="G580" i="1"/>
  <c r="I580" i="1"/>
  <c r="K580" i="1"/>
  <c r="E581" i="1"/>
  <c r="G581" i="1"/>
  <c r="I581" i="1"/>
  <c r="K581" i="1"/>
  <c r="E582" i="1"/>
  <c r="G582" i="1"/>
  <c r="I582" i="1"/>
  <c r="K582" i="1"/>
  <c r="E583" i="1"/>
  <c r="G583" i="1"/>
  <c r="I583" i="1"/>
  <c r="K583" i="1"/>
  <c r="E584" i="1"/>
  <c r="G584" i="1"/>
  <c r="I584" i="1"/>
  <c r="K584" i="1"/>
  <c r="E585" i="1"/>
  <c r="G585" i="1"/>
  <c r="I585" i="1"/>
  <c r="K585" i="1"/>
  <c r="E586" i="1"/>
  <c r="G586" i="1"/>
  <c r="I586" i="1"/>
  <c r="K586" i="1"/>
  <c r="E587" i="1"/>
  <c r="G587" i="1"/>
  <c r="I587" i="1"/>
  <c r="K587" i="1"/>
  <c r="E588" i="1"/>
  <c r="G588" i="1"/>
  <c r="I588" i="1"/>
  <c r="K588" i="1"/>
  <c r="E589" i="1"/>
  <c r="G589" i="1"/>
  <c r="I589" i="1"/>
  <c r="K589" i="1"/>
  <c r="E590" i="1"/>
  <c r="G590" i="1"/>
  <c r="I590" i="1"/>
  <c r="K590" i="1"/>
  <c r="E591" i="1"/>
  <c r="G591" i="1"/>
  <c r="I591" i="1"/>
  <c r="K591" i="1"/>
  <c r="E592" i="1"/>
  <c r="G592" i="1"/>
  <c r="I592" i="1"/>
  <c r="K592" i="1"/>
  <c r="E593" i="1"/>
  <c r="G593" i="1"/>
  <c r="I593" i="1"/>
  <c r="K593" i="1"/>
  <c r="E594" i="1"/>
  <c r="G594" i="1"/>
  <c r="I594" i="1"/>
  <c r="K594" i="1"/>
  <c r="E595" i="1"/>
  <c r="G595" i="1"/>
  <c r="I595" i="1"/>
  <c r="K595" i="1"/>
  <c r="E596" i="1"/>
  <c r="G596" i="1"/>
  <c r="I596" i="1"/>
  <c r="K596" i="1"/>
  <c r="E597" i="1"/>
  <c r="G597" i="1"/>
  <c r="I597" i="1"/>
  <c r="K597" i="1"/>
  <c r="E598" i="1"/>
  <c r="G598" i="1"/>
  <c r="I598" i="1"/>
  <c r="K598" i="1"/>
  <c r="E599" i="1"/>
  <c r="G599" i="1"/>
  <c r="I599" i="1"/>
  <c r="K599" i="1"/>
  <c r="E600" i="1"/>
  <c r="G600" i="1"/>
  <c r="I600" i="1"/>
  <c r="K600" i="1"/>
  <c r="E601" i="1"/>
  <c r="G601" i="1"/>
  <c r="I601" i="1"/>
  <c r="K601" i="1"/>
  <c r="E602" i="1"/>
  <c r="G602" i="1"/>
  <c r="I602" i="1"/>
  <c r="K602" i="1"/>
  <c r="E603" i="1"/>
  <c r="G603" i="1"/>
  <c r="I603" i="1"/>
  <c r="K603" i="1"/>
  <c r="E604" i="1"/>
  <c r="G604" i="1"/>
  <c r="I604" i="1"/>
  <c r="K604" i="1"/>
  <c r="E605" i="1"/>
  <c r="G605" i="1"/>
  <c r="I605" i="1"/>
  <c r="K605" i="1"/>
  <c r="E606" i="1"/>
  <c r="G606" i="1"/>
  <c r="I606" i="1"/>
  <c r="K606" i="1"/>
  <c r="E607" i="1"/>
  <c r="G607" i="1"/>
  <c r="I607" i="1"/>
  <c r="K607" i="1"/>
  <c r="E608" i="1"/>
  <c r="G608" i="1"/>
  <c r="I608" i="1"/>
  <c r="K608" i="1"/>
  <c r="E609" i="1"/>
  <c r="G609" i="1"/>
  <c r="I609" i="1"/>
  <c r="K609" i="1"/>
  <c r="E610" i="1"/>
  <c r="G610" i="1"/>
  <c r="I610" i="1"/>
  <c r="K610" i="1"/>
  <c r="E611" i="1"/>
  <c r="G611" i="1"/>
  <c r="I611" i="1"/>
  <c r="K611" i="1"/>
  <c r="E612" i="1"/>
  <c r="G612" i="1"/>
  <c r="I612" i="1"/>
  <c r="K612" i="1"/>
  <c r="E613" i="1"/>
  <c r="G613" i="1"/>
  <c r="I613" i="1"/>
  <c r="K613" i="1"/>
  <c r="E614" i="1"/>
  <c r="G614" i="1"/>
  <c r="I614" i="1"/>
  <c r="K614" i="1"/>
  <c r="E615" i="1"/>
  <c r="G615" i="1"/>
  <c r="I615" i="1"/>
  <c r="K615" i="1"/>
  <c r="E616" i="1"/>
  <c r="G616" i="1"/>
  <c r="I616" i="1"/>
  <c r="K616" i="1"/>
  <c r="E617" i="1"/>
  <c r="G617" i="1"/>
  <c r="I617" i="1"/>
  <c r="K617" i="1"/>
  <c r="E618" i="1"/>
  <c r="G618" i="1"/>
  <c r="I618" i="1"/>
  <c r="K618" i="1"/>
  <c r="E619" i="1"/>
  <c r="G619" i="1"/>
  <c r="I619" i="1"/>
  <c r="K619" i="1"/>
  <c r="E620" i="1"/>
  <c r="G620" i="1"/>
  <c r="I620" i="1"/>
  <c r="K620" i="1"/>
  <c r="E621" i="1"/>
  <c r="G621" i="1"/>
  <c r="I621" i="1"/>
  <c r="K621" i="1"/>
  <c r="E622" i="1"/>
  <c r="G622" i="1"/>
  <c r="I622" i="1"/>
  <c r="K622" i="1"/>
  <c r="E623" i="1"/>
  <c r="G623" i="1"/>
  <c r="I623" i="1"/>
  <c r="K623" i="1"/>
  <c r="E624" i="1"/>
  <c r="G624" i="1"/>
  <c r="I624" i="1"/>
  <c r="K624" i="1"/>
  <c r="E625" i="1"/>
  <c r="G625" i="1"/>
  <c r="I625" i="1"/>
  <c r="K625" i="1"/>
  <c r="E626" i="1"/>
  <c r="G626" i="1"/>
  <c r="I626" i="1"/>
  <c r="K626" i="1"/>
  <c r="E627" i="1"/>
  <c r="G627" i="1"/>
  <c r="I627" i="1"/>
  <c r="K627" i="1"/>
  <c r="E628" i="1"/>
  <c r="G628" i="1"/>
  <c r="I628" i="1"/>
  <c r="K628" i="1"/>
  <c r="E629" i="1"/>
  <c r="G629" i="1"/>
  <c r="I629" i="1"/>
  <c r="K629" i="1"/>
  <c r="E630" i="1"/>
  <c r="G630" i="1"/>
  <c r="I630" i="1"/>
  <c r="K630" i="1"/>
  <c r="E631" i="1"/>
  <c r="G631" i="1"/>
  <c r="I631" i="1"/>
  <c r="K631" i="1"/>
  <c r="E632" i="1"/>
  <c r="G632" i="1"/>
  <c r="I632" i="1"/>
  <c r="K632" i="1"/>
  <c r="E633" i="1"/>
  <c r="G633" i="1"/>
  <c r="I633" i="1"/>
  <c r="K633" i="1"/>
  <c r="E634" i="1"/>
  <c r="G634" i="1"/>
  <c r="I634" i="1"/>
  <c r="K634" i="1"/>
  <c r="E635" i="1"/>
  <c r="G635" i="1"/>
  <c r="I635" i="1"/>
  <c r="K635" i="1"/>
  <c r="E636" i="1"/>
  <c r="G636" i="1"/>
  <c r="I636" i="1"/>
  <c r="K636" i="1"/>
  <c r="E637" i="1"/>
  <c r="G637" i="1"/>
  <c r="I637" i="1"/>
  <c r="K637" i="1"/>
  <c r="E638" i="1"/>
  <c r="G638" i="1"/>
  <c r="I638" i="1"/>
  <c r="K638" i="1"/>
  <c r="E639" i="1"/>
  <c r="G639" i="1"/>
  <c r="I639" i="1"/>
  <c r="K639" i="1"/>
  <c r="E640" i="1"/>
  <c r="G640" i="1"/>
  <c r="I640" i="1"/>
  <c r="K640" i="1"/>
  <c r="E641" i="1"/>
  <c r="G641" i="1"/>
  <c r="I641" i="1"/>
  <c r="K641" i="1"/>
  <c r="E642" i="1"/>
  <c r="G642" i="1"/>
  <c r="I642" i="1"/>
  <c r="K642" i="1"/>
  <c r="E643" i="1"/>
  <c r="G643" i="1"/>
  <c r="I643" i="1"/>
  <c r="K643" i="1"/>
  <c r="E644" i="1"/>
  <c r="G644" i="1"/>
  <c r="I644" i="1"/>
  <c r="K644" i="1"/>
  <c r="E645" i="1"/>
  <c r="G645" i="1"/>
  <c r="I645" i="1"/>
  <c r="K645" i="1"/>
  <c r="E646" i="1"/>
  <c r="G646" i="1"/>
  <c r="I646" i="1"/>
  <c r="K646" i="1"/>
  <c r="E647" i="1"/>
  <c r="G647" i="1"/>
  <c r="I647" i="1"/>
  <c r="K647" i="1"/>
  <c r="E648" i="1"/>
  <c r="G648" i="1"/>
  <c r="I648" i="1"/>
  <c r="K648" i="1"/>
  <c r="E649" i="1"/>
  <c r="G649" i="1"/>
  <c r="I649" i="1"/>
  <c r="K649" i="1"/>
  <c r="E650" i="1"/>
  <c r="G650" i="1"/>
  <c r="I650" i="1"/>
  <c r="K650" i="1"/>
  <c r="E651" i="1"/>
  <c r="G651" i="1"/>
  <c r="I651" i="1"/>
  <c r="K651" i="1"/>
  <c r="E652" i="1"/>
  <c r="G652" i="1"/>
  <c r="I652" i="1"/>
  <c r="K652" i="1"/>
  <c r="E653" i="1"/>
  <c r="G653" i="1"/>
  <c r="I653" i="1"/>
  <c r="K653" i="1"/>
  <c r="E654" i="1"/>
  <c r="G654" i="1"/>
  <c r="I654" i="1"/>
  <c r="K654" i="1"/>
  <c r="E655" i="1"/>
  <c r="G655" i="1"/>
  <c r="I655" i="1"/>
  <c r="K655" i="1"/>
  <c r="E656" i="1"/>
  <c r="G656" i="1"/>
  <c r="I656" i="1"/>
  <c r="K656" i="1"/>
  <c r="E657" i="1"/>
  <c r="G657" i="1"/>
  <c r="I657" i="1"/>
  <c r="K657" i="1"/>
  <c r="E658" i="1"/>
  <c r="G658" i="1"/>
  <c r="I658" i="1"/>
  <c r="K658" i="1"/>
  <c r="E659" i="1"/>
  <c r="G659" i="1"/>
  <c r="I659" i="1"/>
  <c r="K659" i="1"/>
  <c r="E660" i="1"/>
  <c r="G660" i="1"/>
  <c r="I660" i="1"/>
  <c r="K660" i="1"/>
  <c r="E661" i="1"/>
  <c r="G661" i="1"/>
  <c r="I661" i="1"/>
  <c r="K661" i="1"/>
  <c r="E662" i="1"/>
  <c r="G662" i="1"/>
  <c r="I662" i="1"/>
  <c r="K662" i="1"/>
  <c r="E663" i="1"/>
  <c r="G663" i="1"/>
  <c r="I663" i="1"/>
  <c r="K663" i="1"/>
  <c r="E664" i="1"/>
  <c r="G664" i="1"/>
  <c r="I664" i="1"/>
  <c r="K664" i="1"/>
  <c r="E665" i="1"/>
  <c r="G665" i="1"/>
  <c r="I665" i="1"/>
  <c r="K665" i="1"/>
  <c r="E666" i="1"/>
  <c r="G666" i="1"/>
  <c r="I666" i="1"/>
  <c r="K666" i="1"/>
  <c r="E667" i="1"/>
  <c r="G667" i="1"/>
  <c r="I667" i="1"/>
  <c r="K667" i="1"/>
  <c r="E668" i="1"/>
  <c r="G668" i="1"/>
  <c r="I668" i="1"/>
  <c r="K668" i="1"/>
  <c r="E669" i="1"/>
  <c r="G669" i="1"/>
  <c r="I669" i="1"/>
  <c r="K669" i="1"/>
  <c r="E670" i="1"/>
  <c r="G670" i="1"/>
  <c r="I670" i="1"/>
  <c r="K670" i="1"/>
  <c r="E671" i="1"/>
  <c r="G671" i="1"/>
  <c r="I671" i="1"/>
  <c r="K671" i="1"/>
  <c r="E672" i="1"/>
  <c r="G672" i="1"/>
  <c r="I672" i="1"/>
  <c r="K672" i="1"/>
  <c r="E673" i="1"/>
  <c r="G673" i="1"/>
  <c r="I673" i="1"/>
  <c r="K673" i="1"/>
  <c r="E674" i="1"/>
  <c r="G674" i="1"/>
  <c r="I674" i="1"/>
  <c r="K674" i="1"/>
  <c r="E675" i="1"/>
  <c r="G675" i="1"/>
  <c r="I675" i="1"/>
  <c r="K675" i="1"/>
  <c r="E676" i="1"/>
  <c r="G676" i="1"/>
  <c r="I676" i="1"/>
  <c r="K676" i="1"/>
  <c r="E677" i="1"/>
  <c r="G677" i="1"/>
  <c r="I677" i="1"/>
  <c r="K677" i="1"/>
  <c r="E678" i="1"/>
  <c r="G678" i="1"/>
  <c r="I678" i="1"/>
  <c r="K678" i="1"/>
  <c r="E679" i="1"/>
  <c r="G679" i="1"/>
  <c r="I679" i="1"/>
  <c r="K679" i="1"/>
  <c r="E680" i="1"/>
  <c r="G680" i="1"/>
  <c r="I680" i="1"/>
  <c r="K680" i="1"/>
  <c r="E681" i="1"/>
  <c r="G681" i="1"/>
  <c r="I681" i="1"/>
  <c r="K681" i="1"/>
  <c r="E682" i="1"/>
  <c r="G682" i="1"/>
  <c r="I682" i="1"/>
  <c r="K682" i="1"/>
  <c r="E683" i="1"/>
  <c r="G683" i="1"/>
  <c r="I683" i="1"/>
  <c r="K683" i="1"/>
  <c r="E684" i="1"/>
  <c r="G684" i="1"/>
  <c r="I684" i="1"/>
  <c r="K684" i="1"/>
  <c r="E685" i="1"/>
  <c r="G685" i="1"/>
  <c r="I685" i="1"/>
  <c r="K685" i="1"/>
  <c r="E686" i="1"/>
  <c r="G686" i="1"/>
  <c r="I686" i="1"/>
  <c r="K686" i="1"/>
  <c r="E687" i="1"/>
  <c r="G687" i="1"/>
  <c r="I687" i="1"/>
  <c r="K687" i="1"/>
  <c r="E688" i="1"/>
  <c r="G688" i="1"/>
  <c r="I688" i="1"/>
  <c r="K688" i="1"/>
  <c r="E689" i="1"/>
  <c r="G689" i="1"/>
  <c r="I689" i="1"/>
  <c r="K689" i="1"/>
  <c r="E690" i="1"/>
  <c r="G690" i="1"/>
  <c r="I690" i="1"/>
  <c r="K690" i="1"/>
  <c r="E691" i="1"/>
  <c r="G691" i="1"/>
  <c r="I691" i="1"/>
  <c r="K691" i="1"/>
  <c r="E692" i="1"/>
  <c r="G692" i="1"/>
  <c r="I692" i="1"/>
  <c r="K692" i="1"/>
  <c r="E693" i="1"/>
  <c r="G693" i="1"/>
  <c r="I693" i="1"/>
  <c r="K693" i="1"/>
  <c r="E694" i="1"/>
  <c r="G694" i="1"/>
  <c r="I694" i="1"/>
  <c r="K694" i="1"/>
  <c r="E695" i="1"/>
  <c r="G695" i="1"/>
  <c r="I695" i="1"/>
  <c r="K695" i="1"/>
  <c r="E696" i="1"/>
  <c r="G696" i="1"/>
  <c r="I696" i="1"/>
  <c r="K696" i="1"/>
  <c r="E697" i="1"/>
  <c r="G697" i="1"/>
  <c r="I697" i="1"/>
  <c r="K697" i="1"/>
  <c r="E698" i="1"/>
  <c r="G698" i="1"/>
  <c r="I698" i="1"/>
  <c r="K698" i="1"/>
  <c r="E699" i="1"/>
  <c r="G699" i="1"/>
  <c r="I699" i="1"/>
  <c r="K699" i="1"/>
  <c r="E700" i="1"/>
  <c r="G700" i="1"/>
  <c r="I700" i="1"/>
  <c r="K700" i="1"/>
  <c r="E701" i="1"/>
  <c r="G701" i="1"/>
  <c r="I701" i="1"/>
  <c r="K701" i="1"/>
  <c r="E702" i="1"/>
  <c r="G702" i="1"/>
  <c r="I702" i="1"/>
  <c r="K702" i="1"/>
  <c r="E703" i="1"/>
  <c r="G703" i="1"/>
  <c r="I703" i="1"/>
  <c r="K703" i="1"/>
  <c r="E704" i="1"/>
  <c r="G704" i="1"/>
  <c r="I704" i="1"/>
  <c r="K704" i="1"/>
  <c r="E705" i="1"/>
  <c r="G705" i="1"/>
  <c r="I705" i="1"/>
  <c r="K705" i="1"/>
  <c r="E706" i="1"/>
  <c r="G706" i="1"/>
  <c r="I706" i="1"/>
  <c r="K706" i="1"/>
  <c r="E707" i="1"/>
  <c r="G707" i="1"/>
  <c r="I707" i="1"/>
  <c r="K707" i="1"/>
  <c r="E708" i="1"/>
  <c r="G708" i="1"/>
  <c r="I708" i="1"/>
  <c r="K708" i="1"/>
  <c r="E709" i="1"/>
  <c r="G709" i="1"/>
  <c r="I709" i="1"/>
  <c r="K709" i="1"/>
  <c r="E710" i="1"/>
  <c r="G710" i="1"/>
  <c r="I710" i="1"/>
  <c r="K710" i="1"/>
  <c r="E711" i="1"/>
  <c r="G711" i="1"/>
  <c r="I711" i="1"/>
  <c r="K711" i="1"/>
  <c r="E712" i="1"/>
  <c r="G712" i="1"/>
  <c r="I712" i="1"/>
  <c r="K712" i="1"/>
  <c r="E713" i="1"/>
  <c r="G713" i="1"/>
  <c r="I713" i="1"/>
  <c r="K713" i="1"/>
  <c r="E714" i="1"/>
  <c r="G714" i="1"/>
  <c r="I714" i="1"/>
  <c r="K714" i="1"/>
  <c r="E715" i="1"/>
  <c r="G715" i="1"/>
  <c r="I715" i="1"/>
  <c r="K715" i="1"/>
  <c r="E716" i="1"/>
  <c r="G716" i="1"/>
  <c r="I716" i="1"/>
  <c r="K716" i="1"/>
  <c r="E717" i="1"/>
  <c r="G717" i="1"/>
  <c r="I717" i="1"/>
  <c r="K717" i="1"/>
  <c r="E718" i="1"/>
  <c r="G718" i="1"/>
  <c r="I718" i="1"/>
  <c r="K718" i="1"/>
  <c r="E719" i="1"/>
  <c r="G719" i="1"/>
  <c r="I719" i="1"/>
  <c r="K719" i="1"/>
  <c r="E720" i="1"/>
  <c r="G720" i="1"/>
  <c r="I720" i="1"/>
  <c r="K720" i="1"/>
  <c r="E721" i="1"/>
  <c r="G721" i="1"/>
  <c r="I721" i="1"/>
  <c r="K721" i="1"/>
  <c r="E722" i="1"/>
  <c r="G722" i="1"/>
  <c r="I722" i="1"/>
  <c r="K722" i="1"/>
  <c r="E723" i="1"/>
  <c r="G723" i="1"/>
  <c r="I723" i="1"/>
  <c r="K723" i="1"/>
  <c r="E724" i="1"/>
  <c r="G724" i="1"/>
  <c r="I724" i="1"/>
  <c r="K724" i="1"/>
  <c r="E725" i="1"/>
  <c r="G725" i="1"/>
  <c r="I725" i="1"/>
  <c r="K725" i="1"/>
  <c r="E726" i="1"/>
  <c r="G726" i="1"/>
  <c r="I726" i="1"/>
  <c r="K726" i="1"/>
  <c r="E727" i="1"/>
  <c r="G727" i="1"/>
  <c r="I727" i="1"/>
  <c r="K727" i="1"/>
  <c r="E728" i="1"/>
  <c r="G728" i="1"/>
  <c r="I728" i="1"/>
  <c r="K728" i="1"/>
  <c r="E729" i="1"/>
  <c r="G729" i="1"/>
  <c r="I729" i="1"/>
  <c r="K729" i="1"/>
  <c r="E730" i="1"/>
  <c r="G730" i="1"/>
  <c r="I730" i="1"/>
  <c r="K730" i="1"/>
  <c r="E731" i="1"/>
  <c r="G731" i="1"/>
  <c r="I731" i="1"/>
  <c r="K731" i="1"/>
  <c r="E732" i="1"/>
  <c r="G732" i="1"/>
  <c r="I732" i="1"/>
  <c r="K732" i="1"/>
  <c r="E733" i="1"/>
  <c r="G733" i="1"/>
  <c r="I733" i="1"/>
  <c r="K733" i="1"/>
  <c r="E734" i="1"/>
  <c r="G734" i="1"/>
  <c r="I734" i="1"/>
  <c r="K734" i="1"/>
  <c r="E735" i="1"/>
  <c r="G735" i="1"/>
  <c r="I735" i="1"/>
  <c r="K735" i="1"/>
  <c r="E736" i="1"/>
  <c r="G736" i="1"/>
  <c r="I736" i="1"/>
  <c r="K736" i="1"/>
  <c r="E737" i="1"/>
  <c r="G737" i="1"/>
  <c r="I737" i="1"/>
  <c r="K737" i="1"/>
  <c r="E738" i="1"/>
  <c r="G738" i="1"/>
  <c r="I738" i="1"/>
  <c r="K738" i="1"/>
  <c r="E739" i="1"/>
  <c r="G739" i="1"/>
  <c r="I739" i="1"/>
  <c r="K739" i="1"/>
  <c r="E740" i="1"/>
  <c r="G740" i="1"/>
  <c r="I740" i="1"/>
  <c r="K740" i="1"/>
  <c r="E741" i="1"/>
  <c r="G741" i="1"/>
  <c r="I741" i="1"/>
  <c r="K741" i="1"/>
  <c r="E742" i="1"/>
  <c r="G742" i="1"/>
  <c r="I742" i="1"/>
  <c r="K742" i="1"/>
  <c r="E743" i="1"/>
  <c r="G743" i="1"/>
  <c r="I743" i="1"/>
  <c r="K743" i="1"/>
  <c r="E744" i="1"/>
  <c r="G744" i="1"/>
  <c r="I744" i="1"/>
  <c r="K744" i="1"/>
  <c r="E745" i="1"/>
  <c r="G745" i="1"/>
  <c r="I745" i="1"/>
  <c r="K745" i="1"/>
  <c r="E746" i="1"/>
  <c r="G746" i="1"/>
  <c r="I746" i="1"/>
  <c r="K746" i="1"/>
  <c r="E747" i="1"/>
  <c r="G747" i="1"/>
  <c r="I747" i="1"/>
  <c r="K747" i="1"/>
  <c r="E748" i="1"/>
  <c r="G748" i="1"/>
  <c r="I748" i="1"/>
  <c r="K748" i="1"/>
  <c r="E749" i="1"/>
  <c r="G749" i="1"/>
  <c r="I749" i="1"/>
  <c r="K749" i="1"/>
  <c r="E750" i="1"/>
  <c r="G750" i="1"/>
  <c r="I750" i="1"/>
  <c r="K750" i="1"/>
  <c r="E751" i="1"/>
  <c r="G751" i="1"/>
  <c r="I751" i="1"/>
  <c r="K751" i="1"/>
  <c r="E752" i="1"/>
  <c r="G752" i="1"/>
  <c r="I752" i="1"/>
  <c r="K752" i="1"/>
  <c r="E753" i="1"/>
  <c r="G753" i="1"/>
  <c r="I753" i="1"/>
  <c r="K753" i="1"/>
  <c r="E754" i="1"/>
  <c r="G754" i="1"/>
  <c r="I754" i="1"/>
  <c r="K754" i="1"/>
  <c r="E755" i="1"/>
  <c r="G755" i="1"/>
  <c r="I755" i="1"/>
  <c r="K755" i="1"/>
  <c r="E756" i="1"/>
  <c r="G756" i="1"/>
  <c r="I756" i="1"/>
  <c r="K756" i="1"/>
  <c r="E757" i="1"/>
  <c r="G757" i="1"/>
  <c r="I757" i="1"/>
  <c r="K757" i="1"/>
  <c r="E758" i="1"/>
  <c r="G758" i="1"/>
  <c r="I758" i="1"/>
  <c r="K758" i="1"/>
  <c r="E759" i="1"/>
  <c r="G759" i="1"/>
  <c r="I759" i="1"/>
  <c r="K759" i="1"/>
  <c r="E760" i="1"/>
  <c r="G760" i="1"/>
  <c r="I760" i="1"/>
  <c r="K760" i="1"/>
  <c r="E761" i="1"/>
  <c r="G761" i="1"/>
  <c r="I761" i="1"/>
  <c r="K761" i="1"/>
  <c r="E762" i="1"/>
  <c r="G762" i="1"/>
  <c r="I762" i="1"/>
  <c r="K762" i="1"/>
  <c r="E763" i="1"/>
  <c r="G763" i="1"/>
  <c r="I763" i="1"/>
  <c r="K763" i="1"/>
  <c r="E764" i="1"/>
  <c r="G764" i="1"/>
  <c r="I764" i="1"/>
  <c r="K764" i="1"/>
  <c r="E765" i="1"/>
  <c r="G765" i="1"/>
  <c r="I765" i="1"/>
  <c r="K765" i="1"/>
  <c r="E766" i="1"/>
  <c r="G766" i="1"/>
  <c r="I766" i="1"/>
  <c r="K766" i="1"/>
  <c r="E767" i="1"/>
  <c r="G767" i="1"/>
  <c r="I767" i="1"/>
  <c r="K767" i="1"/>
  <c r="E768" i="1"/>
  <c r="G768" i="1"/>
  <c r="I768" i="1"/>
  <c r="K768" i="1"/>
  <c r="E769" i="1"/>
  <c r="G769" i="1"/>
  <c r="I769" i="1"/>
  <c r="K769" i="1"/>
  <c r="E770" i="1"/>
  <c r="G770" i="1"/>
  <c r="I770" i="1"/>
  <c r="K770" i="1"/>
  <c r="E771" i="1"/>
  <c r="G771" i="1"/>
  <c r="I771" i="1"/>
  <c r="K771" i="1"/>
  <c r="E772" i="1"/>
  <c r="G772" i="1"/>
  <c r="I772" i="1"/>
  <c r="K772" i="1"/>
  <c r="E773" i="1"/>
  <c r="G773" i="1"/>
  <c r="I773" i="1"/>
  <c r="K773" i="1"/>
  <c r="E774" i="1"/>
  <c r="G774" i="1"/>
  <c r="I774" i="1"/>
  <c r="K774" i="1"/>
  <c r="E775" i="1"/>
  <c r="G775" i="1"/>
  <c r="I775" i="1"/>
  <c r="K775" i="1"/>
  <c r="E776" i="1"/>
  <c r="G776" i="1"/>
  <c r="I776" i="1"/>
  <c r="K776" i="1"/>
  <c r="E777" i="1"/>
  <c r="G777" i="1"/>
  <c r="I777" i="1"/>
  <c r="K777" i="1"/>
  <c r="E778" i="1"/>
  <c r="G778" i="1"/>
  <c r="I778" i="1"/>
  <c r="K778" i="1"/>
  <c r="E779" i="1"/>
  <c r="G779" i="1"/>
  <c r="I779" i="1"/>
  <c r="K779" i="1"/>
  <c r="E780" i="1"/>
  <c r="G780" i="1"/>
  <c r="I780" i="1"/>
  <c r="K780" i="1"/>
  <c r="E781" i="1"/>
  <c r="G781" i="1"/>
  <c r="I781" i="1"/>
  <c r="K781" i="1"/>
  <c r="E782" i="1"/>
  <c r="G782" i="1"/>
  <c r="I782" i="1"/>
  <c r="K782" i="1"/>
  <c r="E783" i="1"/>
  <c r="G783" i="1"/>
  <c r="I783" i="1"/>
  <c r="K783" i="1"/>
  <c r="E784" i="1"/>
  <c r="G784" i="1"/>
  <c r="I784" i="1"/>
  <c r="K784" i="1"/>
  <c r="E785" i="1"/>
  <c r="G785" i="1"/>
  <c r="I785" i="1"/>
  <c r="K785" i="1"/>
  <c r="E786" i="1"/>
  <c r="G786" i="1"/>
  <c r="I786" i="1"/>
  <c r="K786" i="1"/>
  <c r="E787" i="1"/>
  <c r="G787" i="1"/>
  <c r="I787" i="1"/>
  <c r="K787" i="1"/>
  <c r="E788" i="1"/>
  <c r="G788" i="1"/>
  <c r="I788" i="1"/>
  <c r="K788" i="1"/>
  <c r="E789" i="1"/>
  <c r="G789" i="1"/>
  <c r="I789" i="1"/>
  <c r="K789" i="1"/>
  <c r="E790" i="1"/>
  <c r="G790" i="1"/>
  <c r="I790" i="1"/>
  <c r="K790" i="1"/>
  <c r="E791" i="1"/>
  <c r="G791" i="1"/>
  <c r="I791" i="1"/>
  <c r="K791" i="1"/>
  <c r="E792" i="1"/>
  <c r="G792" i="1"/>
  <c r="I792" i="1"/>
  <c r="K792" i="1"/>
  <c r="E793" i="1"/>
  <c r="G793" i="1"/>
  <c r="I793" i="1"/>
  <c r="K793" i="1"/>
  <c r="E794" i="1"/>
  <c r="G794" i="1"/>
  <c r="I794" i="1"/>
  <c r="K794" i="1"/>
  <c r="E795" i="1"/>
  <c r="G795" i="1"/>
  <c r="I795" i="1"/>
  <c r="K795" i="1"/>
  <c r="E796" i="1"/>
  <c r="G796" i="1"/>
  <c r="I796" i="1"/>
  <c r="K796" i="1"/>
  <c r="E797" i="1"/>
  <c r="G797" i="1"/>
  <c r="I797" i="1"/>
  <c r="K797" i="1"/>
  <c r="E798" i="1"/>
  <c r="G798" i="1"/>
  <c r="I798" i="1"/>
  <c r="K798" i="1"/>
  <c r="E799" i="1"/>
  <c r="G799" i="1"/>
  <c r="I799" i="1"/>
  <c r="K799" i="1"/>
  <c r="E800" i="1"/>
  <c r="G800" i="1"/>
  <c r="I800" i="1"/>
  <c r="K800" i="1"/>
  <c r="E801" i="1"/>
  <c r="G801" i="1"/>
  <c r="I801" i="1"/>
  <c r="K801" i="1"/>
  <c r="E802" i="1"/>
  <c r="G802" i="1"/>
  <c r="I802" i="1"/>
  <c r="K802" i="1"/>
  <c r="E803" i="1"/>
  <c r="G803" i="1"/>
  <c r="I803" i="1"/>
  <c r="K803" i="1"/>
  <c r="E804" i="1"/>
  <c r="G804" i="1"/>
  <c r="I804" i="1"/>
  <c r="K804" i="1"/>
  <c r="E805" i="1"/>
  <c r="G805" i="1"/>
  <c r="I805" i="1"/>
  <c r="K805" i="1"/>
  <c r="E806" i="1"/>
  <c r="G806" i="1"/>
  <c r="I806" i="1"/>
  <c r="K806" i="1"/>
  <c r="E807" i="1"/>
  <c r="G807" i="1"/>
  <c r="I807" i="1"/>
  <c r="K807" i="1"/>
  <c r="E808" i="1"/>
  <c r="G808" i="1"/>
  <c r="I808" i="1"/>
  <c r="K808" i="1"/>
  <c r="E809" i="1"/>
  <c r="G809" i="1"/>
  <c r="I809" i="1"/>
  <c r="K809" i="1"/>
  <c r="E810" i="1"/>
  <c r="G810" i="1"/>
  <c r="I810" i="1"/>
  <c r="K810" i="1"/>
  <c r="E811" i="1"/>
  <c r="G811" i="1"/>
  <c r="I811" i="1"/>
  <c r="K811" i="1"/>
  <c r="E812" i="1"/>
  <c r="G812" i="1"/>
  <c r="I812" i="1"/>
  <c r="K812" i="1"/>
  <c r="E813" i="1"/>
  <c r="G813" i="1"/>
  <c r="I813" i="1"/>
  <c r="K813" i="1"/>
  <c r="E814" i="1"/>
  <c r="G814" i="1"/>
  <c r="I814" i="1"/>
  <c r="K814" i="1"/>
  <c r="E815" i="1"/>
  <c r="G815" i="1"/>
  <c r="I815" i="1"/>
  <c r="K815" i="1"/>
  <c r="E816" i="1"/>
  <c r="G816" i="1"/>
  <c r="I816" i="1"/>
  <c r="K816" i="1"/>
  <c r="E817" i="1"/>
  <c r="G817" i="1"/>
  <c r="I817" i="1"/>
  <c r="K817" i="1"/>
  <c r="E818" i="1"/>
  <c r="G818" i="1"/>
  <c r="I818" i="1"/>
  <c r="K818" i="1"/>
  <c r="E819" i="1"/>
  <c r="G819" i="1"/>
  <c r="I819" i="1"/>
  <c r="K819" i="1"/>
  <c r="E820" i="1"/>
  <c r="G820" i="1"/>
  <c r="I820" i="1"/>
  <c r="K820" i="1"/>
  <c r="E821" i="1"/>
  <c r="G821" i="1"/>
  <c r="I821" i="1"/>
  <c r="K821" i="1"/>
  <c r="E822" i="1"/>
  <c r="G822" i="1"/>
  <c r="I822" i="1"/>
  <c r="K822" i="1"/>
  <c r="E823" i="1"/>
  <c r="G823" i="1"/>
  <c r="I823" i="1"/>
  <c r="K823" i="1"/>
  <c r="E824" i="1"/>
  <c r="G824" i="1"/>
  <c r="I824" i="1"/>
  <c r="K824" i="1"/>
  <c r="E825" i="1"/>
  <c r="G825" i="1"/>
  <c r="I825" i="1"/>
  <c r="K825" i="1"/>
  <c r="E826" i="1"/>
  <c r="G826" i="1"/>
  <c r="I826" i="1"/>
  <c r="K826" i="1"/>
  <c r="E827" i="1"/>
  <c r="G827" i="1"/>
  <c r="I827" i="1"/>
  <c r="K827" i="1"/>
  <c r="E828" i="1"/>
  <c r="G828" i="1"/>
  <c r="I828" i="1"/>
  <c r="K828" i="1"/>
  <c r="E829" i="1"/>
  <c r="G829" i="1"/>
  <c r="I829" i="1"/>
  <c r="K829" i="1"/>
  <c r="E830" i="1"/>
  <c r="G830" i="1"/>
  <c r="I830" i="1"/>
  <c r="K830" i="1"/>
  <c r="E831" i="1"/>
  <c r="G831" i="1"/>
  <c r="I831" i="1"/>
  <c r="K831" i="1"/>
  <c r="E832" i="1"/>
  <c r="G832" i="1"/>
  <c r="I832" i="1"/>
  <c r="K832" i="1"/>
  <c r="E833" i="1"/>
  <c r="G833" i="1"/>
  <c r="I833" i="1"/>
  <c r="K833" i="1"/>
  <c r="E834" i="1"/>
  <c r="G834" i="1"/>
  <c r="I834" i="1"/>
  <c r="K834" i="1"/>
  <c r="E835" i="1"/>
  <c r="G835" i="1"/>
  <c r="I835" i="1"/>
  <c r="K835" i="1"/>
  <c r="E836" i="1"/>
  <c r="G836" i="1"/>
  <c r="I836" i="1"/>
  <c r="K836" i="1"/>
  <c r="E837" i="1"/>
  <c r="G837" i="1"/>
  <c r="I837" i="1"/>
  <c r="K837" i="1"/>
  <c r="E838" i="1"/>
  <c r="G838" i="1"/>
  <c r="I838" i="1"/>
  <c r="K838" i="1"/>
  <c r="E839" i="1"/>
  <c r="G839" i="1"/>
  <c r="I839" i="1"/>
  <c r="K839" i="1"/>
  <c r="E840" i="1"/>
  <c r="G840" i="1"/>
  <c r="I840" i="1"/>
  <c r="K840" i="1"/>
  <c r="E841" i="1"/>
  <c r="G841" i="1"/>
  <c r="I841" i="1"/>
  <c r="K841" i="1"/>
  <c r="E842" i="1"/>
  <c r="G842" i="1"/>
  <c r="I842" i="1"/>
  <c r="K842" i="1"/>
  <c r="E843" i="1"/>
  <c r="G843" i="1"/>
  <c r="I843" i="1"/>
  <c r="K843" i="1"/>
  <c r="E844" i="1"/>
  <c r="G844" i="1"/>
  <c r="I844" i="1"/>
  <c r="K844" i="1"/>
  <c r="E845" i="1"/>
  <c r="G845" i="1"/>
  <c r="I845" i="1"/>
  <c r="K845" i="1"/>
  <c r="E846" i="1"/>
  <c r="G846" i="1"/>
  <c r="I846" i="1"/>
  <c r="K846" i="1"/>
  <c r="E847" i="1"/>
  <c r="G847" i="1"/>
  <c r="I847" i="1"/>
  <c r="K847" i="1"/>
  <c r="E848" i="1"/>
  <c r="G848" i="1"/>
  <c r="I848" i="1"/>
  <c r="K848" i="1"/>
  <c r="E849" i="1"/>
  <c r="G849" i="1"/>
  <c r="I849" i="1"/>
  <c r="K849" i="1"/>
  <c r="E850" i="1"/>
  <c r="G850" i="1"/>
  <c r="I850" i="1"/>
  <c r="K850" i="1"/>
  <c r="E851" i="1"/>
  <c r="G851" i="1"/>
  <c r="I851" i="1"/>
  <c r="K851" i="1"/>
  <c r="E852" i="1"/>
  <c r="G852" i="1"/>
  <c r="I852" i="1"/>
  <c r="K852" i="1"/>
  <c r="E853" i="1"/>
  <c r="G853" i="1"/>
  <c r="I853" i="1"/>
  <c r="K853" i="1"/>
  <c r="E854" i="1"/>
  <c r="G854" i="1"/>
  <c r="I854" i="1"/>
  <c r="K854" i="1"/>
  <c r="E855" i="1"/>
  <c r="G855" i="1"/>
  <c r="I855" i="1"/>
  <c r="K855" i="1"/>
  <c r="E856" i="1"/>
  <c r="G856" i="1"/>
  <c r="I856" i="1"/>
  <c r="K856" i="1"/>
  <c r="E857" i="1"/>
  <c r="G857" i="1"/>
  <c r="I857" i="1"/>
  <c r="K857" i="1"/>
  <c r="E858" i="1"/>
  <c r="G858" i="1"/>
  <c r="I858" i="1"/>
  <c r="K858" i="1"/>
  <c r="E859" i="1"/>
  <c r="G859" i="1"/>
  <c r="I859" i="1"/>
  <c r="K859" i="1"/>
  <c r="E860" i="1"/>
  <c r="G860" i="1"/>
  <c r="I860" i="1"/>
  <c r="K860" i="1"/>
  <c r="E861" i="1"/>
  <c r="G861" i="1"/>
  <c r="I861" i="1"/>
  <c r="K861" i="1"/>
  <c r="E862" i="1"/>
  <c r="G862" i="1"/>
  <c r="I862" i="1"/>
  <c r="K862" i="1"/>
  <c r="E863" i="1"/>
  <c r="G863" i="1"/>
  <c r="I863" i="1"/>
  <c r="K863" i="1"/>
  <c r="E864" i="1"/>
  <c r="G864" i="1"/>
  <c r="I864" i="1"/>
  <c r="K864" i="1"/>
  <c r="E865" i="1"/>
  <c r="G865" i="1"/>
  <c r="I865" i="1"/>
  <c r="K865" i="1"/>
  <c r="E866" i="1"/>
  <c r="G866" i="1"/>
  <c r="I866" i="1"/>
  <c r="K866" i="1"/>
  <c r="E867" i="1"/>
  <c r="G867" i="1"/>
  <c r="I867" i="1"/>
  <c r="K867" i="1"/>
  <c r="E868" i="1"/>
  <c r="G868" i="1"/>
  <c r="I868" i="1"/>
  <c r="K868" i="1"/>
  <c r="E869" i="1"/>
  <c r="G869" i="1"/>
  <c r="I869" i="1"/>
  <c r="K869" i="1"/>
  <c r="E870" i="1"/>
  <c r="G870" i="1"/>
  <c r="I870" i="1"/>
  <c r="K870" i="1"/>
  <c r="E871" i="1"/>
  <c r="G871" i="1"/>
  <c r="I871" i="1"/>
  <c r="K871" i="1"/>
  <c r="E872" i="1"/>
  <c r="G872" i="1"/>
  <c r="I872" i="1"/>
  <c r="K872" i="1"/>
  <c r="E873" i="1"/>
  <c r="G873" i="1"/>
  <c r="I873" i="1"/>
  <c r="K873" i="1"/>
  <c r="E874" i="1"/>
  <c r="G874" i="1"/>
  <c r="I874" i="1"/>
  <c r="K874" i="1"/>
  <c r="E875" i="1"/>
  <c r="G875" i="1"/>
  <c r="I875" i="1"/>
  <c r="K875" i="1"/>
  <c r="E876" i="1"/>
  <c r="G876" i="1"/>
  <c r="I876" i="1"/>
  <c r="K876" i="1"/>
  <c r="E877" i="1"/>
  <c r="G877" i="1"/>
  <c r="I877" i="1"/>
  <c r="K877" i="1"/>
  <c r="E878" i="1"/>
  <c r="G878" i="1"/>
  <c r="I878" i="1"/>
  <c r="K878" i="1"/>
  <c r="E879" i="1"/>
  <c r="G879" i="1"/>
  <c r="I879" i="1"/>
  <c r="K879" i="1"/>
  <c r="E880" i="1"/>
  <c r="G880" i="1"/>
  <c r="I880" i="1"/>
  <c r="K880" i="1"/>
  <c r="E881" i="1"/>
  <c r="G881" i="1"/>
  <c r="I881" i="1"/>
  <c r="K881" i="1"/>
  <c r="E882" i="1"/>
  <c r="G882" i="1"/>
  <c r="I882" i="1"/>
  <c r="K882" i="1"/>
  <c r="E883" i="1"/>
  <c r="G883" i="1"/>
  <c r="I883" i="1"/>
  <c r="K883" i="1"/>
  <c r="E884" i="1"/>
  <c r="G884" i="1"/>
  <c r="I884" i="1"/>
  <c r="K884" i="1"/>
  <c r="E885" i="1"/>
  <c r="G885" i="1"/>
  <c r="I885" i="1"/>
  <c r="K885" i="1"/>
  <c r="E886" i="1"/>
  <c r="G886" i="1"/>
  <c r="I886" i="1"/>
  <c r="K886" i="1"/>
  <c r="E887" i="1"/>
  <c r="G887" i="1"/>
  <c r="I887" i="1"/>
  <c r="K887" i="1"/>
  <c r="E888" i="1"/>
  <c r="G888" i="1"/>
  <c r="I888" i="1"/>
  <c r="K888" i="1"/>
  <c r="E889" i="1"/>
  <c r="G889" i="1"/>
  <c r="I889" i="1"/>
  <c r="K889" i="1"/>
  <c r="E890" i="1"/>
  <c r="G890" i="1"/>
  <c r="I890" i="1"/>
  <c r="K890" i="1"/>
  <c r="E891" i="1"/>
  <c r="G891" i="1"/>
  <c r="I891" i="1"/>
  <c r="K891" i="1"/>
  <c r="E892" i="1"/>
  <c r="G892" i="1"/>
  <c r="I892" i="1"/>
  <c r="K892" i="1"/>
  <c r="E893" i="1"/>
  <c r="G893" i="1"/>
  <c r="I893" i="1"/>
  <c r="K893" i="1"/>
  <c r="E894" i="1"/>
  <c r="G894" i="1"/>
  <c r="I894" i="1"/>
  <c r="K894" i="1"/>
  <c r="E895" i="1"/>
  <c r="G895" i="1"/>
  <c r="I895" i="1"/>
  <c r="K895" i="1"/>
  <c r="E896" i="1"/>
  <c r="G896" i="1"/>
  <c r="I896" i="1"/>
  <c r="K896" i="1"/>
  <c r="E897" i="1"/>
  <c r="G897" i="1"/>
  <c r="I897" i="1"/>
  <c r="K897" i="1"/>
  <c r="E898" i="1"/>
  <c r="G898" i="1"/>
  <c r="I898" i="1"/>
  <c r="K898" i="1"/>
  <c r="E899" i="1"/>
  <c r="G899" i="1"/>
  <c r="I899" i="1"/>
  <c r="K899" i="1"/>
  <c r="E900" i="1"/>
  <c r="G900" i="1"/>
  <c r="I900" i="1"/>
  <c r="K900" i="1"/>
  <c r="E901" i="1"/>
  <c r="G901" i="1"/>
  <c r="I901" i="1"/>
  <c r="K901" i="1"/>
  <c r="E902" i="1"/>
  <c r="G902" i="1"/>
  <c r="I902" i="1"/>
  <c r="K902" i="1"/>
  <c r="E903" i="1"/>
  <c r="G903" i="1"/>
  <c r="I903" i="1"/>
  <c r="K903" i="1"/>
  <c r="E904" i="1"/>
  <c r="G904" i="1"/>
  <c r="I904" i="1"/>
  <c r="K904" i="1"/>
  <c r="E905" i="1"/>
  <c r="G905" i="1"/>
  <c r="I905" i="1"/>
  <c r="K905" i="1"/>
  <c r="E906" i="1"/>
  <c r="G906" i="1"/>
  <c r="I906" i="1"/>
  <c r="K906" i="1"/>
  <c r="E907" i="1"/>
  <c r="G907" i="1"/>
  <c r="I907" i="1"/>
  <c r="K907" i="1"/>
  <c r="E908" i="1"/>
  <c r="G908" i="1"/>
  <c r="I908" i="1"/>
  <c r="K908" i="1"/>
  <c r="E909" i="1"/>
  <c r="G909" i="1"/>
  <c r="I909" i="1"/>
  <c r="K909" i="1"/>
  <c r="E910" i="1"/>
  <c r="G910" i="1"/>
  <c r="I910" i="1"/>
  <c r="K910" i="1"/>
  <c r="E911" i="1"/>
  <c r="G911" i="1"/>
  <c r="I911" i="1"/>
  <c r="K911" i="1"/>
  <c r="E912" i="1"/>
  <c r="G912" i="1"/>
  <c r="I912" i="1"/>
  <c r="K912" i="1"/>
  <c r="E913" i="1"/>
  <c r="G913" i="1"/>
  <c r="I913" i="1"/>
  <c r="K913" i="1"/>
  <c r="E914" i="1"/>
  <c r="G914" i="1"/>
  <c r="I914" i="1"/>
  <c r="K914" i="1"/>
  <c r="E915" i="1"/>
  <c r="G915" i="1"/>
  <c r="I915" i="1"/>
  <c r="K915" i="1"/>
  <c r="E916" i="1"/>
  <c r="G916" i="1"/>
  <c r="I916" i="1"/>
  <c r="K916" i="1"/>
  <c r="E917" i="1"/>
  <c r="G917" i="1"/>
  <c r="I917" i="1"/>
  <c r="K917" i="1"/>
  <c r="E918" i="1"/>
  <c r="G918" i="1"/>
  <c r="I918" i="1"/>
  <c r="K918" i="1"/>
  <c r="E919" i="1"/>
  <c r="G919" i="1"/>
  <c r="I919" i="1"/>
  <c r="K919" i="1"/>
  <c r="E920" i="1"/>
  <c r="G920" i="1"/>
  <c r="I920" i="1"/>
  <c r="K920" i="1"/>
  <c r="E921" i="1"/>
  <c r="G921" i="1"/>
  <c r="I921" i="1"/>
  <c r="K921" i="1"/>
  <c r="E922" i="1"/>
  <c r="G922" i="1"/>
  <c r="I922" i="1"/>
  <c r="K922" i="1"/>
  <c r="E923" i="1"/>
  <c r="G923" i="1"/>
  <c r="I923" i="1"/>
  <c r="K923" i="1"/>
  <c r="E924" i="1"/>
  <c r="G924" i="1"/>
  <c r="I924" i="1"/>
  <c r="K924" i="1"/>
  <c r="E925" i="1"/>
  <c r="G925" i="1"/>
  <c r="I925" i="1"/>
  <c r="K925" i="1"/>
  <c r="E926" i="1"/>
  <c r="G926" i="1"/>
  <c r="I926" i="1"/>
  <c r="K926" i="1"/>
  <c r="E927" i="1"/>
  <c r="G927" i="1"/>
  <c r="I927" i="1"/>
  <c r="K927" i="1"/>
  <c r="E928" i="1"/>
  <c r="G928" i="1"/>
  <c r="I928" i="1"/>
  <c r="K928" i="1"/>
  <c r="E929" i="1"/>
  <c r="G929" i="1"/>
  <c r="I929" i="1"/>
  <c r="K929" i="1"/>
  <c r="E930" i="1"/>
  <c r="G930" i="1"/>
  <c r="I930" i="1"/>
  <c r="K930" i="1"/>
  <c r="E931" i="1"/>
  <c r="G931" i="1"/>
  <c r="I931" i="1"/>
  <c r="K931" i="1"/>
  <c r="E932" i="1"/>
  <c r="G932" i="1"/>
  <c r="I932" i="1"/>
  <c r="K932" i="1"/>
  <c r="E933" i="1"/>
  <c r="G933" i="1"/>
  <c r="I933" i="1"/>
  <c r="K933" i="1"/>
  <c r="E934" i="1"/>
  <c r="G934" i="1"/>
  <c r="I934" i="1"/>
  <c r="K934" i="1"/>
  <c r="E935" i="1"/>
  <c r="G935" i="1"/>
  <c r="I935" i="1"/>
  <c r="K935" i="1"/>
  <c r="E936" i="1"/>
  <c r="G936" i="1"/>
  <c r="I936" i="1"/>
  <c r="K936" i="1"/>
  <c r="E937" i="1"/>
  <c r="G937" i="1"/>
  <c r="I937" i="1"/>
  <c r="K937" i="1"/>
  <c r="E938" i="1"/>
  <c r="G938" i="1"/>
  <c r="I938" i="1"/>
  <c r="K938" i="1"/>
  <c r="E939" i="1"/>
  <c r="G939" i="1"/>
  <c r="I939" i="1"/>
  <c r="K939" i="1"/>
  <c r="E940" i="1"/>
  <c r="G940" i="1"/>
  <c r="I940" i="1"/>
  <c r="K940" i="1"/>
  <c r="E941" i="1"/>
  <c r="G941" i="1"/>
  <c r="I941" i="1"/>
  <c r="K941" i="1"/>
  <c r="E942" i="1"/>
  <c r="G942" i="1"/>
  <c r="I942" i="1"/>
  <c r="K942" i="1"/>
  <c r="E943" i="1"/>
  <c r="G943" i="1"/>
  <c r="I943" i="1"/>
  <c r="K943" i="1"/>
  <c r="E944" i="1"/>
  <c r="G944" i="1"/>
  <c r="I944" i="1"/>
  <c r="K944" i="1"/>
  <c r="E945" i="1"/>
  <c r="G945" i="1"/>
  <c r="I945" i="1"/>
  <c r="K945" i="1"/>
  <c r="E946" i="1"/>
  <c r="G946" i="1"/>
  <c r="I946" i="1"/>
  <c r="K946" i="1"/>
  <c r="E947" i="1"/>
  <c r="G947" i="1"/>
  <c r="I947" i="1"/>
  <c r="K947" i="1"/>
  <c r="E948" i="1"/>
  <c r="G948" i="1"/>
  <c r="I948" i="1"/>
  <c r="K948" i="1"/>
  <c r="E949" i="1"/>
  <c r="G949" i="1"/>
  <c r="I949" i="1"/>
  <c r="K949" i="1"/>
  <c r="E950" i="1"/>
  <c r="G950" i="1"/>
  <c r="I950" i="1"/>
  <c r="K950" i="1"/>
  <c r="E951" i="1"/>
  <c r="G951" i="1"/>
  <c r="I951" i="1"/>
  <c r="K951" i="1"/>
  <c r="E952" i="1"/>
  <c r="G952" i="1"/>
  <c r="I952" i="1"/>
  <c r="K952" i="1"/>
  <c r="E953" i="1"/>
  <c r="G953" i="1"/>
  <c r="I953" i="1"/>
  <c r="K953" i="1"/>
  <c r="E954" i="1"/>
  <c r="G954" i="1"/>
  <c r="I954" i="1"/>
  <c r="K954" i="1"/>
  <c r="E955" i="1"/>
  <c r="G955" i="1"/>
  <c r="I955" i="1"/>
  <c r="K955" i="1"/>
  <c r="E956" i="1"/>
  <c r="G956" i="1"/>
  <c r="I956" i="1"/>
  <c r="K956" i="1"/>
  <c r="E957" i="1"/>
  <c r="G957" i="1"/>
  <c r="I957" i="1"/>
  <c r="K957" i="1"/>
  <c r="E958" i="1"/>
  <c r="G958" i="1"/>
  <c r="I958" i="1"/>
  <c r="K958" i="1"/>
  <c r="E959" i="1"/>
  <c r="G959" i="1"/>
  <c r="I959" i="1"/>
  <c r="K959" i="1"/>
  <c r="E960" i="1"/>
  <c r="G960" i="1"/>
  <c r="I960" i="1"/>
  <c r="K960" i="1"/>
  <c r="E46" i="1"/>
  <c r="E45" i="1"/>
  <c r="E44" i="1"/>
  <c r="F46" i="1" l="1"/>
  <c r="G44" i="1"/>
  <c r="G45" i="1"/>
  <c r="G46" i="1" l="1"/>
  <c r="E30" i="6" l="1"/>
  <c r="F31" i="6"/>
  <c r="D30" i="6"/>
  <c r="I16" i="6" l="1"/>
  <c r="K16" i="6" s="1"/>
  <c r="I17" i="6"/>
  <c r="K17" i="6" s="1"/>
  <c r="I18" i="6"/>
  <c r="K18" i="6" s="1"/>
  <c r="I15" i="6" l="1"/>
  <c r="K15" i="6" s="1"/>
  <c r="C30" i="6"/>
  <c r="J30" i="6" l="1"/>
  <c r="J16" i="6"/>
  <c r="J15" i="6"/>
  <c r="J17" i="6"/>
  <c r="J18" i="6"/>
  <c r="N30" i="6"/>
  <c r="K30" i="6"/>
  <c r="M30" i="6"/>
  <c r="L30" i="6" l="1"/>
</calcChain>
</file>

<file path=xl/sharedStrings.xml><?xml version="1.0" encoding="utf-8"?>
<sst xmlns="http://schemas.openxmlformats.org/spreadsheetml/2006/main" count="216" uniqueCount="97">
  <si>
    <t>学号</t>
    <phoneticPr fontId="1" type="noConversion"/>
  </si>
  <si>
    <t>姓名</t>
    <phoneticPr fontId="1" type="noConversion"/>
  </si>
  <si>
    <t>A01</t>
    <phoneticPr fontId="1" type="noConversion"/>
  </si>
  <si>
    <t>A02</t>
    <phoneticPr fontId="1" type="noConversion"/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</si>
  <si>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</si>
  <si>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</si>
  <si>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</si>
  <si>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</si>
  <si>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</si>
  <si>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</si>
  <si>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</si>
  <si>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</si>
  <si>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</si>
  <si>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</si>
  <si>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</si>
  <si>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</si>
  <si>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</si>
  <si>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</si>
  <si>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</si>
  <si>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</si>
  <si>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</si>
  <si>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</si>
  <si>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学号</t>
    <phoneticPr fontId="1" type="noConversion"/>
  </si>
  <si>
    <t>名字1</t>
    <phoneticPr fontId="1" type="noConversion"/>
  </si>
  <si>
    <t>名字2</t>
    <phoneticPr fontId="1" type="noConversion"/>
  </si>
  <si>
    <t>名字3</t>
  </si>
  <si>
    <t>名字4</t>
  </si>
  <si>
    <t>名字5</t>
  </si>
  <si>
    <t>名字6</t>
  </si>
  <si>
    <t>名字7</t>
  </si>
  <si>
    <t>名字8</t>
  </si>
  <si>
    <t>名字9</t>
  </si>
  <si>
    <t>名字10</t>
  </si>
  <si>
    <t>名字11</t>
  </si>
  <si>
    <t>名字12</t>
  </si>
  <si>
    <t>名字13</t>
  </si>
  <si>
    <t>名字14</t>
  </si>
  <si>
    <t>名字15</t>
  </si>
  <si>
    <t>名字16</t>
  </si>
  <si>
    <t>名字17</t>
  </si>
  <si>
    <t>名字18</t>
  </si>
  <si>
    <t>名字19</t>
  </si>
  <si>
    <t>名字20</t>
  </si>
  <si>
    <t>出生日期</t>
    <phoneticPr fontId="1" type="noConversion"/>
  </si>
  <si>
    <t>男</t>
    <phoneticPr fontId="1" type="noConversion"/>
  </si>
  <si>
    <t>女</t>
    <phoneticPr fontId="1" type="noConversion"/>
  </si>
  <si>
    <t>生物</t>
    <phoneticPr fontId="1" type="noConversion"/>
  </si>
  <si>
    <t>考试类别</t>
    <phoneticPr fontId="1" type="noConversion"/>
  </si>
  <si>
    <t>总分</t>
    <phoneticPr fontId="1" type="noConversion"/>
  </si>
  <si>
    <t>排名</t>
    <phoneticPr fontId="1" type="noConversion"/>
  </si>
  <si>
    <t>总名次</t>
    <phoneticPr fontId="1" type="noConversion"/>
  </si>
  <si>
    <t>排名</t>
    <phoneticPr fontId="1" type="noConversion"/>
  </si>
  <si>
    <t>A01</t>
    <phoneticPr fontId="1" type="noConversion"/>
  </si>
  <si>
    <t>A02</t>
    <phoneticPr fontId="1" type="noConversion"/>
  </si>
  <si>
    <t>A02</t>
    <phoneticPr fontId="1" type="noConversion"/>
  </si>
  <si>
    <r>
      <rPr>
        <sz val="8"/>
        <color theme="1"/>
        <rFont val="黑体"/>
        <family val="3"/>
        <charset val="134"/>
      </rPr>
      <t>排名</t>
    </r>
    <phoneticPr fontId="1" type="noConversion"/>
  </si>
  <si>
    <t>外语</t>
    <phoneticPr fontId="1" type="noConversion"/>
  </si>
  <si>
    <t>姓名</t>
    <phoneticPr fontId="1" type="noConversion"/>
  </si>
  <si>
    <t>性别</t>
    <phoneticPr fontId="1" type="noConversion"/>
  </si>
  <si>
    <t>联系方式</t>
    <phoneticPr fontId="1" type="noConversion"/>
  </si>
  <si>
    <t>1月月考</t>
  </si>
  <si>
    <t>期中考试</t>
  </si>
  <si>
    <t>学号</t>
    <phoneticPr fontId="1" type="noConversion"/>
  </si>
  <si>
    <t>姓名：</t>
    <phoneticPr fontId="1" type="noConversion"/>
  </si>
  <si>
    <t>数学</t>
    <phoneticPr fontId="1" type="noConversion"/>
  </si>
  <si>
    <t>成绩</t>
    <phoneticPr fontId="1" type="noConversion"/>
  </si>
  <si>
    <t>排名</t>
    <phoneticPr fontId="1" type="noConversion"/>
  </si>
  <si>
    <t>5月月考</t>
  </si>
  <si>
    <t>期末考试</t>
  </si>
  <si>
    <t>60分及格</t>
    <phoneticPr fontId="1" type="noConversion"/>
  </si>
  <si>
    <t>语文</t>
    <phoneticPr fontId="1" type="noConversion"/>
  </si>
  <si>
    <t>成绩</t>
    <phoneticPr fontId="1" type="noConversion"/>
  </si>
  <si>
    <t>排名</t>
    <phoneticPr fontId="1" type="noConversion"/>
  </si>
  <si>
    <t>历史成绩分析，输入学号即可；柱形为所选科目成绩，低于60分，柱形即为红色；上方折线为成绩排名；</t>
    <phoneticPr fontId="1" type="noConversion"/>
  </si>
  <si>
    <t>个人成绩分析组合表</t>
    <phoneticPr fontId="1" type="noConversion"/>
  </si>
  <si>
    <t>表5</t>
    <phoneticPr fontId="1" type="noConversion"/>
  </si>
  <si>
    <t>A10</t>
    <phoneticPr fontId="1" type="noConversion"/>
  </si>
  <si>
    <t>数学</t>
    <phoneticPr fontId="1" type="noConversion"/>
  </si>
  <si>
    <t>语文</t>
    <phoneticPr fontId="1" type="noConversion"/>
  </si>
  <si>
    <t>外语</t>
    <phoneticPr fontId="1" type="noConversion"/>
  </si>
  <si>
    <t>生物</t>
    <phoneticPr fontId="1" type="noConversion"/>
  </si>
  <si>
    <t>考试类别</t>
    <phoneticPr fontId="1" type="noConversion"/>
  </si>
  <si>
    <t>期中考试</t>
    <phoneticPr fontId="1" type="noConversion"/>
  </si>
  <si>
    <t>5月月考</t>
    <phoneticPr fontId="1" type="noConversion"/>
  </si>
  <si>
    <t>期末考试</t>
    <phoneticPr fontId="1" type="noConversion"/>
  </si>
  <si>
    <t>1月月考</t>
    <phoneticPr fontId="1" type="noConversion"/>
  </si>
  <si>
    <t>总分</t>
    <phoneticPr fontId="1" type="noConversion"/>
  </si>
  <si>
    <t xml:space="preserve"> 个人单科成绩分析图</t>
    <phoneticPr fontId="1" type="noConversion"/>
  </si>
  <si>
    <t>总分</t>
    <phoneticPr fontId="1" type="noConversion"/>
  </si>
  <si>
    <t>平均分</t>
    <phoneticPr fontId="1" type="noConversion"/>
  </si>
  <si>
    <t xml:space="preserve">  每次成绩 与平均值对比分析</t>
    <phoneticPr fontId="1" type="noConversion"/>
  </si>
  <si>
    <t xml:space="preserve">  每次成绩雷达图</t>
    <phoneticPr fontId="1" type="noConversion"/>
  </si>
  <si>
    <t>平均分</t>
    <phoneticPr fontId="1" type="noConversion"/>
  </si>
  <si>
    <t>成绩</t>
    <phoneticPr fontId="1" type="noConversion"/>
  </si>
  <si>
    <t>排名</t>
    <phoneticPr fontId="1" type="noConversion"/>
  </si>
  <si>
    <t>A06</t>
    <phoneticPr fontId="1" type="noConversion"/>
  </si>
  <si>
    <t>辅助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</si>
</sst>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8"/>
      <color theme="1"/>
      <name val="Arial"/>
      <family val="2"/>
    </font>
    <font>
      <sz val="12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8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sz val="10"/>
      <color theme="1"/>
      <name val="黑体"/>
      <family val="3"/>
      <charset val="134"/>
    </font>
    <font>
      <sz val="10"/>
      <color theme="1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sz val="9"/>
      <color theme="1"/>
      <name val="Arial"/>
      <family val="2"/>
    </font>
    <font>
      <sz val="8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0"/>
      <name val="黑体"/>
      <family val="3"/>
      <charset val="134"/>
    </font>
    <font>
      <b/>
      <sz val="12"/>
      <color rgb="FFFF0000"/>
      <name val="黑体"/>
      <family val="3"/>
      <charset val="134"/>
    </font>
    <font>
      <sz val="16"/>
      <color theme="0"/>
      <name val="微软雅黑"/>
      <family val="2"/>
      <charset val="134"/>
    </font>
    <font>
      <sz val="11"/>
      <color theme="2" tint="-9.9978637043366805E-2"/>
      <name val="微软雅黑"/>
      <family val="2"/>
      <charset val="134"/>
    </font>
    <font>
      <sz val="11"/>
      <color theme="2" tint="-9.9978637043366805E-2"/>
      <name val="宋体"/>
      <family val="2"/>
      <charset val="134"/>
      <scheme val="minor"/>
    </font>
    <font>
      <sz val="20"/>
      <color theme="1"/>
      <name val="华文楷体"/>
      <family val="3"/>
      <charset val="134"/>
    </font>
    <font>
      <sz val="28"/>
      <name val="华文楷体"/>
      <family val="3"/>
      <charset val="134"/>
    </font>
    <font>
      <sz val="11"/>
      <color theme="0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0" fillId="4" borderId="0" xfId="0" applyFill="1" applyProtection="1">
      <alignment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</xf>
    <xf numFmtId="0" fontId="14" fillId="0" borderId="8" xfId="0" applyFont="1" applyBorder="1" applyAlignment="1" applyProtection="1">
      <alignment horizontal="center" vertical="center"/>
    </xf>
    <xf numFmtId="0" fontId="0" fillId="0" borderId="0" xfId="0" applyProtection="1">
      <alignment vertical="center"/>
    </xf>
    <xf numFmtId="0" fontId="13" fillId="7" borderId="1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0" fontId="10" fillId="7" borderId="9" xfId="0" applyFont="1" applyFill="1" applyBorder="1" applyAlignment="1" applyProtection="1">
      <alignment horizontal="center" vertical="center"/>
    </xf>
    <xf numFmtId="0" fontId="13" fillId="7" borderId="9" xfId="0" applyFont="1" applyFill="1" applyBorder="1" applyAlignment="1" applyProtection="1">
      <alignment horizontal="center" vertical="center"/>
    </xf>
    <xf numFmtId="0" fontId="10" fillId="4" borderId="0" xfId="0" applyFont="1" applyFill="1" applyAlignment="1" applyProtection="1">
      <alignment horizontal="center" vertical="center"/>
    </xf>
    <xf numFmtId="0" fontId="0" fillId="5" borderId="0" xfId="0" applyFill="1" applyProtection="1">
      <alignment vertical="center"/>
      <protection locked="0"/>
    </xf>
    <xf numFmtId="0" fontId="0" fillId="8" borderId="0" xfId="0" applyFill="1" applyProtection="1">
      <alignment vertical="center"/>
      <protection locked="0"/>
    </xf>
    <xf numFmtId="0" fontId="13" fillId="7" borderId="2" xfId="0" applyFont="1" applyFill="1" applyBorder="1" applyAlignment="1" applyProtection="1">
      <alignment horizontal="center" vertical="center"/>
    </xf>
    <xf numFmtId="0" fontId="0" fillId="8" borderId="0" xfId="0" applyFill="1" applyBorder="1" applyProtection="1">
      <alignment vertical="center"/>
      <protection locked="0"/>
    </xf>
    <xf numFmtId="0" fontId="12" fillId="5" borderId="0" xfId="0" applyFont="1" applyFill="1" applyAlignment="1" applyProtection="1">
      <alignment horizontal="center" vertical="center"/>
    </xf>
    <xf numFmtId="0" fontId="0" fillId="5" borderId="0" xfId="0" applyFill="1" applyProtection="1">
      <alignment vertical="center"/>
    </xf>
    <xf numFmtId="0" fontId="17" fillId="8" borderId="0" xfId="0" applyFont="1" applyFill="1" applyBorder="1" applyProtection="1">
      <alignment vertical="center"/>
      <protection locked="0"/>
    </xf>
    <xf numFmtId="0" fontId="19" fillId="8" borderId="0" xfId="0" applyFont="1" applyFill="1" applyProtection="1">
      <alignment vertical="center"/>
      <protection locked="0"/>
    </xf>
    <xf numFmtId="0" fontId="12" fillId="8" borderId="0" xfId="0" applyFont="1" applyFill="1" applyAlignment="1" applyProtection="1">
      <alignment horizontal="center" vertical="center"/>
    </xf>
    <xf numFmtId="0" fontId="12" fillId="4" borderId="0" xfId="0" applyFont="1" applyFill="1" applyAlignment="1" applyProtection="1">
      <alignment horizontal="center" vertical="center"/>
    </xf>
    <xf numFmtId="0" fontId="20" fillId="5" borderId="0" xfId="0" applyFont="1" applyFill="1" applyProtection="1">
      <alignment vertical="center"/>
      <protection locked="0"/>
    </xf>
    <xf numFmtId="0" fontId="0" fillId="0" borderId="0" xfId="0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0" fillId="8" borderId="0" xfId="0" applyFill="1" applyProtection="1">
      <alignment vertical="center"/>
    </xf>
    <xf numFmtId="0" fontId="0" fillId="4" borderId="0" xfId="0" applyFill="1" applyProtection="1">
      <alignment vertical="center"/>
    </xf>
    <xf numFmtId="0" fontId="18" fillId="8" borderId="0" xfId="0" applyFont="1" applyFill="1" applyAlignment="1" applyProtection="1">
      <alignment horizontal="center" vertical="center"/>
    </xf>
    <xf numFmtId="0" fontId="0" fillId="8" borderId="0" xfId="0" applyFill="1" applyBorder="1" applyProtection="1">
      <alignment vertical="center"/>
    </xf>
    <xf numFmtId="0" fontId="15" fillId="8" borderId="0" xfId="0" applyFont="1" applyFill="1" applyAlignment="1" applyProtection="1">
      <alignment horizontal="center" vertical="center"/>
    </xf>
    <xf numFmtId="0" fontId="8" fillId="8" borderId="0" xfId="0" applyFont="1" applyFill="1" applyProtection="1">
      <alignment vertical="center"/>
    </xf>
    <xf numFmtId="0" fontId="8" fillId="5" borderId="0" xfId="0" applyFont="1" applyFill="1" applyProtection="1">
      <alignment vertical="center"/>
    </xf>
    <xf numFmtId="0" fontId="8" fillId="5" borderId="0" xfId="0" applyFont="1" applyFill="1" applyAlignment="1" applyProtection="1">
      <alignment horizontal="center" vertical="center"/>
    </xf>
    <xf numFmtId="0" fontId="0" fillId="5" borderId="0" xfId="0" applyFill="1" applyAlignment="1" applyProtection="1">
      <alignment horizontal="center" vertical="center"/>
    </xf>
    <xf numFmtId="0" fontId="0" fillId="4" borderId="0" xfId="0" applyFill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2" fillId="8" borderId="10" xfId="0" applyFont="1" applyFill="1" applyBorder="1" applyAlignment="1" applyProtection="1">
      <alignment horizontal="center" vertical="center"/>
      <protection locked="0"/>
    </xf>
    <xf numFmtId="0" fontId="17" fillId="8" borderId="10" xfId="0" applyFont="1" applyFill="1" applyBorder="1" applyProtection="1">
      <alignment vertical="center"/>
      <protection locked="0"/>
    </xf>
    <xf numFmtId="0" fontId="8" fillId="8" borderId="10" xfId="0" applyFont="1" applyFill="1" applyBorder="1" applyProtection="1">
      <alignment vertical="center"/>
      <protection locked="0"/>
    </xf>
    <xf numFmtId="0" fontId="0" fillId="8" borderId="10" xfId="0" applyFill="1" applyBorder="1" applyProtection="1">
      <alignment vertical="center"/>
      <protection locked="0"/>
    </xf>
    <xf numFmtId="0" fontId="18" fillId="8" borderId="10" xfId="0" applyFont="1" applyFill="1" applyBorder="1" applyAlignment="1" applyProtection="1">
      <alignment horizontal="center" vertical="center"/>
      <protection locked="0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10" fillId="6" borderId="9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9" fillId="8" borderId="0" xfId="0" applyFont="1" applyFill="1" applyBorder="1" applyAlignment="1" applyProtection="1">
      <alignment horizontal="center" vertical="center"/>
    </xf>
    <xf numFmtId="0" fontId="22" fillId="4" borderId="0" xfId="0" applyFont="1" applyFill="1" applyProtection="1">
      <alignment vertical="center"/>
      <protection locked="0"/>
    </xf>
    <xf numFmtId="0" fontId="6" fillId="5" borderId="7" xfId="0" applyFont="1" applyFill="1" applyBorder="1" applyAlignment="1" applyProtection="1">
      <alignment vertical="center"/>
    </xf>
    <xf numFmtId="0" fontId="6" fillId="5" borderId="6" xfId="0" applyFont="1" applyFill="1" applyBorder="1" applyAlignment="1" applyProtection="1">
      <alignment vertical="center"/>
    </xf>
    <xf numFmtId="0" fontId="9" fillId="2" borderId="11" xfId="0" applyFont="1" applyFill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center" vertical="center"/>
    </xf>
    <xf numFmtId="0" fontId="9" fillId="2" borderId="3" xfId="0" applyFont="1" applyFill="1" applyBorder="1" applyAlignment="1" applyProtection="1">
      <alignment vertical="center"/>
    </xf>
    <xf numFmtId="0" fontId="14" fillId="0" borderId="12" xfId="0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center" vertical="center"/>
    </xf>
    <xf numFmtId="0" fontId="16" fillId="8" borderId="0" xfId="0" applyFont="1" applyFill="1" applyBorder="1" applyAlignment="1" applyProtection="1">
      <alignment vertical="center"/>
      <protection locked="0"/>
    </xf>
    <xf numFmtId="0" fontId="15" fillId="8" borderId="8" xfId="0" applyFont="1" applyFill="1" applyBorder="1" applyAlignment="1" applyProtection="1">
      <alignment vertical="center"/>
    </xf>
    <xf numFmtId="0" fontId="15" fillId="8" borderId="0" xfId="0" applyFont="1" applyFill="1" applyBorder="1" applyAlignment="1" applyProtection="1">
      <alignment vertical="center"/>
    </xf>
    <xf numFmtId="0" fontId="9" fillId="8" borderId="0" xfId="0" applyFont="1" applyFill="1" applyBorder="1" applyAlignment="1" applyProtection="1">
      <alignment vertical="center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7" xfId="1" applyFont="1" applyBorder="1" applyAlignment="1" applyProtection="1">
      <alignment horizontal="center" vertical="center"/>
      <protection locked="0"/>
    </xf>
    <xf numFmtId="0" fontId="9" fillId="8" borderId="0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vertical="center"/>
    </xf>
  </cellXfs>
  <cellStyles count="2">
    <cellStyle name="常规" xfId="0" builtinId="0"/>
    <cellStyle name="超链接" xfId="1" builtinId="8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34B68D"/>
      <color rgb="FFDDE9F7"/>
      <color rgb="FF3BA497"/>
      <color rgb="FF4F81BD"/>
      <color rgb="FF4F8159"/>
      <color rgb="FFC0504D"/>
      <color rgb="FFDA8166"/>
      <color rgb="FFA97B7B"/>
      <color rgb="FF8EC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837400849755657E-2"/>
          <c:y val="0.23489710011496939"/>
          <c:w val="0.89613652912973307"/>
          <c:h val="0.66833035276688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图表分析!$I$14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White][&gt;0]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图表分析!$A$15:$A$18</c:f>
              <c:strCache>
                <c:ptCount val="4"/>
                <c:pt idx="0">
                  <c:v>1月月考</c:v>
                </c:pt>
                <c:pt idx="1">
                  <c:v>期中考试</c:v>
                </c:pt>
                <c:pt idx="2">
                  <c:v>5月月考</c:v>
                </c:pt>
                <c:pt idx="3">
                  <c:v>期末考试</c:v>
                </c:pt>
              </c:strCache>
            </c:strRef>
          </c:cat>
          <c:val>
            <c:numRef>
              <c:f>图表分析!$I$15:$I$18</c:f>
              <c:numCache>
                <c:formatCode>General</c:formatCode>
                <c:ptCount val="4"/>
                <c:pt idx="0">
                  <c:v>55</c:v>
                </c:pt>
                <c:pt idx="1">
                  <c:v>95</c:v>
                </c:pt>
                <c:pt idx="2">
                  <c:v>55</c:v>
                </c:pt>
                <c:pt idx="3">
                  <c:v>85</c:v>
                </c:pt>
              </c:numCache>
            </c:numRef>
          </c:val>
        </c:ser>
        <c:ser>
          <c:idx val="2"/>
          <c:order val="2"/>
          <c:tx>
            <c:v>低于60分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图表分析!$A$15:$A$18</c:f>
              <c:strCache>
                <c:ptCount val="4"/>
                <c:pt idx="0">
                  <c:v>1月月考</c:v>
                </c:pt>
                <c:pt idx="1">
                  <c:v>期中考试</c:v>
                </c:pt>
                <c:pt idx="2">
                  <c:v>5月月考</c:v>
                </c:pt>
                <c:pt idx="3">
                  <c:v>期末考试</c:v>
                </c:pt>
              </c:strCache>
            </c:strRef>
          </c:cat>
          <c:val>
            <c:numRef>
              <c:f>图表分析!$K$15:$K$18</c:f>
              <c:numCache>
                <c:formatCode>General</c:formatCode>
                <c:ptCount val="4"/>
                <c:pt idx="0">
                  <c:v>55</c:v>
                </c:pt>
                <c:pt idx="1">
                  <c:v>#N/A</c:v>
                </c:pt>
                <c:pt idx="2">
                  <c:v>55</c:v>
                </c:pt>
                <c:pt idx="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1"/>
        <c:overlap val="100"/>
        <c:axId val="-2110517344"/>
        <c:axId val="-2110513536"/>
      </c:barChart>
      <c:lineChart>
        <c:grouping val="standard"/>
        <c:varyColors val="0"/>
        <c:ser>
          <c:idx val="1"/>
          <c:order val="1"/>
          <c:tx>
            <c:v>成绩排名</c:v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华文仿宋" panose="02010600040101010101" pitchFamily="2" charset="-122"/>
                    <a:ea typeface="华文仿宋" panose="02010600040101010101" pitchFamily="2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1"/>
            <c:val val="0.30000000000000004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图表分析!$A$15:$A$24</c:f>
              <c:strCache>
                <c:ptCount val="4"/>
                <c:pt idx="0">
                  <c:v>1月月考</c:v>
                </c:pt>
                <c:pt idx="1">
                  <c:v>期中考试</c:v>
                </c:pt>
                <c:pt idx="2">
                  <c:v>5月月考</c:v>
                </c:pt>
                <c:pt idx="3">
                  <c:v>期末考试</c:v>
                </c:pt>
              </c:strCache>
            </c:strRef>
          </c:cat>
          <c:val>
            <c:numRef>
              <c:f>图表分析!$J$15:$J$18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10</c:v>
                </c:pt>
                <c:pt idx="3">
                  <c:v>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0512448"/>
        <c:axId val="-2110512992"/>
      </c:lineChart>
      <c:catAx>
        <c:axId val="-21105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2110513536"/>
        <c:crosses val="autoZero"/>
        <c:auto val="1"/>
        <c:lblAlgn val="ctr"/>
        <c:lblOffset val="100"/>
        <c:noMultiLvlLbl val="0"/>
      </c:catAx>
      <c:valAx>
        <c:axId val="-2110513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2110517344"/>
        <c:crosses val="autoZero"/>
        <c:crossBetween val="between"/>
      </c:valAx>
      <c:valAx>
        <c:axId val="-2110512992"/>
        <c:scaling>
          <c:orientation val="maxMin"/>
          <c:max val="100"/>
        </c:scaling>
        <c:delete val="1"/>
        <c:axPos val="r"/>
        <c:numFmt formatCode="General" sourceLinked="1"/>
        <c:majorTickMark val="out"/>
        <c:minorTickMark val="none"/>
        <c:tickLblPos val="nextTo"/>
        <c:crossAx val="-2110512448"/>
        <c:crosses val="max"/>
        <c:crossBetween val="between"/>
      </c:valAx>
      <c:catAx>
        <c:axId val="-211051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1051299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516636936979215"/>
          <c:y val="3.9135066446019683E-2"/>
          <c:w val="0.4192264252717986"/>
          <c:h val="8.5899532335710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图表分析!$B$12</c:f>
              <c:strCache>
                <c:ptCount val="1"/>
                <c:pt idx="0">
                  <c:v>A06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50800" dir="5400000" algn="ctr" rotWithShape="0">
                <a:schemeClr val="accent1">
                  <a:lumMod val="60000"/>
                  <a:lumOff val="40000"/>
                </a:schemeClr>
              </a:outerShdw>
            </a:effectLst>
          </c:spPr>
          <c:cat>
            <c:strRef>
              <c:f>图表分析!$J$29:$T$29</c:f>
              <c:strCache>
                <c:ptCount val="5"/>
                <c:pt idx="0">
                  <c:v>数学</c:v>
                </c:pt>
                <c:pt idx="1">
                  <c:v>语文</c:v>
                </c:pt>
                <c:pt idx="2">
                  <c:v>外语</c:v>
                </c:pt>
                <c:pt idx="3">
                  <c:v>生物</c:v>
                </c:pt>
                <c:pt idx="4">
                  <c:v>总分</c:v>
                </c:pt>
              </c:strCache>
            </c:strRef>
          </c:cat>
          <c:val>
            <c:numRef>
              <c:f>图表分析!$J$30:$N$30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0510816"/>
        <c:axId val="-2110523328"/>
      </c:radarChart>
      <c:catAx>
        <c:axId val="-21105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10523328"/>
        <c:crosses val="autoZero"/>
        <c:auto val="1"/>
        <c:lblAlgn val="ctr"/>
        <c:lblOffset val="100"/>
        <c:noMultiLvlLbl val="0"/>
      </c:catAx>
      <c:valAx>
        <c:axId val="-21105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10510816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35057643111072E-2"/>
          <c:y val="0.17117451039159806"/>
          <c:w val="0.84952988471377788"/>
          <c:h val="0.721106143448212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图表分析!$A$30</c:f>
              <c:strCache>
                <c:ptCount val="1"/>
                <c:pt idx="0">
                  <c:v>期中考试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图表分析!$B$29:$F$29</c:f>
              <c:strCache>
                <c:ptCount val="5"/>
                <c:pt idx="0">
                  <c:v>数学</c:v>
                </c:pt>
                <c:pt idx="1">
                  <c:v>语文</c:v>
                </c:pt>
                <c:pt idx="2">
                  <c:v>外语</c:v>
                </c:pt>
                <c:pt idx="3">
                  <c:v>生物</c:v>
                </c:pt>
                <c:pt idx="4">
                  <c:v>总分</c:v>
                </c:pt>
              </c:strCache>
            </c:strRef>
          </c:cat>
          <c:val>
            <c:numRef>
              <c:f>图表分析!$B$30:$F$30</c:f>
              <c:numCache>
                <c:formatCode>General</c:formatCode>
                <c:ptCount val="5"/>
                <c:pt idx="0">
                  <c:v>95</c:v>
                </c:pt>
                <c:pt idx="1">
                  <c:v>95</c:v>
                </c:pt>
                <c:pt idx="2">
                  <c:v>86</c:v>
                </c:pt>
                <c:pt idx="3">
                  <c:v>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2110510272"/>
        <c:axId val="-99155520"/>
      </c:barChart>
      <c:barChart>
        <c:barDir val="col"/>
        <c:grouping val="clustered"/>
        <c:varyColors val="0"/>
        <c:ser>
          <c:idx val="0"/>
          <c:order val="2"/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图表分析!$B$31:$F$31</c:f>
              <c:numCache>
                <c:formatCode>General</c:formatCode>
                <c:ptCount val="5"/>
                <c:pt idx="4">
                  <c:v>357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303534720"/>
        <c:axId val="-99151168"/>
      </c:barChart>
      <c:scatterChart>
        <c:scatterStyle val="lineMarker"/>
        <c:varyColors val="0"/>
        <c:ser>
          <c:idx val="2"/>
          <c:order val="1"/>
          <c:tx>
            <c:v>平均值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30000000000000004"/>
            <c:spPr>
              <a:noFill/>
              <a:ln w="25400" cap="flat" cmpd="sng" algn="ctr">
                <a:solidFill>
                  <a:srgbClr val="FF0000"/>
                </a:solidFill>
                <a:round/>
              </a:ln>
              <a:effectLst/>
            </c:spPr>
          </c:errBars>
          <c:xVal>
            <c:strRef>
              <c:f>图表分析!$B$29:$F$29</c:f>
              <c:strCache>
                <c:ptCount val="5"/>
                <c:pt idx="0">
                  <c:v>数学</c:v>
                </c:pt>
                <c:pt idx="1">
                  <c:v>语文</c:v>
                </c:pt>
                <c:pt idx="2">
                  <c:v>外语</c:v>
                </c:pt>
                <c:pt idx="3">
                  <c:v>生物</c:v>
                </c:pt>
                <c:pt idx="4">
                  <c:v>总分</c:v>
                </c:pt>
              </c:strCache>
            </c:strRef>
          </c:xVal>
          <c:yVal>
            <c:numRef>
              <c:f>图表分析!$B$32:$F$32</c:f>
              <c:numCache>
                <c:formatCode>General</c:formatCode>
                <c:ptCount val="5"/>
                <c:pt idx="0">
                  <c:v>88.3</c:v>
                </c:pt>
                <c:pt idx="1">
                  <c:v>85.3</c:v>
                </c:pt>
                <c:pt idx="2">
                  <c:v>82.8</c:v>
                </c:pt>
                <c:pt idx="3">
                  <c:v>88.8</c:v>
                </c:pt>
                <c:pt idx="4">
                  <c:v>319.2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0510272"/>
        <c:axId val="-99155520"/>
      </c:scatterChart>
      <c:catAx>
        <c:axId val="-21105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99155520"/>
        <c:crosses val="autoZero"/>
        <c:auto val="1"/>
        <c:lblAlgn val="ctr"/>
        <c:lblOffset val="100"/>
        <c:noMultiLvlLbl val="0"/>
      </c:catAx>
      <c:valAx>
        <c:axId val="-991555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2110510272"/>
        <c:crosses val="autoZero"/>
        <c:crossBetween val="between"/>
        <c:majorUnit val="50"/>
      </c:valAx>
      <c:valAx>
        <c:axId val="-99151168"/>
        <c:scaling>
          <c:orientation val="minMax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crossAx val="-303534720"/>
        <c:crosses val="max"/>
        <c:crossBetween val="between"/>
      </c:valAx>
      <c:catAx>
        <c:axId val="-303534720"/>
        <c:scaling>
          <c:orientation val="minMax"/>
        </c:scaling>
        <c:delete val="1"/>
        <c:axPos val="b"/>
        <c:majorTickMark val="out"/>
        <c:minorTickMark val="none"/>
        <c:tickLblPos val="nextTo"/>
        <c:crossAx val="-99151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20" dropStyle="combo" dx="20" fmlaLink="$I$29" fmlaRange="$A$15:$A$24" noThreeD="1" val="0"/>
</file>

<file path=xl/ctrlProps/ctrlProp2.xml><?xml version="1.0" encoding="utf-8"?>
<formControlPr xmlns="http://schemas.microsoft.com/office/spreadsheetml/2009/9/main" objectType="Drop" dropLines="20" dropStyle="combo" dx="20" fmlaLink="$A$29" fmlaRange="$A$15:$A$24" noThreeD="1" sel="2" val="0"/>
</file>

<file path=xl/ctrlProps/ctrlProp3.xml><?xml version="1.0" encoding="utf-8"?>
<formControlPr xmlns="http://schemas.microsoft.com/office/spreadsheetml/2009/9/main" objectType="Drop" dropLines="20" dropStyle="combo" dx="20" fmlaLink="$H$13" fmlaRange="$H$14:$H$18" noThreeD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279400</xdr:colOff>
      <xdr:row>27</xdr:row>
      <xdr:rowOff>237173</xdr:rowOff>
    </xdr:from>
    <xdr:to>
      <xdr:col>22</xdr:col>
      <xdr:colOff>0</xdr:colOff>
      <xdr:row>41</xdr:row>
      <xdr:rowOff>0</xdr:rowOff>
    </xdr:to>
    <xdr:grpSp>
      <xdr:nvGrpSpPr>
        <xdr:cNvPr id="5" name="组合 4"/>
        <xdr:cNvGrpSpPr/>
      </xdr:nvGrpSpPr>
      <xdr:grpSpPr>
        <a:xfrm>
          <a:off x="4301067" y="7027440"/>
          <a:ext cx="3386666" cy="3318827"/>
          <a:chOff x="1185410" y="11350576"/>
          <a:chExt cx="5075100" cy="3413368"/>
        </a:xfrm>
        <a:solidFill>
          <a:schemeClr val="tx1">
            <a:lumMod val="65000"/>
            <a:lumOff val="35000"/>
          </a:schemeClr>
        </a:solidFill>
      </xdr:grpSpPr>
      <xdr:graphicFrame macro="">
        <xdr:nvGraphicFramePr>
          <xdr:cNvPr id="3" name="图表 2"/>
          <xdr:cNvGraphicFramePr/>
        </xdr:nvGraphicFramePr>
        <xdr:xfrm>
          <a:off x="1185410" y="11350576"/>
          <a:ext cx="5075100" cy="34133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5" name="Drop Down 3" hidden="1">
                <a:extLst>
                  <a:ext uri="{63B3BB69-23CF-44E3-9099-C40C66FF867C}">
                    <a14:compatExt spid="_x0000_s8195"/>
                  </a:ext>
                </a:extLst>
              </xdr:cNvPr>
              <xdr:cNvSpPr/>
            </xdr:nvSpPr>
            <xdr:spPr bwMode="auto">
              <a:xfrm>
                <a:off x="4630647" y="11361639"/>
                <a:ext cx="1547614" cy="296809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0</xdr:col>
      <xdr:colOff>0</xdr:colOff>
      <xdr:row>27</xdr:row>
      <xdr:rowOff>202197</xdr:rowOff>
    </xdr:from>
    <xdr:to>
      <xdr:col>12</xdr:col>
      <xdr:colOff>0</xdr:colOff>
      <xdr:row>41</xdr:row>
      <xdr:rowOff>0</xdr:rowOff>
    </xdr:to>
    <xdr:grpSp>
      <xdr:nvGrpSpPr>
        <xdr:cNvPr id="10" name="组合 9"/>
        <xdr:cNvGrpSpPr/>
      </xdr:nvGrpSpPr>
      <xdr:grpSpPr>
        <a:xfrm>
          <a:off x="0" y="6992464"/>
          <a:ext cx="4343400" cy="3353803"/>
          <a:chOff x="6497450" y="19258070"/>
          <a:chExt cx="4192693" cy="2785532"/>
        </a:xfrm>
      </xdr:grpSpPr>
      <xdr:graphicFrame macro="">
        <xdr:nvGraphicFramePr>
          <xdr:cNvPr id="6" name="图表 5"/>
          <xdr:cNvGraphicFramePr/>
        </xdr:nvGraphicFramePr>
        <xdr:xfrm>
          <a:off x="6497450" y="19258070"/>
          <a:ext cx="4192693" cy="27855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6" name="Drop Down 4" hidden="1">
                <a:extLst>
                  <a:ext uri="{63B3BB69-23CF-44E3-9099-C40C66FF867C}">
                    <a14:compatExt spid="_x0000_s8196"/>
                  </a:ext>
                </a:extLst>
              </xdr:cNvPr>
              <xdr:cNvSpPr/>
            </xdr:nvSpPr>
            <xdr:spPr bwMode="auto">
              <a:xfrm>
                <a:off x="6849758" y="19273658"/>
                <a:ext cx="925183" cy="27068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11</xdr:row>
          <xdr:rowOff>22860</xdr:rowOff>
        </xdr:from>
        <xdr:to>
          <xdr:col>13</xdr:col>
          <xdr:colOff>0</xdr:colOff>
          <xdr:row>12</xdr:row>
          <xdr:rowOff>45720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0"/>
  <sheetViews>
    <sheetView showGridLines="0" tabSelected="1" zoomScale="80" zoomScaleNormal="80" workbookViewId="0">
      <pane ySplit="3" topLeftCell="A25" activePane="bottomLeft" state="frozen"/>
      <selection pane="bottomLeft" activeCell="P46" sqref="P46"/>
    </sheetView>
  </sheetViews>
  <sheetFormatPr defaultColWidth="9.77734375" defaultRowHeight="19.95" customHeight="1" x14ac:dyDescent="0.25"/>
  <cols>
    <col min="1" max="1" width="9.77734375" style="10"/>
    <col min="2" max="2" width="9.77734375" style="9"/>
    <col min="3" max="3" width="9.77734375" style="33"/>
    <col min="4" max="4" width="9.77734375" style="9"/>
    <col min="5" max="5" width="9.77734375" style="56"/>
    <col min="6" max="6" width="9.77734375" style="9"/>
    <col min="7" max="7" width="9.77734375" style="56"/>
    <col min="8" max="8" width="9.77734375" style="9"/>
    <col min="9" max="9" width="9.77734375" style="33"/>
    <col min="10" max="10" width="9.77734375" style="9"/>
    <col min="11" max="11" width="9.77734375" style="33"/>
    <col min="12" max="12" width="9.77734375" style="9"/>
    <col min="13" max="13" width="9.77734375" style="33"/>
    <col min="14" max="16384" width="9.77734375" style="9"/>
  </cols>
  <sheetData>
    <row r="1" spans="1:13" ht="19.95" customHeight="1" x14ac:dyDescent="0.25">
      <c r="B1" s="79"/>
      <c r="C1" s="79"/>
      <c r="D1" s="79"/>
      <c r="E1" s="79"/>
      <c r="F1" s="79"/>
      <c r="G1" s="79"/>
      <c r="H1" s="79"/>
      <c r="I1" s="79"/>
      <c r="J1" s="79"/>
      <c r="K1" s="79"/>
      <c r="M1" s="9"/>
    </row>
    <row r="2" spans="1:13" ht="19.95" customHeight="1" x14ac:dyDescent="0.25">
      <c r="B2" s="80"/>
      <c r="C2" s="80"/>
      <c r="D2" s="80"/>
      <c r="E2" s="80"/>
      <c r="F2" s="80"/>
      <c r="G2" s="80"/>
      <c r="H2" s="80"/>
      <c r="I2" s="80"/>
      <c r="J2" s="80"/>
      <c r="K2" s="80"/>
      <c r="M2" s="9"/>
    </row>
    <row r="3" spans="1:13" s="49" customFormat="1" ht="19.95" customHeight="1" x14ac:dyDescent="0.25">
      <c r="A3" s="8" t="s">
        <v>47</v>
      </c>
      <c r="B3" s="45" t="s">
        <v>0</v>
      </c>
      <c r="C3" s="45" t="s">
        <v>1</v>
      </c>
      <c r="D3" s="46" t="s">
        <v>64</v>
      </c>
      <c r="E3" s="47" t="s">
        <v>55</v>
      </c>
      <c r="F3" s="46" t="s">
        <v>70</v>
      </c>
      <c r="G3" s="47" t="s">
        <v>55</v>
      </c>
      <c r="H3" s="46" t="s">
        <v>56</v>
      </c>
      <c r="I3" s="47" t="s">
        <v>49</v>
      </c>
      <c r="J3" s="46" t="s">
        <v>46</v>
      </c>
      <c r="K3" s="47" t="s">
        <v>51</v>
      </c>
      <c r="L3" s="46" t="s">
        <v>48</v>
      </c>
      <c r="M3" s="48" t="s">
        <v>50</v>
      </c>
    </row>
    <row r="4" spans="1:13" ht="19.95" customHeight="1" x14ac:dyDescent="0.25">
      <c r="A4" s="52" t="s">
        <v>60</v>
      </c>
      <c r="B4" s="50" t="s">
        <v>2</v>
      </c>
      <c r="C4" s="54" t="str">
        <f>IF(B4="","",VLOOKUP(B4,学生信息汇总!A:E,2,0))</f>
        <v>名字1</v>
      </c>
      <c r="D4" s="50">
        <v>85</v>
      </c>
      <c r="E4" s="55">
        <f>RANK(D4,$D$4:$D$13)</f>
        <v>5</v>
      </c>
      <c r="F4" s="50">
        <v>85</v>
      </c>
      <c r="G4" s="55">
        <f>RANK(F4,$F$4:$F$13)</f>
        <v>6</v>
      </c>
      <c r="H4" s="50">
        <v>100</v>
      </c>
      <c r="I4" s="55">
        <f>RANK(H4,$H$4:$H$13)</f>
        <v>1</v>
      </c>
      <c r="J4" s="50">
        <v>92</v>
      </c>
      <c r="K4" s="55">
        <f>RANK(J4,$J$4:$J$13)</f>
        <v>2</v>
      </c>
      <c r="L4" s="64">
        <f>D4+F4+H4+J4</f>
        <v>362</v>
      </c>
      <c r="M4" s="55">
        <f>RANK(L4,$L$4:$L$13)</f>
        <v>2</v>
      </c>
    </row>
    <row r="5" spans="1:13" ht="19.95" customHeight="1" x14ac:dyDescent="0.25">
      <c r="A5" s="52" t="s">
        <v>60</v>
      </c>
      <c r="B5" s="51" t="s">
        <v>54</v>
      </c>
      <c r="C5" s="54" t="str">
        <f>IF(B5="","",VLOOKUP(B5,学生信息汇总!A:E,2,0))</f>
        <v>名字2</v>
      </c>
      <c r="D5" s="50">
        <v>93</v>
      </c>
      <c r="E5" s="55">
        <f t="shared" ref="E5:E13" si="0">RANK(D5,$D$4:$D$13)</f>
        <v>2</v>
      </c>
      <c r="F5" s="50">
        <v>93</v>
      </c>
      <c r="G5" s="55">
        <f t="shared" ref="G5:G13" si="1">RANK(F5,$F$4:$F$13)</f>
        <v>2</v>
      </c>
      <c r="H5" s="50">
        <v>80</v>
      </c>
      <c r="I5" s="55">
        <f t="shared" ref="I5:I13" si="2">RANK(H5,$H$4:$H$13)</f>
        <v>9</v>
      </c>
      <c r="J5" s="51">
        <v>80</v>
      </c>
      <c r="K5" s="55">
        <f t="shared" ref="K5:K13" si="3">RANK(J5,$J$4:$J$13)</f>
        <v>3</v>
      </c>
      <c r="L5" s="64">
        <f t="shared" ref="L5:L43" si="4">D5+F5+H5+J5</f>
        <v>346</v>
      </c>
      <c r="M5" s="55">
        <f t="shared" ref="M5:M13" si="5">RANK(L5,$L$4:$L$13)</f>
        <v>4</v>
      </c>
    </row>
    <row r="6" spans="1:13" ht="19.95" customHeight="1" x14ac:dyDescent="0.25">
      <c r="A6" s="52" t="s">
        <v>60</v>
      </c>
      <c r="B6" s="51" t="s">
        <v>4</v>
      </c>
      <c r="C6" s="54" t="str">
        <f>IF(B6="","",VLOOKUP(B6,学生信息汇总!A:E,2,0))</f>
        <v>名字3</v>
      </c>
      <c r="D6" s="50">
        <v>90</v>
      </c>
      <c r="E6" s="55">
        <f t="shared" si="0"/>
        <v>3</v>
      </c>
      <c r="F6" s="50">
        <v>92</v>
      </c>
      <c r="G6" s="55">
        <f t="shared" si="1"/>
        <v>3</v>
      </c>
      <c r="H6" s="50">
        <v>85</v>
      </c>
      <c r="I6" s="55">
        <f t="shared" si="2"/>
        <v>7</v>
      </c>
      <c r="J6" s="51">
        <v>80</v>
      </c>
      <c r="K6" s="55">
        <f t="shared" si="3"/>
        <v>3</v>
      </c>
      <c r="L6" s="64">
        <f t="shared" si="4"/>
        <v>347</v>
      </c>
      <c r="M6" s="55">
        <f t="shared" si="5"/>
        <v>3</v>
      </c>
    </row>
    <row r="7" spans="1:13" ht="19.95" customHeight="1" x14ac:dyDescent="0.25">
      <c r="A7" s="52" t="s">
        <v>60</v>
      </c>
      <c r="B7" s="51" t="s">
        <v>5</v>
      </c>
      <c r="C7" s="54" t="str">
        <f>IF(B7="","",VLOOKUP(B7,学生信息汇总!A:E,2,0))</f>
        <v>名字4</v>
      </c>
      <c r="D7" s="50">
        <v>75</v>
      </c>
      <c r="E7" s="55">
        <f t="shared" si="0"/>
        <v>7</v>
      </c>
      <c r="F7" s="50">
        <v>75</v>
      </c>
      <c r="G7" s="55">
        <f t="shared" si="1"/>
        <v>8</v>
      </c>
      <c r="H7" s="50">
        <v>85</v>
      </c>
      <c r="I7" s="55">
        <f t="shared" si="2"/>
        <v>7</v>
      </c>
      <c r="J7" s="51">
        <v>75</v>
      </c>
      <c r="K7" s="55">
        <f t="shared" si="3"/>
        <v>5</v>
      </c>
      <c r="L7" s="64">
        <f t="shared" si="4"/>
        <v>310</v>
      </c>
      <c r="M7" s="55">
        <f t="shared" si="5"/>
        <v>6</v>
      </c>
    </row>
    <row r="8" spans="1:13" ht="19.95" customHeight="1" x14ac:dyDescent="0.25">
      <c r="A8" s="52" t="s">
        <v>60</v>
      </c>
      <c r="B8" s="51" t="s">
        <v>6</v>
      </c>
      <c r="C8" s="54" t="str">
        <f>IF(B8="","",VLOOKUP(B8,学生信息汇总!A:E,2,0))</f>
        <v>名字5</v>
      </c>
      <c r="D8" s="50">
        <v>88</v>
      </c>
      <c r="E8" s="55">
        <f t="shared" si="0"/>
        <v>4</v>
      </c>
      <c r="F8" s="50">
        <v>88</v>
      </c>
      <c r="G8" s="55">
        <f t="shared" si="1"/>
        <v>5</v>
      </c>
      <c r="H8" s="50">
        <v>89</v>
      </c>
      <c r="I8" s="55">
        <f t="shared" si="2"/>
        <v>5</v>
      </c>
      <c r="J8" s="51">
        <v>70</v>
      </c>
      <c r="K8" s="55">
        <f t="shared" si="3"/>
        <v>6</v>
      </c>
      <c r="L8" s="64">
        <f t="shared" si="4"/>
        <v>335</v>
      </c>
      <c r="M8" s="55">
        <f t="shared" si="5"/>
        <v>5</v>
      </c>
    </row>
    <row r="9" spans="1:13" ht="19.95" customHeight="1" x14ac:dyDescent="0.25">
      <c r="A9" s="52" t="s">
        <v>60</v>
      </c>
      <c r="B9" s="51" t="s">
        <v>7</v>
      </c>
      <c r="C9" s="54" t="str">
        <f>IF(B9="","",VLOOKUP(B9,学生信息汇总!A:E,2,0))</f>
        <v>名字6</v>
      </c>
      <c r="D9" s="50">
        <v>55</v>
      </c>
      <c r="E9" s="55">
        <f t="shared" si="0"/>
        <v>9</v>
      </c>
      <c r="F9" s="50">
        <v>90</v>
      </c>
      <c r="G9" s="55">
        <f t="shared" si="1"/>
        <v>4</v>
      </c>
      <c r="H9" s="50">
        <v>95</v>
      </c>
      <c r="I9" s="55">
        <f t="shared" si="2"/>
        <v>2</v>
      </c>
      <c r="J9" s="51">
        <v>65</v>
      </c>
      <c r="K9" s="55">
        <f t="shared" si="3"/>
        <v>7</v>
      </c>
      <c r="L9" s="64">
        <f t="shared" si="4"/>
        <v>305</v>
      </c>
      <c r="M9" s="55">
        <f t="shared" si="5"/>
        <v>7</v>
      </c>
    </row>
    <row r="10" spans="1:13" ht="19.95" customHeight="1" x14ac:dyDescent="0.25">
      <c r="A10" s="52" t="s">
        <v>60</v>
      </c>
      <c r="B10" s="51" t="s">
        <v>8</v>
      </c>
      <c r="C10" s="54" t="str">
        <f>IF(B10="","",VLOOKUP(B10,学生信息汇总!A:E,2,0))</f>
        <v>名字7</v>
      </c>
      <c r="D10" s="50">
        <v>60</v>
      </c>
      <c r="E10" s="55">
        <f t="shared" si="0"/>
        <v>8</v>
      </c>
      <c r="F10" s="50">
        <v>60</v>
      </c>
      <c r="G10" s="55">
        <f t="shared" si="1"/>
        <v>9</v>
      </c>
      <c r="H10" s="50">
        <v>95</v>
      </c>
      <c r="I10" s="55">
        <f t="shared" si="2"/>
        <v>2</v>
      </c>
      <c r="J10" s="51">
        <v>60</v>
      </c>
      <c r="K10" s="55">
        <f t="shared" si="3"/>
        <v>8</v>
      </c>
      <c r="L10" s="64">
        <f t="shared" si="4"/>
        <v>275</v>
      </c>
      <c r="M10" s="55">
        <f t="shared" si="5"/>
        <v>9</v>
      </c>
    </row>
    <row r="11" spans="1:13" ht="19.95" customHeight="1" x14ac:dyDescent="0.25">
      <c r="A11" s="52" t="s">
        <v>60</v>
      </c>
      <c r="B11" s="51" t="s">
        <v>9</v>
      </c>
      <c r="C11" s="54" t="str">
        <f>IF(B11="","",VLOOKUP(B11,学生信息汇总!A:E,2,0))</f>
        <v>名字8</v>
      </c>
      <c r="D11" s="50">
        <v>55</v>
      </c>
      <c r="E11" s="55">
        <f t="shared" si="0"/>
        <v>9</v>
      </c>
      <c r="F11" s="50">
        <v>55</v>
      </c>
      <c r="G11" s="55">
        <f t="shared" si="1"/>
        <v>10</v>
      </c>
      <c r="H11" s="50">
        <v>80</v>
      </c>
      <c r="I11" s="55">
        <f t="shared" si="2"/>
        <v>9</v>
      </c>
      <c r="J11" s="51">
        <v>55</v>
      </c>
      <c r="K11" s="55">
        <f t="shared" si="3"/>
        <v>9</v>
      </c>
      <c r="L11" s="64">
        <f t="shared" si="4"/>
        <v>245</v>
      </c>
      <c r="M11" s="55">
        <f t="shared" si="5"/>
        <v>10</v>
      </c>
    </row>
    <row r="12" spans="1:13" ht="19.95" customHeight="1" x14ac:dyDescent="0.25">
      <c r="A12" s="52" t="s">
        <v>60</v>
      </c>
      <c r="B12" s="51" t="s">
        <v>10</v>
      </c>
      <c r="C12" s="54" t="str">
        <f>IF(B12="","",VLOOKUP(B12,学生信息汇总!A:E,2,0))</f>
        <v>名字9</v>
      </c>
      <c r="D12" s="50">
        <v>78</v>
      </c>
      <c r="E12" s="55">
        <f t="shared" si="0"/>
        <v>6</v>
      </c>
      <c r="F12" s="50">
        <v>78</v>
      </c>
      <c r="G12" s="55">
        <f t="shared" si="1"/>
        <v>7</v>
      </c>
      <c r="H12" s="50">
        <v>89</v>
      </c>
      <c r="I12" s="55">
        <f t="shared" si="2"/>
        <v>5</v>
      </c>
      <c r="J12" s="51">
        <v>50</v>
      </c>
      <c r="K12" s="55">
        <f t="shared" si="3"/>
        <v>10</v>
      </c>
      <c r="L12" s="64">
        <f t="shared" si="4"/>
        <v>295</v>
      </c>
      <c r="M12" s="55">
        <f t="shared" si="5"/>
        <v>8</v>
      </c>
    </row>
    <row r="13" spans="1:13" ht="19.95" customHeight="1" x14ac:dyDescent="0.25">
      <c r="A13" s="52" t="s">
        <v>60</v>
      </c>
      <c r="B13" s="51" t="s">
        <v>11</v>
      </c>
      <c r="C13" s="54" t="str">
        <f>IF(B13="","",VLOOKUP(B13,学生信息汇总!A:E,2,0))</f>
        <v>名字10</v>
      </c>
      <c r="D13" s="50">
        <v>95</v>
      </c>
      <c r="E13" s="55">
        <f t="shared" si="0"/>
        <v>1</v>
      </c>
      <c r="F13" s="50">
        <v>95</v>
      </c>
      <c r="G13" s="55">
        <f t="shared" si="1"/>
        <v>1</v>
      </c>
      <c r="H13" s="50">
        <v>95</v>
      </c>
      <c r="I13" s="55">
        <f t="shared" si="2"/>
        <v>2</v>
      </c>
      <c r="J13" s="51">
        <v>95</v>
      </c>
      <c r="K13" s="55">
        <f t="shared" si="3"/>
        <v>1</v>
      </c>
      <c r="L13" s="64">
        <f t="shared" si="4"/>
        <v>380</v>
      </c>
      <c r="M13" s="55">
        <f t="shared" si="5"/>
        <v>1</v>
      </c>
    </row>
    <row r="14" spans="1:13" ht="19.95" customHeight="1" x14ac:dyDescent="0.25">
      <c r="A14" s="52" t="s">
        <v>61</v>
      </c>
      <c r="B14" s="51" t="s">
        <v>52</v>
      </c>
      <c r="C14" s="54" t="str">
        <f>IF(B14="","",VLOOKUP(B14,学生信息汇总!A:E,2,0))</f>
        <v>名字1</v>
      </c>
      <c r="D14" s="50">
        <v>89</v>
      </c>
      <c r="E14" s="55">
        <f>RANK(D14,$D$14:$D$23)</f>
        <v>4</v>
      </c>
      <c r="F14" s="50">
        <v>89</v>
      </c>
      <c r="G14" s="55">
        <f>RANK(F14,$F$14:$F$23)</f>
        <v>4</v>
      </c>
      <c r="H14" s="51">
        <v>81</v>
      </c>
      <c r="I14" s="55">
        <f>RANK(H14,$H$14:$H$23)</f>
        <v>9</v>
      </c>
      <c r="J14" s="50">
        <v>95</v>
      </c>
      <c r="K14" s="55">
        <f>RANK(J14,$J$14:$J$23)</f>
        <v>2</v>
      </c>
      <c r="L14" s="64">
        <f t="shared" si="4"/>
        <v>354</v>
      </c>
      <c r="M14" s="55">
        <f>RANK(L14,$L$14:$L$23)</f>
        <v>5</v>
      </c>
    </row>
    <row r="15" spans="1:13" ht="19.95" customHeight="1" x14ac:dyDescent="0.25">
      <c r="A15" s="52" t="s">
        <v>61</v>
      </c>
      <c r="B15" s="51" t="s">
        <v>53</v>
      </c>
      <c r="C15" s="54" t="str">
        <f>IF(B15="","",VLOOKUP(B15,学生信息汇总!A:E,2,0))</f>
        <v>名字2</v>
      </c>
      <c r="D15" s="50">
        <v>80</v>
      </c>
      <c r="E15" s="55">
        <f t="shared" ref="E15:E23" si="6">RANK(D15,$D$14:$D$23)</f>
        <v>9</v>
      </c>
      <c r="F15" s="50">
        <v>80</v>
      </c>
      <c r="G15" s="55">
        <f t="shared" ref="G15:G23" si="7">RANK(F15,$F$14:$F$23)</f>
        <v>8</v>
      </c>
      <c r="H15" s="51">
        <v>55</v>
      </c>
      <c r="I15" s="55">
        <f t="shared" ref="I15:I23" si="8">RANK(H15,$H$14:$H$23)</f>
        <v>10</v>
      </c>
      <c r="J15" s="51">
        <v>100</v>
      </c>
      <c r="K15" s="55">
        <f t="shared" ref="K15:K23" si="9">RANK(J15,$J$14:$J$23)</f>
        <v>1</v>
      </c>
      <c r="L15" s="64">
        <f t="shared" si="4"/>
        <v>315</v>
      </c>
      <c r="M15" s="55">
        <f t="shared" ref="M15:M23" si="10">RANK(L15,$L$14:$L$23)</f>
        <v>9</v>
      </c>
    </row>
    <row r="16" spans="1:13" ht="19.95" customHeight="1" x14ac:dyDescent="0.25">
      <c r="A16" s="52" t="s">
        <v>61</v>
      </c>
      <c r="B16" s="51" t="s">
        <v>4</v>
      </c>
      <c r="C16" s="54" t="str">
        <f>IF(B16="","",VLOOKUP(B16,学生信息汇总!A:E,2,0))</f>
        <v>名字3</v>
      </c>
      <c r="D16" s="50">
        <v>85</v>
      </c>
      <c r="E16" s="55">
        <f t="shared" si="6"/>
        <v>7</v>
      </c>
      <c r="F16" s="50">
        <v>56</v>
      </c>
      <c r="G16" s="55">
        <f t="shared" si="7"/>
        <v>10</v>
      </c>
      <c r="H16" s="51">
        <v>83</v>
      </c>
      <c r="I16" s="55">
        <f t="shared" si="8"/>
        <v>8</v>
      </c>
      <c r="J16" s="51">
        <v>89</v>
      </c>
      <c r="K16" s="55">
        <f t="shared" si="9"/>
        <v>5</v>
      </c>
      <c r="L16" s="64">
        <f t="shared" si="4"/>
        <v>313</v>
      </c>
      <c r="M16" s="55">
        <f t="shared" si="10"/>
        <v>10</v>
      </c>
    </row>
    <row r="17" spans="1:14" ht="19.95" customHeight="1" x14ac:dyDescent="0.25">
      <c r="A17" s="52" t="s">
        <v>61</v>
      </c>
      <c r="B17" s="51" t="s">
        <v>5</v>
      </c>
      <c r="C17" s="54" t="str">
        <f>IF(B17="","",VLOOKUP(B17,学生信息汇总!A:E,2,0))</f>
        <v>名字4</v>
      </c>
      <c r="D17" s="50">
        <v>85</v>
      </c>
      <c r="E17" s="55">
        <f t="shared" si="6"/>
        <v>7</v>
      </c>
      <c r="F17" s="50">
        <v>85</v>
      </c>
      <c r="G17" s="55">
        <f t="shared" si="7"/>
        <v>7</v>
      </c>
      <c r="H17" s="51">
        <v>84</v>
      </c>
      <c r="I17" s="55">
        <f t="shared" si="8"/>
        <v>7</v>
      </c>
      <c r="J17" s="51">
        <v>80</v>
      </c>
      <c r="K17" s="55">
        <f t="shared" si="9"/>
        <v>10</v>
      </c>
      <c r="L17" s="64">
        <f t="shared" si="4"/>
        <v>334</v>
      </c>
      <c r="M17" s="55">
        <f t="shared" si="10"/>
        <v>8</v>
      </c>
    </row>
    <row r="18" spans="1:14" ht="19.95" customHeight="1" x14ac:dyDescent="0.25">
      <c r="A18" s="52" t="s">
        <v>61</v>
      </c>
      <c r="B18" s="51" t="s">
        <v>6</v>
      </c>
      <c r="C18" s="54" t="str">
        <f>IF(B18="","",VLOOKUP(B18,学生信息汇总!A:E,2,0))</f>
        <v>名字5</v>
      </c>
      <c r="D18" s="50">
        <v>89</v>
      </c>
      <c r="E18" s="55">
        <f t="shared" si="6"/>
        <v>4</v>
      </c>
      <c r="F18" s="50">
        <v>89</v>
      </c>
      <c r="G18" s="55">
        <f t="shared" si="7"/>
        <v>4</v>
      </c>
      <c r="H18" s="51">
        <v>85</v>
      </c>
      <c r="I18" s="55">
        <f t="shared" si="8"/>
        <v>6</v>
      </c>
      <c r="J18" s="51">
        <v>85</v>
      </c>
      <c r="K18" s="55">
        <f t="shared" si="9"/>
        <v>8</v>
      </c>
      <c r="L18" s="64">
        <f t="shared" si="4"/>
        <v>348</v>
      </c>
      <c r="M18" s="55">
        <f t="shared" si="10"/>
        <v>6</v>
      </c>
    </row>
    <row r="19" spans="1:14" ht="19.95" customHeight="1" x14ac:dyDescent="0.25">
      <c r="A19" s="52" t="s">
        <v>61</v>
      </c>
      <c r="B19" s="51" t="s">
        <v>7</v>
      </c>
      <c r="C19" s="54" t="str">
        <f>IF(B19="","",VLOOKUP(B19,学生信息汇总!A:E,2,0))</f>
        <v>名字6</v>
      </c>
      <c r="D19" s="50">
        <v>95</v>
      </c>
      <c r="E19" s="55">
        <f t="shared" si="6"/>
        <v>2</v>
      </c>
      <c r="F19" s="50">
        <v>95</v>
      </c>
      <c r="G19" s="55">
        <f t="shared" si="7"/>
        <v>1</v>
      </c>
      <c r="H19" s="51">
        <v>86</v>
      </c>
      <c r="I19" s="55">
        <f t="shared" si="8"/>
        <v>5</v>
      </c>
      <c r="J19" s="51">
        <v>81</v>
      </c>
      <c r="K19" s="55">
        <f t="shared" si="9"/>
        <v>9</v>
      </c>
      <c r="L19" s="64">
        <f t="shared" si="4"/>
        <v>357</v>
      </c>
      <c r="M19" s="55">
        <f t="shared" si="10"/>
        <v>4</v>
      </c>
      <c r="N19" s="53"/>
    </row>
    <row r="20" spans="1:14" ht="19.95" customHeight="1" x14ac:dyDescent="0.25">
      <c r="A20" s="52" t="s">
        <v>61</v>
      </c>
      <c r="B20" s="51" t="s">
        <v>8</v>
      </c>
      <c r="C20" s="54" t="str">
        <f>IF(B20="","",VLOOKUP(B20,学生信息汇总!A:E,2,0))</f>
        <v>名字7</v>
      </c>
      <c r="D20" s="50">
        <v>95</v>
      </c>
      <c r="E20" s="55">
        <f t="shared" si="6"/>
        <v>2</v>
      </c>
      <c r="F20" s="50">
        <v>95</v>
      </c>
      <c r="G20" s="55">
        <f t="shared" si="7"/>
        <v>1</v>
      </c>
      <c r="H20" s="51">
        <v>87</v>
      </c>
      <c r="I20" s="55">
        <f t="shared" si="8"/>
        <v>4</v>
      </c>
      <c r="J20" s="51">
        <v>88</v>
      </c>
      <c r="K20" s="55">
        <f t="shared" si="9"/>
        <v>6</v>
      </c>
      <c r="L20" s="64">
        <f t="shared" si="4"/>
        <v>365</v>
      </c>
      <c r="M20" s="55">
        <f t="shared" si="10"/>
        <v>2</v>
      </c>
      <c r="N20" s="53"/>
    </row>
    <row r="21" spans="1:14" ht="19.95" customHeight="1" x14ac:dyDescent="0.25">
      <c r="A21" s="52" t="s">
        <v>61</v>
      </c>
      <c r="B21" s="51" t="s">
        <v>9</v>
      </c>
      <c r="C21" s="54" t="str">
        <f>IF(B21="","",VLOOKUP(B21,学生信息汇总!A:E,2,0))</f>
        <v>名字8</v>
      </c>
      <c r="D21" s="50">
        <v>80</v>
      </c>
      <c r="E21" s="55">
        <f t="shared" si="6"/>
        <v>9</v>
      </c>
      <c r="F21" s="50">
        <v>80</v>
      </c>
      <c r="G21" s="55">
        <f t="shared" si="7"/>
        <v>8</v>
      </c>
      <c r="H21" s="51">
        <v>88</v>
      </c>
      <c r="I21" s="55">
        <f t="shared" si="8"/>
        <v>3</v>
      </c>
      <c r="J21" s="51">
        <v>90</v>
      </c>
      <c r="K21" s="55">
        <f t="shared" si="9"/>
        <v>4</v>
      </c>
      <c r="L21" s="64">
        <f t="shared" si="4"/>
        <v>338</v>
      </c>
      <c r="M21" s="55">
        <f t="shared" si="10"/>
        <v>7</v>
      </c>
      <c r="N21" s="53"/>
    </row>
    <row r="22" spans="1:14" ht="19.95" customHeight="1" x14ac:dyDescent="0.25">
      <c r="A22" s="52" t="s">
        <v>61</v>
      </c>
      <c r="B22" s="51" t="s">
        <v>10</v>
      </c>
      <c r="C22" s="54" t="str">
        <f>IF(B22="","",VLOOKUP(B22,学生信息汇总!A:E,2,0))</f>
        <v>名字9</v>
      </c>
      <c r="D22" s="50">
        <v>89</v>
      </c>
      <c r="E22" s="55">
        <f t="shared" si="6"/>
        <v>4</v>
      </c>
      <c r="F22" s="50">
        <v>89</v>
      </c>
      <c r="G22" s="55">
        <f t="shared" si="7"/>
        <v>4</v>
      </c>
      <c r="H22" s="51">
        <v>89</v>
      </c>
      <c r="I22" s="55">
        <f t="shared" si="8"/>
        <v>2</v>
      </c>
      <c r="J22" s="51">
        <v>93</v>
      </c>
      <c r="K22" s="55">
        <f t="shared" si="9"/>
        <v>3</v>
      </c>
      <c r="L22" s="64">
        <f t="shared" si="4"/>
        <v>360</v>
      </c>
      <c r="M22" s="55">
        <f t="shared" si="10"/>
        <v>3</v>
      </c>
      <c r="N22" s="53"/>
    </row>
    <row r="23" spans="1:14" ht="19.95" customHeight="1" x14ac:dyDescent="0.25">
      <c r="A23" s="52" t="s">
        <v>61</v>
      </c>
      <c r="B23" s="51" t="s">
        <v>11</v>
      </c>
      <c r="C23" s="54" t="str">
        <f>IF(B23="","",VLOOKUP(B23,学生信息汇总!A:E,2,0))</f>
        <v>名字10</v>
      </c>
      <c r="D23" s="50">
        <v>96</v>
      </c>
      <c r="E23" s="55">
        <f t="shared" si="6"/>
        <v>1</v>
      </c>
      <c r="F23" s="50">
        <v>95</v>
      </c>
      <c r="G23" s="55">
        <f t="shared" si="7"/>
        <v>1</v>
      </c>
      <c r="H23" s="51">
        <v>90</v>
      </c>
      <c r="I23" s="55">
        <f t="shared" si="8"/>
        <v>1</v>
      </c>
      <c r="J23" s="51">
        <v>87</v>
      </c>
      <c r="K23" s="55">
        <f t="shared" si="9"/>
        <v>7</v>
      </c>
      <c r="L23" s="64">
        <f t="shared" si="4"/>
        <v>368</v>
      </c>
      <c r="M23" s="55">
        <f t="shared" si="10"/>
        <v>1</v>
      </c>
    </row>
    <row r="24" spans="1:14" ht="19.95" customHeight="1" x14ac:dyDescent="0.25">
      <c r="A24" s="52" t="s">
        <v>67</v>
      </c>
      <c r="B24" s="51" t="s">
        <v>52</v>
      </c>
      <c r="C24" s="54" t="str">
        <f>IF(B24="","",VLOOKUP(B24,学生信息汇总!A:E,2,0))</f>
        <v>名字1</v>
      </c>
      <c r="D24" s="50">
        <v>95</v>
      </c>
      <c r="E24" s="55">
        <f t="shared" ref="E24:E33" si="11">RANK(D24,$D$24:$D$33)</f>
        <v>1</v>
      </c>
      <c r="F24" s="50">
        <v>95</v>
      </c>
      <c r="G24" s="55">
        <f>RANK(F24,$F$24:$F$33)</f>
        <v>1</v>
      </c>
      <c r="H24" s="51">
        <v>80</v>
      </c>
      <c r="I24" s="55">
        <f>RANK(H24,$H$24:$H$33)</f>
        <v>3</v>
      </c>
      <c r="J24" s="50">
        <v>100</v>
      </c>
      <c r="K24" s="55">
        <f>RANK(J24,$J$24:$J$33)</f>
        <v>1</v>
      </c>
      <c r="L24" s="64">
        <f t="shared" si="4"/>
        <v>370</v>
      </c>
      <c r="M24" s="55">
        <f>RANK(L24,$L$24:$L$33)</f>
        <v>1</v>
      </c>
    </row>
    <row r="25" spans="1:14" ht="19.95" customHeight="1" x14ac:dyDescent="0.25">
      <c r="A25" s="52" t="s">
        <v>67</v>
      </c>
      <c r="B25" s="51" t="s">
        <v>53</v>
      </c>
      <c r="C25" s="54" t="str">
        <f>IF(B25="","",VLOOKUP(B25,学生信息汇总!A:E,2,0))</f>
        <v>名字2</v>
      </c>
      <c r="D25" s="51">
        <v>81</v>
      </c>
      <c r="E25" s="55">
        <f t="shared" si="11"/>
        <v>9</v>
      </c>
      <c r="F25" s="51">
        <v>81</v>
      </c>
      <c r="G25" s="55">
        <f t="shared" ref="G25:G33" si="12">RANK(F25,$F$24:$F$33)</f>
        <v>10</v>
      </c>
      <c r="H25" s="51">
        <v>75</v>
      </c>
      <c r="I25" s="55">
        <f t="shared" ref="I25:I33" si="13">RANK(H25,$H$24:$H$33)</f>
        <v>5</v>
      </c>
      <c r="J25" s="50">
        <v>80</v>
      </c>
      <c r="K25" s="55">
        <f t="shared" ref="K25:K33" si="14">RANK(J25,$J$24:$J$33)</f>
        <v>9</v>
      </c>
      <c r="L25" s="64">
        <f t="shared" si="4"/>
        <v>317</v>
      </c>
      <c r="M25" s="55">
        <f t="shared" ref="M25:M33" si="15">RANK(L25,$L$24:$L$33)</f>
        <v>6</v>
      </c>
    </row>
    <row r="26" spans="1:14" ht="19.95" customHeight="1" x14ac:dyDescent="0.25">
      <c r="A26" s="52" t="s">
        <v>67</v>
      </c>
      <c r="B26" s="51" t="s">
        <v>4</v>
      </c>
      <c r="C26" s="54" t="str">
        <f>IF(B26="","",VLOOKUP(B26,学生信息汇总!A:E,2,0))</f>
        <v>名字3</v>
      </c>
      <c r="D26" s="51">
        <v>82</v>
      </c>
      <c r="E26" s="55">
        <f t="shared" si="11"/>
        <v>8</v>
      </c>
      <c r="F26" s="51">
        <v>82</v>
      </c>
      <c r="G26" s="55">
        <f t="shared" si="12"/>
        <v>9</v>
      </c>
      <c r="H26" s="51">
        <v>70</v>
      </c>
      <c r="I26" s="55">
        <f t="shared" si="13"/>
        <v>6</v>
      </c>
      <c r="J26" s="50">
        <v>85</v>
      </c>
      <c r="K26" s="55">
        <f t="shared" si="14"/>
        <v>7</v>
      </c>
      <c r="L26" s="64">
        <f t="shared" si="4"/>
        <v>319</v>
      </c>
      <c r="M26" s="55">
        <f t="shared" si="15"/>
        <v>5</v>
      </c>
    </row>
    <row r="27" spans="1:14" ht="19.95" customHeight="1" x14ac:dyDescent="0.25">
      <c r="A27" s="52" t="s">
        <v>67</v>
      </c>
      <c r="B27" s="51" t="s">
        <v>5</v>
      </c>
      <c r="C27" s="54" t="str">
        <f>IF(B27="","",VLOOKUP(B27,学生信息汇总!A:E,2,0))</f>
        <v>名字4</v>
      </c>
      <c r="D27" s="51">
        <v>83</v>
      </c>
      <c r="E27" s="55">
        <f t="shared" si="11"/>
        <v>7</v>
      </c>
      <c r="F27" s="51">
        <v>83</v>
      </c>
      <c r="G27" s="55">
        <f t="shared" si="12"/>
        <v>8</v>
      </c>
      <c r="H27" s="51">
        <v>65</v>
      </c>
      <c r="I27" s="55">
        <f t="shared" si="13"/>
        <v>7</v>
      </c>
      <c r="J27" s="50">
        <v>85</v>
      </c>
      <c r="K27" s="55">
        <f t="shared" si="14"/>
        <v>7</v>
      </c>
      <c r="L27" s="64">
        <f t="shared" si="4"/>
        <v>316</v>
      </c>
      <c r="M27" s="55">
        <f t="shared" si="15"/>
        <v>9</v>
      </c>
    </row>
    <row r="28" spans="1:14" ht="19.95" customHeight="1" x14ac:dyDescent="0.25">
      <c r="A28" s="52" t="s">
        <v>67</v>
      </c>
      <c r="B28" s="51" t="s">
        <v>6</v>
      </c>
      <c r="C28" s="54" t="str">
        <f>IF(B28="","",VLOOKUP(B28,学生信息汇总!A:E,2,0))</f>
        <v>名字5</v>
      </c>
      <c r="D28" s="51">
        <v>84</v>
      </c>
      <c r="E28" s="55">
        <f t="shared" si="11"/>
        <v>6</v>
      </c>
      <c r="F28" s="51">
        <v>84</v>
      </c>
      <c r="G28" s="55">
        <f t="shared" si="12"/>
        <v>7</v>
      </c>
      <c r="H28" s="51">
        <v>60</v>
      </c>
      <c r="I28" s="55">
        <f t="shared" si="13"/>
        <v>8</v>
      </c>
      <c r="J28" s="50">
        <v>89</v>
      </c>
      <c r="K28" s="55">
        <f t="shared" si="14"/>
        <v>5</v>
      </c>
      <c r="L28" s="64">
        <f t="shared" si="4"/>
        <v>317</v>
      </c>
      <c r="M28" s="55">
        <f t="shared" si="15"/>
        <v>6</v>
      </c>
    </row>
    <row r="29" spans="1:14" ht="19.95" customHeight="1" x14ac:dyDescent="0.25">
      <c r="A29" s="52" t="s">
        <v>67</v>
      </c>
      <c r="B29" s="51" t="s">
        <v>7</v>
      </c>
      <c r="C29" s="54" t="str">
        <f>IF(B29="","",VLOOKUP(B29,学生信息汇总!A:E,2,0))</f>
        <v>名字6</v>
      </c>
      <c r="D29" s="51">
        <v>55</v>
      </c>
      <c r="E29" s="55">
        <f t="shared" si="11"/>
        <v>10</v>
      </c>
      <c r="F29" s="51">
        <v>85</v>
      </c>
      <c r="G29" s="55">
        <f t="shared" si="12"/>
        <v>6</v>
      </c>
      <c r="H29" s="51">
        <v>55</v>
      </c>
      <c r="I29" s="55">
        <f t="shared" si="13"/>
        <v>9</v>
      </c>
      <c r="J29" s="50">
        <v>95</v>
      </c>
      <c r="K29" s="55">
        <f t="shared" si="14"/>
        <v>2</v>
      </c>
      <c r="L29" s="64">
        <f t="shared" si="4"/>
        <v>290</v>
      </c>
      <c r="M29" s="55">
        <f t="shared" si="15"/>
        <v>10</v>
      </c>
    </row>
    <row r="30" spans="1:14" ht="19.95" customHeight="1" x14ac:dyDescent="0.25">
      <c r="A30" s="52" t="s">
        <v>67</v>
      </c>
      <c r="B30" s="51" t="s">
        <v>8</v>
      </c>
      <c r="C30" s="54" t="str">
        <f>IF(B30="","",VLOOKUP(B30,学生信息汇总!A:E,2,0))</f>
        <v>名字7</v>
      </c>
      <c r="D30" s="51">
        <v>86</v>
      </c>
      <c r="E30" s="55">
        <f t="shared" si="11"/>
        <v>5</v>
      </c>
      <c r="F30" s="51">
        <v>86</v>
      </c>
      <c r="G30" s="55">
        <f t="shared" si="12"/>
        <v>5</v>
      </c>
      <c r="H30" s="51">
        <v>50</v>
      </c>
      <c r="I30" s="55">
        <f t="shared" si="13"/>
        <v>10</v>
      </c>
      <c r="J30" s="50">
        <v>95</v>
      </c>
      <c r="K30" s="55">
        <f t="shared" si="14"/>
        <v>2</v>
      </c>
      <c r="L30" s="64">
        <f t="shared" si="4"/>
        <v>317</v>
      </c>
      <c r="M30" s="55">
        <f t="shared" si="15"/>
        <v>6</v>
      </c>
    </row>
    <row r="31" spans="1:14" ht="19.95" customHeight="1" x14ac:dyDescent="0.25">
      <c r="A31" s="52" t="s">
        <v>67</v>
      </c>
      <c r="B31" s="51" t="s">
        <v>9</v>
      </c>
      <c r="C31" s="54" t="str">
        <f>IF(B31="","",VLOOKUP(B31,学生信息汇总!A:E,2,0))</f>
        <v>名字8</v>
      </c>
      <c r="D31" s="51">
        <v>87</v>
      </c>
      <c r="E31" s="55">
        <f t="shared" si="11"/>
        <v>4</v>
      </c>
      <c r="F31" s="51">
        <v>87</v>
      </c>
      <c r="G31" s="55">
        <f t="shared" si="12"/>
        <v>4</v>
      </c>
      <c r="H31" s="51">
        <v>95</v>
      </c>
      <c r="I31" s="55">
        <f t="shared" si="13"/>
        <v>1</v>
      </c>
      <c r="J31" s="50">
        <v>80</v>
      </c>
      <c r="K31" s="55">
        <f t="shared" si="14"/>
        <v>9</v>
      </c>
      <c r="L31" s="64">
        <f t="shared" si="4"/>
        <v>349</v>
      </c>
      <c r="M31" s="55">
        <f t="shared" si="15"/>
        <v>3</v>
      </c>
    </row>
    <row r="32" spans="1:14" ht="19.95" customHeight="1" x14ac:dyDescent="0.25">
      <c r="A32" s="52" t="s">
        <v>67</v>
      </c>
      <c r="B32" s="51" t="s">
        <v>10</v>
      </c>
      <c r="C32" s="54" t="str">
        <f>IF(B32="","",VLOOKUP(B32,学生信息汇总!A:E,2,0))</f>
        <v>名字9</v>
      </c>
      <c r="D32" s="51">
        <v>88</v>
      </c>
      <c r="E32" s="55">
        <f t="shared" si="11"/>
        <v>3</v>
      </c>
      <c r="F32" s="51">
        <v>88</v>
      </c>
      <c r="G32" s="55">
        <f t="shared" si="12"/>
        <v>3</v>
      </c>
      <c r="H32" s="50">
        <v>81</v>
      </c>
      <c r="I32" s="55">
        <f t="shared" si="13"/>
        <v>2</v>
      </c>
      <c r="J32" s="50">
        <v>89</v>
      </c>
      <c r="K32" s="55">
        <f t="shared" si="14"/>
        <v>5</v>
      </c>
      <c r="L32" s="64">
        <f t="shared" si="4"/>
        <v>346</v>
      </c>
      <c r="M32" s="55">
        <f t="shared" si="15"/>
        <v>4</v>
      </c>
    </row>
    <row r="33" spans="1:13" ht="19.95" customHeight="1" x14ac:dyDescent="0.25">
      <c r="A33" s="52" t="s">
        <v>67</v>
      </c>
      <c r="B33" s="51" t="s">
        <v>11</v>
      </c>
      <c r="C33" s="54" t="str">
        <f>IF(B33="","",VLOOKUP(B33,学生信息汇总!A:E,2,0))</f>
        <v>名字10</v>
      </c>
      <c r="D33" s="51">
        <v>89</v>
      </c>
      <c r="E33" s="55">
        <f t="shared" si="11"/>
        <v>2</v>
      </c>
      <c r="F33" s="51">
        <v>89</v>
      </c>
      <c r="G33" s="55">
        <f t="shared" si="12"/>
        <v>2</v>
      </c>
      <c r="H33" s="51">
        <v>80</v>
      </c>
      <c r="I33" s="55">
        <f t="shared" si="13"/>
        <v>3</v>
      </c>
      <c r="J33" s="50">
        <v>95</v>
      </c>
      <c r="K33" s="55">
        <f t="shared" si="14"/>
        <v>2</v>
      </c>
      <c r="L33" s="64">
        <f t="shared" si="4"/>
        <v>353</v>
      </c>
      <c r="M33" s="55">
        <f t="shared" si="15"/>
        <v>2</v>
      </c>
    </row>
    <row r="34" spans="1:13" ht="19.95" customHeight="1" x14ac:dyDescent="0.25">
      <c r="A34" s="52" t="s">
        <v>68</v>
      </c>
      <c r="B34" s="51" t="s">
        <v>52</v>
      </c>
      <c r="C34" s="54" t="str">
        <f>IF(B34="","",VLOOKUP(B34,学生信息汇总!A:E,2,0))</f>
        <v>名字1</v>
      </c>
      <c r="D34" s="51">
        <v>90</v>
      </c>
      <c r="E34" s="55">
        <f>RANK(D34,$D$34:$D$43)</f>
        <v>3</v>
      </c>
      <c r="F34" s="51">
        <v>90</v>
      </c>
      <c r="G34" s="55">
        <f>RANK(F34,$F$34:$F$43)</f>
        <v>3</v>
      </c>
      <c r="H34" s="51">
        <v>89</v>
      </c>
      <c r="I34" s="55">
        <f>RANK(H34,$H$34:$H$43)</f>
        <v>3</v>
      </c>
      <c r="J34" s="51">
        <v>81</v>
      </c>
      <c r="K34" s="55">
        <f>RANK(J34,$J$34:$J$43)</f>
        <v>8</v>
      </c>
      <c r="L34" s="64">
        <f t="shared" si="4"/>
        <v>350</v>
      </c>
      <c r="M34" s="55">
        <f>RANK(L34,$L$34:$L$43)</f>
        <v>3</v>
      </c>
    </row>
    <row r="35" spans="1:13" ht="19.95" customHeight="1" x14ac:dyDescent="0.25">
      <c r="A35" s="52" t="s">
        <v>68</v>
      </c>
      <c r="B35" s="51" t="s">
        <v>53</v>
      </c>
      <c r="C35" s="54" t="str">
        <f>IF(B35="","",VLOOKUP(B35,学生信息汇总!A:E,2,0))</f>
        <v>名字2</v>
      </c>
      <c r="D35" s="50">
        <v>81</v>
      </c>
      <c r="E35" s="55">
        <f t="shared" ref="E35:E43" si="16">RANK(D35,$D$34:$D$43)</f>
        <v>8</v>
      </c>
      <c r="F35" s="51">
        <v>65</v>
      </c>
      <c r="G35" s="55">
        <f t="shared" ref="G35:G43" si="17">RANK(F35,$F$34:$F$43)</f>
        <v>7</v>
      </c>
      <c r="H35" s="51">
        <v>80</v>
      </c>
      <c r="I35" s="55">
        <f t="shared" ref="I35:I43" si="18">RANK(H35,$H$34:$H$43)</f>
        <v>9</v>
      </c>
      <c r="J35" s="51">
        <v>82</v>
      </c>
      <c r="K35" s="55">
        <f t="shared" ref="K35:K43" si="19">RANK(J35,$J$34:$J$43)</f>
        <v>7</v>
      </c>
      <c r="L35" s="64">
        <f t="shared" si="4"/>
        <v>308</v>
      </c>
      <c r="M35" s="55">
        <f t="shared" ref="M35:M43" si="20">RANK(L35,$L$34:$L$43)</f>
        <v>8</v>
      </c>
    </row>
    <row r="36" spans="1:13" ht="19.95" customHeight="1" x14ac:dyDescent="0.25">
      <c r="A36" s="52" t="s">
        <v>68</v>
      </c>
      <c r="B36" s="51" t="s">
        <v>4</v>
      </c>
      <c r="C36" s="54" t="str">
        <f>IF(B36="","",VLOOKUP(B36,学生信息汇总!A:E,2,0))</f>
        <v>名字3</v>
      </c>
      <c r="D36" s="51">
        <v>80</v>
      </c>
      <c r="E36" s="55">
        <f t="shared" si="16"/>
        <v>9</v>
      </c>
      <c r="F36" s="51">
        <v>60</v>
      </c>
      <c r="G36" s="55">
        <f t="shared" si="17"/>
        <v>8</v>
      </c>
      <c r="H36" s="51">
        <v>85</v>
      </c>
      <c r="I36" s="55">
        <f t="shared" si="18"/>
        <v>5</v>
      </c>
      <c r="J36" s="51">
        <v>83</v>
      </c>
      <c r="K36" s="55">
        <f t="shared" si="19"/>
        <v>6</v>
      </c>
      <c r="L36" s="64">
        <f t="shared" si="4"/>
        <v>308</v>
      </c>
      <c r="M36" s="55">
        <f t="shared" si="20"/>
        <v>8</v>
      </c>
    </row>
    <row r="37" spans="1:13" ht="19.95" customHeight="1" x14ac:dyDescent="0.25">
      <c r="A37" s="52" t="s">
        <v>68</v>
      </c>
      <c r="B37" s="51" t="s">
        <v>5</v>
      </c>
      <c r="C37" s="54" t="str">
        <f>IF(B37="","",VLOOKUP(B37,学生信息汇总!A:E,2,0))</f>
        <v>名字4</v>
      </c>
      <c r="D37" s="51">
        <v>89</v>
      </c>
      <c r="E37" s="55">
        <f t="shared" si="16"/>
        <v>4</v>
      </c>
      <c r="F37" s="51">
        <v>55</v>
      </c>
      <c r="G37" s="55">
        <f t="shared" si="17"/>
        <v>9</v>
      </c>
      <c r="H37" s="51">
        <v>85</v>
      </c>
      <c r="I37" s="55">
        <f t="shared" si="18"/>
        <v>5</v>
      </c>
      <c r="J37" s="51">
        <v>84</v>
      </c>
      <c r="K37" s="55">
        <f t="shared" si="19"/>
        <v>5</v>
      </c>
      <c r="L37" s="64">
        <f t="shared" si="4"/>
        <v>313</v>
      </c>
      <c r="M37" s="55">
        <f t="shared" si="20"/>
        <v>7</v>
      </c>
    </row>
    <row r="38" spans="1:13" ht="19.95" customHeight="1" x14ac:dyDescent="0.25">
      <c r="A38" s="52" t="s">
        <v>68</v>
      </c>
      <c r="B38" s="51" t="s">
        <v>6</v>
      </c>
      <c r="C38" s="54" t="str">
        <f>IF(B38="","",VLOOKUP(B38,学生信息汇总!A:E,2,0))</f>
        <v>名字5</v>
      </c>
      <c r="D38" s="51">
        <v>80</v>
      </c>
      <c r="E38" s="55">
        <f t="shared" si="16"/>
        <v>9</v>
      </c>
      <c r="F38" s="51">
        <v>50</v>
      </c>
      <c r="G38" s="55">
        <f t="shared" si="17"/>
        <v>10</v>
      </c>
      <c r="H38" s="51">
        <v>89</v>
      </c>
      <c r="I38" s="55">
        <f t="shared" si="18"/>
        <v>3</v>
      </c>
      <c r="J38" s="51">
        <v>55</v>
      </c>
      <c r="K38" s="55">
        <f t="shared" si="19"/>
        <v>10</v>
      </c>
      <c r="L38" s="64">
        <f t="shared" si="4"/>
        <v>274</v>
      </c>
      <c r="M38" s="55">
        <f t="shared" si="20"/>
        <v>10</v>
      </c>
    </row>
    <row r="39" spans="1:13" ht="19.95" customHeight="1" x14ac:dyDescent="0.25">
      <c r="A39" s="52" t="s">
        <v>68</v>
      </c>
      <c r="B39" s="51" t="s">
        <v>7</v>
      </c>
      <c r="C39" s="54" t="str">
        <f>IF(B39="","",VLOOKUP(B39,学生信息汇总!A:E,2,0))</f>
        <v>名字6</v>
      </c>
      <c r="D39" s="51">
        <v>85</v>
      </c>
      <c r="E39" s="55">
        <f t="shared" si="16"/>
        <v>6</v>
      </c>
      <c r="F39" s="51">
        <v>95</v>
      </c>
      <c r="G39" s="55">
        <f t="shared" si="17"/>
        <v>2</v>
      </c>
      <c r="H39" s="51">
        <v>95</v>
      </c>
      <c r="I39" s="55">
        <f t="shared" si="18"/>
        <v>1</v>
      </c>
      <c r="J39" s="51">
        <v>86</v>
      </c>
      <c r="K39" s="55">
        <f t="shared" si="19"/>
        <v>4</v>
      </c>
      <c r="L39" s="64">
        <f t="shared" si="4"/>
        <v>361</v>
      </c>
      <c r="M39" s="55">
        <f t="shared" si="20"/>
        <v>1</v>
      </c>
    </row>
    <row r="40" spans="1:13" ht="19.95" customHeight="1" x14ac:dyDescent="0.25">
      <c r="A40" s="52" t="s">
        <v>68</v>
      </c>
      <c r="B40" s="51" t="s">
        <v>8</v>
      </c>
      <c r="C40" s="54" t="str">
        <f>IF(B40="","",VLOOKUP(B40,学生信息汇总!A:E,2,0))</f>
        <v>名字7</v>
      </c>
      <c r="D40" s="51">
        <v>85</v>
      </c>
      <c r="E40" s="55">
        <f t="shared" si="16"/>
        <v>6</v>
      </c>
      <c r="F40" s="50">
        <v>81</v>
      </c>
      <c r="G40" s="55">
        <f t="shared" si="17"/>
        <v>5</v>
      </c>
      <c r="H40" s="51">
        <v>95</v>
      </c>
      <c r="I40" s="55">
        <f t="shared" si="18"/>
        <v>1</v>
      </c>
      <c r="J40" s="51">
        <v>87</v>
      </c>
      <c r="K40" s="55">
        <f t="shared" si="19"/>
        <v>3</v>
      </c>
      <c r="L40" s="64">
        <f t="shared" si="4"/>
        <v>348</v>
      </c>
      <c r="M40" s="55">
        <f t="shared" si="20"/>
        <v>4</v>
      </c>
    </row>
    <row r="41" spans="1:13" ht="19.95" customHeight="1" x14ac:dyDescent="0.25">
      <c r="A41" s="52" t="s">
        <v>68</v>
      </c>
      <c r="B41" s="51" t="s">
        <v>9</v>
      </c>
      <c r="C41" s="54" t="str">
        <f>IF(B41="","",VLOOKUP(B41,学生信息汇总!A:E,2,0))</f>
        <v>名字8</v>
      </c>
      <c r="D41" s="51">
        <v>89</v>
      </c>
      <c r="E41" s="55">
        <f t="shared" si="16"/>
        <v>4</v>
      </c>
      <c r="F41" s="51">
        <v>80</v>
      </c>
      <c r="G41" s="55">
        <f t="shared" si="17"/>
        <v>6</v>
      </c>
      <c r="H41" s="51">
        <v>80</v>
      </c>
      <c r="I41" s="55">
        <f t="shared" si="18"/>
        <v>9</v>
      </c>
      <c r="J41" s="51">
        <v>88</v>
      </c>
      <c r="K41" s="55">
        <f t="shared" si="19"/>
        <v>2</v>
      </c>
      <c r="L41" s="64">
        <f t="shared" si="4"/>
        <v>337</v>
      </c>
      <c r="M41" s="55">
        <f t="shared" si="20"/>
        <v>6</v>
      </c>
    </row>
    <row r="42" spans="1:13" ht="19.95" customHeight="1" x14ac:dyDescent="0.25">
      <c r="A42" s="52" t="s">
        <v>68</v>
      </c>
      <c r="B42" s="51" t="s">
        <v>10</v>
      </c>
      <c r="C42" s="54" t="str">
        <f>IF(B42="","",VLOOKUP(B42,学生信息汇总!A:E,2,0))</f>
        <v>名字9</v>
      </c>
      <c r="D42" s="51">
        <v>98</v>
      </c>
      <c r="E42" s="55">
        <f t="shared" si="16"/>
        <v>1</v>
      </c>
      <c r="F42" s="51">
        <v>89</v>
      </c>
      <c r="G42" s="55">
        <f t="shared" si="17"/>
        <v>4</v>
      </c>
      <c r="H42" s="50">
        <v>81</v>
      </c>
      <c r="I42" s="55">
        <f t="shared" si="18"/>
        <v>8</v>
      </c>
      <c r="J42" s="51">
        <v>89</v>
      </c>
      <c r="K42" s="55">
        <f t="shared" si="19"/>
        <v>1</v>
      </c>
      <c r="L42" s="64">
        <f t="shared" si="4"/>
        <v>357</v>
      </c>
      <c r="M42" s="55">
        <f t="shared" si="20"/>
        <v>2</v>
      </c>
    </row>
    <row r="43" spans="1:13" ht="19.95" customHeight="1" x14ac:dyDescent="0.25">
      <c r="A43" s="52" t="s">
        <v>68</v>
      </c>
      <c r="B43" s="51" t="s">
        <v>76</v>
      </c>
      <c r="C43" s="54" t="str">
        <f>IF(B43="","",VLOOKUP(B43,学生信息汇总!A:E,2,0))</f>
        <v>名字10</v>
      </c>
      <c r="D43" s="50">
        <v>95</v>
      </c>
      <c r="E43" s="55">
        <f t="shared" si="16"/>
        <v>2</v>
      </c>
      <c r="F43" s="51">
        <v>99</v>
      </c>
      <c r="G43" s="55">
        <f t="shared" si="17"/>
        <v>1</v>
      </c>
      <c r="H43" s="50">
        <v>85</v>
      </c>
      <c r="I43" s="55">
        <f t="shared" si="18"/>
        <v>5</v>
      </c>
      <c r="J43" s="50">
        <v>66</v>
      </c>
      <c r="K43" s="55">
        <f t="shared" si="19"/>
        <v>9</v>
      </c>
      <c r="L43" s="64">
        <f t="shared" si="4"/>
        <v>345</v>
      </c>
      <c r="M43" s="55">
        <f t="shared" si="20"/>
        <v>5</v>
      </c>
    </row>
    <row r="44" spans="1:13" ht="19.95" customHeight="1" x14ac:dyDescent="0.25">
      <c r="A44" s="52"/>
      <c r="B44" s="51"/>
      <c r="C44" s="54" t="e">
        <f>VLOOKUP(B44,学生信息汇总!A:E,2,0)</f>
        <v>#N/A</v>
      </c>
      <c r="D44" s="50"/>
      <c r="E44" s="55" t="str">
        <f t="shared" ref="E44:E107" ca="1" si="21">IF(D44="","",RANK(D44,INDIRECT(ADDRESS(MATCH(VLOOKUP(A44,A:A,1,0),A:A,0),6)&amp;":"&amp;ADDRESS((MATCH(VLOOKUP(A44,A:A,1,0),A:A,0)+COUNTIF(A:A,A44)-1),6))))</f>
        <v/>
      </c>
      <c r="F44" s="51"/>
      <c r="G44" s="55" t="str">
        <f t="shared" ref="G44:G107" ca="1" si="22">IF(F44="","",RANK(F44,INDIRECT(ADDRESS(MATCH(VLOOKUP(A44,A:A,1,0),A:A,0),8)&amp;":"&amp;ADDRESS((MATCH(VLOOKUP(A44,A:A,1,0),A:A,0)+COUNTIF(A:A,A44)-1),8))))</f>
        <v/>
      </c>
      <c r="H44" s="50"/>
      <c r="I44" s="55" t="str">
        <f t="shared" ref="I44:I107" ca="1" si="23">IF(H44="","",RANK(H44,INDIRECT(ADDRESS(MATCH(VLOOKUP(A44,A:A,1,0),A:A,0),10)&amp;":"&amp;ADDRESS((MATCH(VLOOKUP(A44,A:A,1,0),A:A,0)+COUNTIF(A:A,A44)-1),10))))</f>
        <v/>
      </c>
      <c r="J44" s="50"/>
      <c r="K44" s="55" t="str">
        <f t="shared" ref="K44:K107" ca="1" si="24">IF(J44="","",RANK(J44,INDIRECT(ADDRESS(MATCH(VLOOKUP(A44,A:A,1,0),A:A,0),12)&amp;":"&amp;ADDRESS((MATCH(VLOOKUP(A44,A:A,1,0),A:A,0)+COUNTIF(A:A,A44)-1),12))))</f>
        <v/>
      </c>
      <c r="L44" s="64" t="str">
        <f>IF(B44="","",D44+F44+H44+J44+#REF!+#REF!+#REF!+#REF!+#REF!)</f>
        <v/>
      </c>
      <c r="M44" s="55" t="str">
        <f t="shared" ref="M44:M107" ca="1" si="25">IF(L44="","",RANK(L44,INDIRECT(ADDRESS(MATCH(VLOOKUP(A44,A:A,1,0),A:A,0),26)&amp;":"&amp;ADDRESS((MATCH(VLOOKUP(A44,A:A,1,0),A:A,0)+COUNTIF(A:A,A44)-1),26))))</f>
        <v/>
      </c>
    </row>
    <row r="45" spans="1:13" ht="19.95" customHeight="1" x14ac:dyDescent="0.25">
      <c r="A45" s="52"/>
      <c r="B45" s="51"/>
      <c r="C45" s="54" t="e">
        <f>VLOOKUP(B45,学生信息汇总!A:E,2,0)</f>
        <v>#N/A</v>
      </c>
      <c r="D45" s="50"/>
      <c r="E45" s="55" t="str">
        <f t="shared" ca="1" si="21"/>
        <v/>
      </c>
      <c r="F45" s="51"/>
      <c r="G45" s="55" t="str">
        <f t="shared" ca="1" si="22"/>
        <v/>
      </c>
      <c r="H45" s="50"/>
      <c r="I45" s="55" t="str">
        <f t="shared" ca="1" si="23"/>
        <v/>
      </c>
      <c r="J45" s="50"/>
      <c r="K45" s="55" t="str">
        <f t="shared" ca="1" si="24"/>
        <v/>
      </c>
      <c r="L45" s="64" t="str">
        <f>IF(B45="","",D45+F45+H45+J45+#REF!+#REF!+#REF!+#REF!+#REF!)</f>
        <v/>
      </c>
      <c r="M45" s="55" t="str">
        <f t="shared" ca="1" si="25"/>
        <v/>
      </c>
    </row>
    <row r="46" spans="1:13" ht="19.95" customHeight="1" x14ac:dyDescent="0.25">
      <c r="A46" s="52"/>
      <c r="B46" s="51"/>
      <c r="C46" s="54" t="e">
        <f>VLOOKUP(B46,学生信息汇总!A:E,2,0)</f>
        <v>#N/A</v>
      </c>
      <c r="D46" s="50"/>
      <c r="E46" s="55" t="str">
        <f t="shared" ca="1" si="21"/>
        <v/>
      </c>
      <c r="F46" s="55" t="str">
        <f ca="1">IF(E46="","",RANK(E46,INDIRECT(ADDRESS(MATCH(VLOOKUP(B46,B:B,1,0),B:B,0),6)&amp;":"&amp;ADDRESS((MATCH(VLOOKUP(B46,B:B,1,0),B:B,0)+COUNTIF(B:B,B46)-1),6))))</f>
        <v/>
      </c>
      <c r="G46" s="55" t="str">
        <f t="shared" ca="1" si="22"/>
        <v/>
      </c>
      <c r="H46" s="50"/>
      <c r="I46" s="55" t="str">
        <f t="shared" ca="1" si="23"/>
        <v/>
      </c>
      <c r="J46" s="50"/>
      <c r="K46" s="55" t="str">
        <f t="shared" ca="1" si="24"/>
        <v/>
      </c>
      <c r="L46" s="64" t="str">
        <f>IF(B46="","",D46+F46+H46+J46+#REF!+#REF!+#REF!+#REF!+#REF!)</f>
        <v/>
      </c>
      <c r="M46" s="55" t="str">
        <f t="shared" ca="1" si="25"/>
        <v/>
      </c>
    </row>
    <row r="47" spans="1:13" ht="19.95" customHeight="1" x14ac:dyDescent="0.25">
      <c r="A47" s="52"/>
      <c r="B47" s="51"/>
      <c r="C47" s="54" t="e">
        <f>VLOOKUP(B47,学生信息汇总!A:E,2,0)</f>
        <v>#N/A</v>
      </c>
      <c r="D47" s="50"/>
      <c r="E47" s="55" t="str">
        <f t="shared" ca="1" si="21"/>
        <v/>
      </c>
      <c r="F47" s="51"/>
      <c r="G47" s="55" t="str">
        <f t="shared" ca="1" si="22"/>
        <v/>
      </c>
      <c r="H47" s="50"/>
      <c r="I47" s="55" t="str">
        <f t="shared" ca="1" si="23"/>
        <v/>
      </c>
      <c r="J47" s="50"/>
      <c r="K47" s="55" t="str">
        <f t="shared" ca="1" si="24"/>
        <v/>
      </c>
      <c r="L47" s="64" t="str">
        <f>IF(B47="","",D47+F47+H47+J47+#REF!+#REF!+#REF!+#REF!+#REF!)</f>
        <v/>
      </c>
      <c r="M47" s="55" t="str">
        <f t="shared" ca="1" si="25"/>
        <v/>
      </c>
    </row>
    <row r="48" spans="1:13" ht="19.95" customHeight="1" x14ac:dyDescent="0.25">
      <c r="A48" s="52"/>
      <c r="B48" s="51"/>
      <c r="C48" s="54" t="e">
        <f>VLOOKUP(B48,学生信息汇总!A:E,2,0)</f>
        <v>#N/A</v>
      </c>
      <c r="D48" s="50"/>
      <c r="E48" s="55" t="str">
        <f t="shared" ca="1" si="21"/>
        <v/>
      </c>
      <c r="F48" s="51"/>
      <c r="G48" s="55" t="str">
        <f t="shared" ca="1" si="22"/>
        <v/>
      </c>
      <c r="H48" s="50"/>
      <c r="I48" s="55" t="str">
        <f t="shared" ca="1" si="23"/>
        <v/>
      </c>
      <c r="J48" s="50"/>
      <c r="K48" s="55" t="str">
        <f t="shared" ca="1" si="24"/>
        <v/>
      </c>
      <c r="L48" s="64" t="str">
        <f>IF(B48="","",D48+F48+H48+J48+#REF!+#REF!+#REF!+#REF!+#REF!)</f>
        <v/>
      </c>
      <c r="M48" s="55" t="str">
        <f t="shared" ca="1" si="25"/>
        <v/>
      </c>
    </row>
    <row r="49" spans="1:14" ht="19.95" customHeight="1" x14ac:dyDescent="0.25">
      <c r="A49" s="52"/>
      <c r="B49" s="51"/>
      <c r="C49" s="54" t="str">
        <f>IF(B49="","",VLOOKUP(B49,学生信息汇总!A:E,2,0))</f>
        <v/>
      </c>
      <c r="D49" s="50"/>
      <c r="E49" s="55" t="str">
        <f t="shared" ca="1" si="21"/>
        <v/>
      </c>
      <c r="F49" s="51"/>
      <c r="G49" s="55" t="str">
        <f t="shared" ca="1" si="22"/>
        <v/>
      </c>
      <c r="H49" s="50"/>
      <c r="I49" s="55" t="str">
        <f t="shared" ca="1" si="23"/>
        <v/>
      </c>
      <c r="J49" s="50"/>
      <c r="K49" s="55" t="str">
        <f t="shared" ca="1" si="24"/>
        <v/>
      </c>
      <c r="L49" s="64" t="str">
        <f>IF(B49="","",D49+F49+H49+J49+#REF!+#REF!+#REF!+#REF!+#REF!)</f>
        <v/>
      </c>
      <c r="M49" s="55" t="str">
        <f t="shared" ca="1" si="25"/>
        <v/>
      </c>
      <c r="N49" s="9" t="str">
        <f ca="1">IF(M49="","",RANK(M49,INDIRECT(ADDRESS(MATCH(VLOOKUP(B49,B:B,1,0),B:B,0),26)&amp;":"&amp;ADDRESS((MATCH(VLOOKUP(B49,B:B,1,0),B:B,0)+COUNTIF(B:B,B49)-1),26))))</f>
        <v/>
      </c>
    </row>
    <row r="50" spans="1:14" ht="19.95" customHeight="1" x14ac:dyDescent="0.25">
      <c r="A50" s="52"/>
      <c r="B50" s="51"/>
      <c r="C50" s="54" t="str">
        <f>IF(B50="","",VLOOKUP(B50,学生信息汇总!A:E,2,0))</f>
        <v/>
      </c>
      <c r="D50" s="50"/>
      <c r="E50" s="55" t="str">
        <f t="shared" ca="1" si="21"/>
        <v/>
      </c>
      <c r="F50" s="51"/>
      <c r="G50" s="55" t="str">
        <f t="shared" ca="1" si="22"/>
        <v/>
      </c>
      <c r="H50" s="50"/>
      <c r="I50" s="55" t="str">
        <f t="shared" ca="1" si="23"/>
        <v/>
      </c>
      <c r="J50" s="50"/>
      <c r="K50" s="55" t="str">
        <f t="shared" ca="1" si="24"/>
        <v/>
      </c>
      <c r="L50" s="64" t="str">
        <f>IF(B50="","",D50+F50+H50+J50+#REF!+#REF!+#REF!+#REF!+#REF!)</f>
        <v/>
      </c>
      <c r="M50" s="55" t="str">
        <f t="shared" ca="1" si="25"/>
        <v/>
      </c>
    </row>
    <row r="51" spans="1:14" ht="19.95" customHeight="1" x14ac:dyDescent="0.25">
      <c r="A51" s="52"/>
      <c r="B51" s="51"/>
      <c r="C51" s="54" t="str">
        <f>IF(B51="","",VLOOKUP(B51,学生信息汇总!A:E,2,0))</f>
        <v/>
      </c>
      <c r="D51" s="50"/>
      <c r="E51" s="55" t="str">
        <f t="shared" ca="1" si="21"/>
        <v/>
      </c>
      <c r="F51" s="51"/>
      <c r="G51" s="55" t="str">
        <f t="shared" ca="1" si="22"/>
        <v/>
      </c>
      <c r="H51" s="50"/>
      <c r="I51" s="55" t="str">
        <f t="shared" ca="1" si="23"/>
        <v/>
      </c>
      <c r="J51" s="50"/>
      <c r="K51" s="55" t="str">
        <f t="shared" ca="1" si="24"/>
        <v/>
      </c>
      <c r="L51" s="64" t="str">
        <f>IF(B51="","",D51+F51+H51+J51+#REF!+#REF!+#REF!+#REF!+#REF!)</f>
        <v/>
      </c>
      <c r="M51" s="55" t="str">
        <f t="shared" ca="1" si="25"/>
        <v/>
      </c>
    </row>
    <row r="52" spans="1:14" ht="19.95" customHeight="1" x14ac:dyDescent="0.25">
      <c r="A52" s="52"/>
      <c r="B52" s="51"/>
      <c r="C52" s="54" t="str">
        <f>IF(B52="","",VLOOKUP(B52,学生信息汇总!A:E,2,0))</f>
        <v/>
      </c>
      <c r="D52" s="50"/>
      <c r="E52" s="55" t="str">
        <f t="shared" ca="1" si="21"/>
        <v/>
      </c>
      <c r="F52" s="51"/>
      <c r="G52" s="55" t="str">
        <f t="shared" ca="1" si="22"/>
        <v/>
      </c>
      <c r="H52" s="50"/>
      <c r="I52" s="55" t="str">
        <f t="shared" ca="1" si="23"/>
        <v/>
      </c>
      <c r="J52" s="50"/>
      <c r="K52" s="55" t="str">
        <f t="shared" ca="1" si="24"/>
        <v/>
      </c>
      <c r="L52" s="64" t="str">
        <f>IF(B52="","",D52+F52+H52+J52+#REF!+#REF!+#REF!+#REF!+#REF!)</f>
        <v/>
      </c>
      <c r="M52" s="55" t="str">
        <f t="shared" ca="1" si="25"/>
        <v/>
      </c>
    </row>
    <row r="53" spans="1:14" ht="19.95" customHeight="1" x14ac:dyDescent="0.25">
      <c r="A53" s="52"/>
      <c r="B53" s="51"/>
      <c r="C53" s="54" t="str">
        <f>IF(B53="","",VLOOKUP(B53,学生信息汇总!A:E,2,0))</f>
        <v/>
      </c>
      <c r="D53" s="50"/>
      <c r="E53" s="55" t="str">
        <f t="shared" ca="1" si="21"/>
        <v/>
      </c>
      <c r="F53" s="51"/>
      <c r="G53" s="55" t="str">
        <f t="shared" ca="1" si="22"/>
        <v/>
      </c>
      <c r="H53" s="50"/>
      <c r="I53" s="55" t="str">
        <f t="shared" ca="1" si="23"/>
        <v/>
      </c>
      <c r="J53" s="50"/>
      <c r="K53" s="55" t="str">
        <f t="shared" ca="1" si="24"/>
        <v/>
      </c>
      <c r="L53" s="64" t="str">
        <f>IF(B53="","",D53+F53+H53+J53+#REF!+#REF!+#REF!+#REF!+#REF!)</f>
        <v/>
      </c>
      <c r="M53" s="55" t="str">
        <f t="shared" ca="1" si="25"/>
        <v/>
      </c>
    </row>
    <row r="54" spans="1:14" ht="19.95" customHeight="1" x14ac:dyDescent="0.25">
      <c r="A54" s="52"/>
      <c r="B54" s="51"/>
      <c r="C54" s="54" t="str">
        <f>IF(B54="","",VLOOKUP(B54,学生信息汇总!A:E,2,0))</f>
        <v/>
      </c>
      <c r="D54" s="50"/>
      <c r="E54" s="55" t="str">
        <f t="shared" ca="1" si="21"/>
        <v/>
      </c>
      <c r="F54" s="51"/>
      <c r="G54" s="55" t="str">
        <f t="shared" ca="1" si="22"/>
        <v/>
      </c>
      <c r="H54" s="50"/>
      <c r="I54" s="55" t="str">
        <f t="shared" ca="1" si="23"/>
        <v/>
      </c>
      <c r="J54" s="50"/>
      <c r="K54" s="55" t="str">
        <f t="shared" ca="1" si="24"/>
        <v/>
      </c>
      <c r="L54" s="64" t="str">
        <f>IF(B54="","",D54+F54+H54+J54+#REF!+#REF!+#REF!+#REF!+#REF!)</f>
        <v/>
      </c>
      <c r="M54" s="55" t="str">
        <f t="shared" ca="1" si="25"/>
        <v/>
      </c>
    </row>
    <row r="55" spans="1:14" ht="19.95" customHeight="1" x14ac:dyDescent="0.25">
      <c r="A55" s="52"/>
      <c r="B55" s="51"/>
      <c r="C55" s="54" t="str">
        <f>IF(B55="","",VLOOKUP(B55,学生信息汇总!A:E,2,0))</f>
        <v/>
      </c>
      <c r="D55" s="50"/>
      <c r="E55" s="55" t="str">
        <f t="shared" ca="1" si="21"/>
        <v/>
      </c>
      <c r="F55" s="51"/>
      <c r="G55" s="55" t="str">
        <f t="shared" ca="1" si="22"/>
        <v/>
      </c>
      <c r="H55" s="50"/>
      <c r="I55" s="55" t="str">
        <f t="shared" ca="1" si="23"/>
        <v/>
      </c>
      <c r="J55" s="50"/>
      <c r="K55" s="55" t="str">
        <f t="shared" ca="1" si="24"/>
        <v/>
      </c>
      <c r="L55" s="64" t="str">
        <f>IF(B55="","",D55+F55+H55+J55+#REF!+#REF!+#REF!+#REF!+#REF!)</f>
        <v/>
      </c>
      <c r="M55" s="55" t="str">
        <f t="shared" ca="1" si="25"/>
        <v/>
      </c>
    </row>
    <row r="56" spans="1:14" ht="19.95" customHeight="1" x14ac:dyDescent="0.25">
      <c r="A56" s="52"/>
      <c r="B56" s="51"/>
      <c r="C56" s="54" t="str">
        <f>IF(B56="","",VLOOKUP(B56,学生信息汇总!A:E,2,0))</f>
        <v/>
      </c>
      <c r="D56" s="50"/>
      <c r="E56" s="55" t="str">
        <f t="shared" ca="1" si="21"/>
        <v/>
      </c>
      <c r="F56" s="51"/>
      <c r="G56" s="55" t="str">
        <f t="shared" ca="1" si="22"/>
        <v/>
      </c>
      <c r="H56" s="50"/>
      <c r="I56" s="55" t="str">
        <f t="shared" ca="1" si="23"/>
        <v/>
      </c>
      <c r="J56" s="50"/>
      <c r="K56" s="55" t="str">
        <f t="shared" ca="1" si="24"/>
        <v/>
      </c>
      <c r="L56" s="64" t="str">
        <f>IF(B56="","",D56+F56+H56+J56+#REF!+#REF!+#REF!+#REF!+#REF!)</f>
        <v/>
      </c>
      <c r="M56" s="55" t="str">
        <f t="shared" ca="1" si="25"/>
        <v/>
      </c>
    </row>
    <row r="57" spans="1:14" ht="19.95" customHeight="1" x14ac:dyDescent="0.25">
      <c r="A57" s="52"/>
      <c r="B57" s="51"/>
      <c r="C57" s="54" t="str">
        <f>IF(B57="","",VLOOKUP(B57,学生信息汇总!A:E,2,0))</f>
        <v/>
      </c>
      <c r="D57" s="50"/>
      <c r="E57" s="55" t="str">
        <f t="shared" ca="1" si="21"/>
        <v/>
      </c>
      <c r="F57" s="51"/>
      <c r="G57" s="55" t="str">
        <f t="shared" ca="1" si="22"/>
        <v/>
      </c>
      <c r="H57" s="50"/>
      <c r="I57" s="55" t="str">
        <f t="shared" ca="1" si="23"/>
        <v/>
      </c>
      <c r="J57" s="50"/>
      <c r="K57" s="55" t="str">
        <f t="shared" ca="1" si="24"/>
        <v/>
      </c>
      <c r="L57" s="64" t="str">
        <f>IF(B57="","",D57+F57+H57+J57+#REF!+#REF!+#REF!+#REF!+#REF!)</f>
        <v/>
      </c>
      <c r="M57" s="55" t="str">
        <f t="shared" ca="1" si="25"/>
        <v/>
      </c>
    </row>
    <row r="58" spans="1:14" ht="19.95" customHeight="1" x14ac:dyDescent="0.25">
      <c r="A58" s="52"/>
      <c r="B58" s="51"/>
      <c r="C58" s="54" t="str">
        <f>IF(B58="","",VLOOKUP(B58,学生信息汇总!A:E,2,0))</f>
        <v/>
      </c>
      <c r="D58" s="50"/>
      <c r="E58" s="55" t="str">
        <f t="shared" ca="1" si="21"/>
        <v/>
      </c>
      <c r="F58" s="51"/>
      <c r="G58" s="55" t="str">
        <f t="shared" ca="1" si="22"/>
        <v/>
      </c>
      <c r="H58" s="50"/>
      <c r="I58" s="55" t="str">
        <f t="shared" ca="1" si="23"/>
        <v/>
      </c>
      <c r="J58" s="50"/>
      <c r="K58" s="55" t="str">
        <f t="shared" ca="1" si="24"/>
        <v/>
      </c>
      <c r="L58" s="64" t="str">
        <f>IF(B58="","",D58+F58+H58+J58+#REF!+#REF!+#REF!+#REF!+#REF!)</f>
        <v/>
      </c>
      <c r="M58" s="55" t="str">
        <f t="shared" ca="1" si="25"/>
        <v/>
      </c>
    </row>
    <row r="59" spans="1:14" ht="19.95" customHeight="1" x14ac:dyDescent="0.25">
      <c r="A59" s="52"/>
      <c r="B59" s="51"/>
      <c r="C59" s="54" t="str">
        <f>IF(B59="","",VLOOKUP(B59,学生信息汇总!A:E,2,0))</f>
        <v/>
      </c>
      <c r="D59" s="50"/>
      <c r="E59" s="55" t="str">
        <f t="shared" ca="1" si="21"/>
        <v/>
      </c>
      <c r="F59" s="51"/>
      <c r="G59" s="55" t="str">
        <f t="shared" ca="1" si="22"/>
        <v/>
      </c>
      <c r="H59" s="50"/>
      <c r="I59" s="55" t="str">
        <f t="shared" ca="1" si="23"/>
        <v/>
      </c>
      <c r="J59" s="50"/>
      <c r="K59" s="55" t="str">
        <f t="shared" ca="1" si="24"/>
        <v/>
      </c>
      <c r="L59" s="64" t="str">
        <f>IF(B59="","",D59+F59+H59+J59+#REF!+#REF!+#REF!+#REF!+#REF!)</f>
        <v/>
      </c>
      <c r="M59" s="55" t="str">
        <f t="shared" ca="1" si="25"/>
        <v/>
      </c>
    </row>
    <row r="60" spans="1:14" ht="19.95" customHeight="1" x14ac:dyDescent="0.25">
      <c r="A60" s="52"/>
      <c r="B60" s="51"/>
      <c r="C60" s="54" t="str">
        <f>IF(B60="","",VLOOKUP(B60,学生信息汇总!A:E,2,0))</f>
        <v/>
      </c>
      <c r="D60" s="50"/>
      <c r="E60" s="55" t="str">
        <f t="shared" ca="1" si="21"/>
        <v/>
      </c>
      <c r="F60" s="51"/>
      <c r="G60" s="55" t="str">
        <f t="shared" ca="1" si="22"/>
        <v/>
      </c>
      <c r="H60" s="50"/>
      <c r="I60" s="55" t="str">
        <f t="shared" ca="1" si="23"/>
        <v/>
      </c>
      <c r="J60" s="50"/>
      <c r="K60" s="55" t="str">
        <f t="shared" ca="1" si="24"/>
        <v/>
      </c>
      <c r="L60" s="64" t="str">
        <f>IF(B60="","",D60+F60+H60+J60+#REF!+#REF!+#REF!+#REF!+#REF!)</f>
        <v/>
      </c>
      <c r="M60" s="55" t="str">
        <f t="shared" ca="1" si="25"/>
        <v/>
      </c>
    </row>
    <row r="61" spans="1:14" ht="19.95" customHeight="1" x14ac:dyDescent="0.25">
      <c r="A61" s="52"/>
      <c r="B61" s="51"/>
      <c r="C61" s="54" t="str">
        <f>IF(B61="","",VLOOKUP(B61,学生信息汇总!A:E,2,0))</f>
        <v/>
      </c>
      <c r="D61" s="50"/>
      <c r="E61" s="55" t="str">
        <f t="shared" ca="1" si="21"/>
        <v/>
      </c>
      <c r="F61" s="51"/>
      <c r="G61" s="55" t="str">
        <f t="shared" ca="1" si="22"/>
        <v/>
      </c>
      <c r="H61" s="50"/>
      <c r="I61" s="55" t="str">
        <f t="shared" ca="1" si="23"/>
        <v/>
      </c>
      <c r="J61" s="50"/>
      <c r="K61" s="55" t="str">
        <f t="shared" ca="1" si="24"/>
        <v/>
      </c>
      <c r="L61" s="64" t="str">
        <f>IF(B61="","",D61+F61+H61+J61+#REF!+#REF!+#REF!+#REF!+#REF!)</f>
        <v/>
      </c>
      <c r="M61" s="55" t="str">
        <f t="shared" ca="1" si="25"/>
        <v/>
      </c>
    </row>
    <row r="62" spans="1:14" ht="19.95" customHeight="1" x14ac:dyDescent="0.25">
      <c r="A62" s="52"/>
      <c r="B62" s="51"/>
      <c r="C62" s="54" t="str">
        <f>IF(B62="","",VLOOKUP(B62,学生信息汇总!A:E,2,0))</f>
        <v/>
      </c>
      <c r="D62" s="50"/>
      <c r="E62" s="55" t="str">
        <f t="shared" ca="1" si="21"/>
        <v/>
      </c>
      <c r="F62" s="51"/>
      <c r="G62" s="55" t="str">
        <f t="shared" ca="1" si="22"/>
        <v/>
      </c>
      <c r="H62" s="50"/>
      <c r="I62" s="55" t="str">
        <f t="shared" ca="1" si="23"/>
        <v/>
      </c>
      <c r="J62" s="50"/>
      <c r="K62" s="55" t="str">
        <f t="shared" ca="1" si="24"/>
        <v/>
      </c>
      <c r="L62" s="64" t="str">
        <f>IF(B62="","",D62+F62+H62+J62+#REF!+#REF!+#REF!+#REF!+#REF!)</f>
        <v/>
      </c>
      <c r="M62" s="55" t="str">
        <f t="shared" ca="1" si="25"/>
        <v/>
      </c>
    </row>
    <row r="63" spans="1:14" ht="19.95" customHeight="1" x14ac:dyDescent="0.25">
      <c r="A63" s="52"/>
      <c r="B63" s="51"/>
      <c r="C63" s="54" t="str">
        <f>IF(B63="","",VLOOKUP(B63,学生信息汇总!A:E,2,0))</f>
        <v/>
      </c>
      <c r="D63" s="50"/>
      <c r="E63" s="55" t="str">
        <f t="shared" ca="1" si="21"/>
        <v/>
      </c>
      <c r="F63" s="51"/>
      <c r="G63" s="55" t="str">
        <f t="shared" ca="1" si="22"/>
        <v/>
      </c>
      <c r="H63" s="50"/>
      <c r="I63" s="55" t="str">
        <f t="shared" ca="1" si="23"/>
        <v/>
      </c>
      <c r="J63" s="50"/>
      <c r="K63" s="55" t="str">
        <f t="shared" ca="1" si="24"/>
        <v/>
      </c>
      <c r="L63" s="64" t="str">
        <f>IF(B63="","",D63+F63+H63+J63+#REF!+#REF!+#REF!+#REF!+#REF!)</f>
        <v/>
      </c>
      <c r="M63" s="55" t="str">
        <f t="shared" ca="1" si="25"/>
        <v/>
      </c>
    </row>
    <row r="64" spans="1:14" ht="19.95" customHeight="1" x14ac:dyDescent="0.25">
      <c r="A64" s="52"/>
      <c r="B64" s="51"/>
      <c r="C64" s="54" t="str">
        <f>IF(B64="","",VLOOKUP(B64,学生信息汇总!A:E,2,0))</f>
        <v/>
      </c>
      <c r="D64" s="50"/>
      <c r="E64" s="55" t="str">
        <f t="shared" ca="1" si="21"/>
        <v/>
      </c>
      <c r="F64" s="51"/>
      <c r="G64" s="55" t="str">
        <f t="shared" ca="1" si="22"/>
        <v/>
      </c>
      <c r="H64" s="50"/>
      <c r="I64" s="55" t="str">
        <f t="shared" ca="1" si="23"/>
        <v/>
      </c>
      <c r="J64" s="50"/>
      <c r="K64" s="55" t="str">
        <f t="shared" ca="1" si="24"/>
        <v/>
      </c>
      <c r="L64" s="64" t="str">
        <f>IF(B64="","",D64+F64+H64+J64+#REF!+#REF!+#REF!+#REF!+#REF!)</f>
        <v/>
      </c>
      <c r="M64" s="55" t="str">
        <f t="shared" ca="1" si="25"/>
        <v/>
      </c>
    </row>
    <row r="65" spans="1:13" ht="19.95" customHeight="1" x14ac:dyDescent="0.25">
      <c r="A65" s="52"/>
      <c r="B65" s="51"/>
      <c r="C65" s="54" t="str">
        <f>IF(B65="","",VLOOKUP(B65,学生信息汇总!A:E,2,0))</f>
        <v/>
      </c>
      <c r="D65" s="50"/>
      <c r="E65" s="55" t="str">
        <f t="shared" ca="1" si="21"/>
        <v/>
      </c>
      <c r="F65" s="51"/>
      <c r="G65" s="55" t="str">
        <f t="shared" ca="1" si="22"/>
        <v/>
      </c>
      <c r="H65" s="50"/>
      <c r="I65" s="55" t="str">
        <f t="shared" ca="1" si="23"/>
        <v/>
      </c>
      <c r="J65" s="50"/>
      <c r="K65" s="55" t="str">
        <f t="shared" ca="1" si="24"/>
        <v/>
      </c>
      <c r="L65" s="64" t="str">
        <f>IF(B65="","",D65+F65+H65+J65+#REF!+#REF!+#REF!+#REF!+#REF!)</f>
        <v/>
      </c>
      <c r="M65" s="55" t="str">
        <f t="shared" ca="1" si="25"/>
        <v/>
      </c>
    </row>
    <row r="66" spans="1:13" ht="19.95" customHeight="1" x14ac:dyDescent="0.25">
      <c r="A66" s="52"/>
      <c r="B66" s="51"/>
      <c r="C66" s="54" t="str">
        <f>IF(B66="","",VLOOKUP(B66,学生信息汇总!A:E,2,0))</f>
        <v/>
      </c>
      <c r="D66" s="50"/>
      <c r="E66" s="55" t="str">
        <f t="shared" ca="1" si="21"/>
        <v/>
      </c>
      <c r="F66" s="51"/>
      <c r="G66" s="55" t="str">
        <f t="shared" ca="1" si="22"/>
        <v/>
      </c>
      <c r="H66" s="50"/>
      <c r="I66" s="55" t="str">
        <f t="shared" ca="1" si="23"/>
        <v/>
      </c>
      <c r="J66" s="50"/>
      <c r="K66" s="55" t="str">
        <f t="shared" ca="1" si="24"/>
        <v/>
      </c>
      <c r="L66" s="64" t="str">
        <f>IF(B66="","",D66+F66+H66+J66+#REF!+#REF!+#REF!+#REF!+#REF!)</f>
        <v/>
      </c>
      <c r="M66" s="55" t="str">
        <f t="shared" ca="1" si="25"/>
        <v/>
      </c>
    </row>
    <row r="67" spans="1:13" ht="19.95" customHeight="1" x14ac:dyDescent="0.25">
      <c r="A67" s="52"/>
      <c r="B67" s="51"/>
      <c r="C67" s="54" t="str">
        <f>IF(B67="","",VLOOKUP(B67,学生信息汇总!A:E,2,0))</f>
        <v/>
      </c>
      <c r="D67" s="50"/>
      <c r="E67" s="55" t="str">
        <f t="shared" ca="1" si="21"/>
        <v/>
      </c>
      <c r="F67" s="51"/>
      <c r="G67" s="55" t="str">
        <f t="shared" ca="1" si="22"/>
        <v/>
      </c>
      <c r="H67" s="50"/>
      <c r="I67" s="55" t="str">
        <f t="shared" ca="1" si="23"/>
        <v/>
      </c>
      <c r="J67" s="50"/>
      <c r="K67" s="55" t="str">
        <f t="shared" ca="1" si="24"/>
        <v/>
      </c>
      <c r="L67" s="64" t="str">
        <f>IF(B67="","",D67+F67+H67+J67+#REF!+#REF!+#REF!+#REF!+#REF!)</f>
        <v/>
      </c>
      <c r="M67" s="55" t="str">
        <f t="shared" ca="1" si="25"/>
        <v/>
      </c>
    </row>
    <row r="68" spans="1:13" ht="19.95" customHeight="1" x14ac:dyDescent="0.25">
      <c r="A68" s="52"/>
      <c r="B68" s="51"/>
      <c r="C68" s="54" t="str">
        <f>IF(B68="","",VLOOKUP(B68,学生信息汇总!A:E,2,0))</f>
        <v/>
      </c>
      <c r="D68" s="50"/>
      <c r="E68" s="55" t="str">
        <f t="shared" ca="1" si="21"/>
        <v/>
      </c>
      <c r="F68" s="51"/>
      <c r="G68" s="55" t="str">
        <f t="shared" ca="1" si="22"/>
        <v/>
      </c>
      <c r="H68" s="50"/>
      <c r="I68" s="55" t="str">
        <f t="shared" ca="1" si="23"/>
        <v/>
      </c>
      <c r="J68" s="50"/>
      <c r="K68" s="55" t="str">
        <f t="shared" ca="1" si="24"/>
        <v/>
      </c>
      <c r="L68" s="64" t="str">
        <f>IF(B68="","",D68+F68+H68+J68+#REF!+#REF!+#REF!+#REF!+#REF!)</f>
        <v/>
      </c>
      <c r="M68" s="55" t="str">
        <f t="shared" ca="1" si="25"/>
        <v/>
      </c>
    </row>
    <row r="69" spans="1:13" ht="19.95" customHeight="1" x14ac:dyDescent="0.25">
      <c r="A69" s="52"/>
      <c r="B69" s="51"/>
      <c r="C69" s="54" t="str">
        <f>IF(B69="","",VLOOKUP(B69,学生信息汇总!A:E,2,0))</f>
        <v/>
      </c>
      <c r="D69" s="50"/>
      <c r="E69" s="55" t="str">
        <f t="shared" ca="1" si="21"/>
        <v/>
      </c>
      <c r="F69" s="51"/>
      <c r="G69" s="55" t="str">
        <f t="shared" ca="1" si="22"/>
        <v/>
      </c>
      <c r="H69" s="50"/>
      <c r="I69" s="55" t="str">
        <f t="shared" ca="1" si="23"/>
        <v/>
      </c>
      <c r="J69" s="50"/>
      <c r="K69" s="55" t="str">
        <f t="shared" ca="1" si="24"/>
        <v/>
      </c>
      <c r="L69" s="64" t="str">
        <f>IF(B69="","",D69+F69+H69+J69+#REF!+#REF!+#REF!+#REF!+#REF!)</f>
        <v/>
      </c>
      <c r="M69" s="55" t="str">
        <f t="shared" ca="1" si="25"/>
        <v/>
      </c>
    </row>
    <row r="70" spans="1:13" ht="19.95" customHeight="1" x14ac:dyDescent="0.25">
      <c r="A70" s="52"/>
      <c r="B70" s="51"/>
      <c r="C70" s="54" t="str">
        <f>IF(B70="","",VLOOKUP(B70,学生信息汇总!A:E,2,0))</f>
        <v/>
      </c>
      <c r="D70" s="50"/>
      <c r="E70" s="55" t="str">
        <f t="shared" ca="1" si="21"/>
        <v/>
      </c>
      <c r="F70" s="51"/>
      <c r="G70" s="55" t="str">
        <f t="shared" ca="1" si="22"/>
        <v/>
      </c>
      <c r="H70" s="50"/>
      <c r="I70" s="55" t="str">
        <f t="shared" ca="1" si="23"/>
        <v/>
      </c>
      <c r="J70" s="50"/>
      <c r="K70" s="55" t="str">
        <f t="shared" ca="1" si="24"/>
        <v/>
      </c>
      <c r="L70" s="64" t="str">
        <f>IF(B70="","",D70+F70+H70+J70+#REF!+#REF!+#REF!+#REF!+#REF!)</f>
        <v/>
      </c>
      <c r="M70" s="55" t="str">
        <f t="shared" ca="1" si="25"/>
        <v/>
      </c>
    </row>
    <row r="71" spans="1:13" ht="19.95" customHeight="1" x14ac:dyDescent="0.25">
      <c r="A71" s="52"/>
      <c r="B71" s="51"/>
      <c r="C71" s="54" t="str">
        <f>IF(B71="","",VLOOKUP(B71,学生信息汇总!A:E,2,0))</f>
        <v/>
      </c>
      <c r="D71" s="50"/>
      <c r="E71" s="55" t="str">
        <f t="shared" ca="1" si="21"/>
        <v/>
      </c>
      <c r="F71" s="51"/>
      <c r="G71" s="55" t="str">
        <f t="shared" ca="1" si="22"/>
        <v/>
      </c>
      <c r="H71" s="50"/>
      <c r="I71" s="55" t="str">
        <f t="shared" ca="1" si="23"/>
        <v/>
      </c>
      <c r="J71" s="50"/>
      <c r="K71" s="55" t="str">
        <f t="shared" ca="1" si="24"/>
        <v/>
      </c>
      <c r="L71" s="64" t="str">
        <f>IF(B71="","",D71+F71+H71+J71+#REF!+#REF!+#REF!+#REF!+#REF!)</f>
        <v/>
      </c>
      <c r="M71" s="55" t="str">
        <f t="shared" ca="1" si="25"/>
        <v/>
      </c>
    </row>
    <row r="72" spans="1:13" ht="19.95" customHeight="1" x14ac:dyDescent="0.25">
      <c r="A72" s="52"/>
      <c r="B72" s="51"/>
      <c r="C72" s="54" t="str">
        <f>IF(B72="","",VLOOKUP(B72,学生信息汇总!A:E,2,0))</f>
        <v/>
      </c>
      <c r="D72" s="50"/>
      <c r="E72" s="55" t="str">
        <f t="shared" ca="1" si="21"/>
        <v/>
      </c>
      <c r="F72" s="51"/>
      <c r="G72" s="55" t="str">
        <f t="shared" ca="1" si="22"/>
        <v/>
      </c>
      <c r="H72" s="50"/>
      <c r="I72" s="55" t="str">
        <f t="shared" ca="1" si="23"/>
        <v/>
      </c>
      <c r="J72" s="50"/>
      <c r="K72" s="55" t="str">
        <f t="shared" ca="1" si="24"/>
        <v/>
      </c>
      <c r="L72" s="64" t="str">
        <f>IF(B72="","",D72+F72+H72+J72+#REF!+#REF!+#REF!+#REF!+#REF!)</f>
        <v/>
      </c>
      <c r="M72" s="55" t="str">
        <f t="shared" ca="1" si="25"/>
        <v/>
      </c>
    </row>
    <row r="73" spans="1:13" ht="19.95" customHeight="1" x14ac:dyDescent="0.25">
      <c r="A73" s="52"/>
      <c r="B73" s="51"/>
      <c r="C73" s="54" t="str">
        <f>IF(B73="","",VLOOKUP(B73,学生信息汇总!A:E,2,0))</f>
        <v/>
      </c>
      <c r="D73" s="50"/>
      <c r="E73" s="55" t="str">
        <f t="shared" ca="1" si="21"/>
        <v/>
      </c>
      <c r="F73" s="51"/>
      <c r="G73" s="55" t="str">
        <f t="shared" ca="1" si="22"/>
        <v/>
      </c>
      <c r="H73" s="50"/>
      <c r="I73" s="55" t="str">
        <f t="shared" ca="1" si="23"/>
        <v/>
      </c>
      <c r="J73" s="50"/>
      <c r="K73" s="55" t="str">
        <f t="shared" ca="1" si="24"/>
        <v/>
      </c>
      <c r="L73" s="64" t="str">
        <f>IF(B73="","",D73+F73+H73+J73+#REF!+#REF!+#REF!+#REF!+#REF!)</f>
        <v/>
      </c>
      <c r="M73" s="55" t="str">
        <f t="shared" ca="1" si="25"/>
        <v/>
      </c>
    </row>
    <row r="74" spans="1:13" ht="19.95" customHeight="1" x14ac:dyDescent="0.25">
      <c r="A74" s="52"/>
      <c r="B74" s="51"/>
      <c r="C74" s="54" t="str">
        <f>IF(B74="","",VLOOKUP(B74,学生信息汇总!A:E,2,0))</f>
        <v/>
      </c>
      <c r="D74" s="50"/>
      <c r="E74" s="55" t="str">
        <f t="shared" ca="1" si="21"/>
        <v/>
      </c>
      <c r="F74" s="51"/>
      <c r="G74" s="55" t="str">
        <f t="shared" ca="1" si="22"/>
        <v/>
      </c>
      <c r="H74" s="50"/>
      <c r="I74" s="55" t="str">
        <f t="shared" ca="1" si="23"/>
        <v/>
      </c>
      <c r="J74" s="50"/>
      <c r="K74" s="55" t="str">
        <f t="shared" ca="1" si="24"/>
        <v/>
      </c>
      <c r="L74" s="64" t="str">
        <f>IF(B74="","",D74+F74+H74+J74+#REF!+#REF!+#REF!+#REF!+#REF!)</f>
        <v/>
      </c>
      <c r="M74" s="55" t="str">
        <f t="shared" ca="1" si="25"/>
        <v/>
      </c>
    </row>
    <row r="75" spans="1:13" ht="19.95" customHeight="1" x14ac:dyDescent="0.25">
      <c r="A75" s="52"/>
      <c r="B75" s="51"/>
      <c r="C75" s="54" t="str">
        <f>IF(B75="","",VLOOKUP(B75,学生信息汇总!A:E,2,0))</f>
        <v/>
      </c>
      <c r="D75" s="50"/>
      <c r="E75" s="55" t="str">
        <f t="shared" ca="1" si="21"/>
        <v/>
      </c>
      <c r="F75" s="51"/>
      <c r="G75" s="55" t="str">
        <f t="shared" ca="1" si="22"/>
        <v/>
      </c>
      <c r="H75" s="50"/>
      <c r="I75" s="55" t="str">
        <f t="shared" ca="1" si="23"/>
        <v/>
      </c>
      <c r="J75" s="50"/>
      <c r="K75" s="55" t="str">
        <f t="shared" ca="1" si="24"/>
        <v/>
      </c>
      <c r="L75" s="64" t="str">
        <f>IF(B75="","",D75+F75+H75+J75+#REF!+#REF!+#REF!+#REF!+#REF!)</f>
        <v/>
      </c>
      <c r="M75" s="55" t="str">
        <f t="shared" ca="1" si="25"/>
        <v/>
      </c>
    </row>
    <row r="76" spans="1:13" ht="19.95" customHeight="1" x14ac:dyDescent="0.25">
      <c r="A76" s="52"/>
      <c r="B76" s="51"/>
      <c r="C76" s="54" t="str">
        <f>IF(B76="","",VLOOKUP(B76,学生信息汇总!A:E,2,0))</f>
        <v/>
      </c>
      <c r="D76" s="50"/>
      <c r="E76" s="55" t="str">
        <f t="shared" ca="1" si="21"/>
        <v/>
      </c>
      <c r="F76" s="51"/>
      <c r="G76" s="55" t="str">
        <f t="shared" ca="1" si="22"/>
        <v/>
      </c>
      <c r="H76" s="50"/>
      <c r="I76" s="55" t="str">
        <f t="shared" ca="1" si="23"/>
        <v/>
      </c>
      <c r="J76" s="50"/>
      <c r="K76" s="55" t="str">
        <f t="shared" ca="1" si="24"/>
        <v/>
      </c>
      <c r="L76" s="64" t="str">
        <f>IF(B76="","",D76+F76+H76+J76+#REF!+#REF!+#REF!+#REF!+#REF!)</f>
        <v/>
      </c>
      <c r="M76" s="55" t="str">
        <f t="shared" ca="1" si="25"/>
        <v/>
      </c>
    </row>
    <row r="77" spans="1:13" ht="19.95" customHeight="1" x14ac:dyDescent="0.25">
      <c r="A77" s="52"/>
      <c r="B77" s="51"/>
      <c r="C77" s="54" t="str">
        <f>IF(B77="","",VLOOKUP(B77,学生信息汇总!A:E,2,0))</f>
        <v/>
      </c>
      <c r="D77" s="50"/>
      <c r="E77" s="55" t="str">
        <f t="shared" ca="1" si="21"/>
        <v/>
      </c>
      <c r="F77" s="51"/>
      <c r="G77" s="55" t="str">
        <f t="shared" ca="1" si="22"/>
        <v/>
      </c>
      <c r="H77" s="50"/>
      <c r="I77" s="55" t="str">
        <f t="shared" ca="1" si="23"/>
        <v/>
      </c>
      <c r="J77" s="50"/>
      <c r="K77" s="55" t="str">
        <f t="shared" ca="1" si="24"/>
        <v/>
      </c>
      <c r="L77" s="64" t="str">
        <f>IF(B77="","",D77+F77+H77+J77+#REF!+#REF!+#REF!+#REF!+#REF!)</f>
        <v/>
      </c>
      <c r="M77" s="55" t="str">
        <f t="shared" ca="1" si="25"/>
        <v/>
      </c>
    </row>
    <row r="78" spans="1:13" ht="19.95" customHeight="1" x14ac:dyDescent="0.25">
      <c r="A78" s="52"/>
      <c r="B78" s="51"/>
      <c r="C78" s="54" t="str">
        <f>IF(B78="","",VLOOKUP(B78,学生信息汇总!A:E,2,0))</f>
        <v/>
      </c>
      <c r="D78" s="50"/>
      <c r="E78" s="55" t="str">
        <f t="shared" ca="1" si="21"/>
        <v/>
      </c>
      <c r="F78" s="51"/>
      <c r="G78" s="55" t="str">
        <f t="shared" ca="1" si="22"/>
        <v/>
      </c>
      <c r="H78" s="50"/>
      <c r="I78" s="55" t="str">
        <f t="shared" ca="1" si="23"/>
        <v/>
      </c>
      <c r="J78" s="50"/>
      <c r="K78" s="55" t="str">
        <f t="shared" ca="1" si="24"/>
        <v/>
      </c>
      <c r="L78" s="64" t="str">
        <f>IF(B78="","",D78+F78+H78+J78+#REF!+#REF!+#REF!+#REF!+#REF!)</f>
        <v/>
      </c>
      <c r="M78" s="55" t="str">
        <f t="shared" ca="1" si="25"/>
        <v/>
      </c>
    </row>
    <row r="79" spans="1:13" ht="19.95" customHeight="1" x14ac:dyDescent="0.25">
      <c r="A79" s="52"/>
      <c r="B79" s="51"/>
      <c r="C79" s="54" t="str">
        <f>IF(B79="","",VLOOKUP(B79,学生信息汇总!A:E,2,0))</f>
        <v/>
      </c>
      <c r="D79" s="50"/>
      <c r="E79" s="55" t="str">
        <f t="shared" ca="1" si="21"/>
        <v/>
      </c>
      <c r="F79" s="51"/>
      <c r="G79" s="55" t="str">
        <f t="shared" ca="1" si="22"/>
        <v/>
      </c>
      <c r="H79" s="50"/>
      <c r="I79" s="55" t="str">
        <f t="shared" ca="1" si="23"/>
        <v/>
      </c>
      <c r="J79" s="50"/>
      <c r="K79" s="55" t="str">
        <f t="shared" ca="1" si="24"/>
        <v/>
      </c>
      <c r="L79" s="64" t="str">
        <f>IF(B79="","",D79+F79+H79+J79+#REF!+#REF!+#REF!+#REF!+#REF!)</f>
        <v/>
      </c>
      <c r="M79" s="55" t="str">
        <f t="shared" ca="1" si="25"/>
        <v/>
      </c>
    </row>
    <row r="80" spans="1:13" ht="19.95" customHeight="1" x14ac:dyDescent="0.25">
      <c r="A80" s="52"/>
      <c r="B80" s="51"/>
      <c r="C80" s="54" t="str">
        <f>IF(B80="","",VLOOKUP(B80,学生信息汇总!A:E,2,0))</f>
        <v/>
      </c>
      <c r="D80" s="50"/>
      <c r="E80" s="55" t="str">
        <f t="shared" ca="1" si="21"/>
        <v/>
      </c>
      <c r="F80" s="51"/>
      <c r="G80" s="55" t="str">
        <f t="shared" ca="1" si="22"/>
        <v/>
      </c>
      <c r="H80" s="50"/>
      <c r="I80" s="55" t="str">
        <f t="shared" ca="1" si="23"/>
        <v/>
      </c>
      <c r="J80" s="50"/>
      <c r="K80" s="55" t="str">
        <f t="shared" ca="1" si="24"/>
        <v/>
      </c>
      <c r="L80" s="64" t="str">
        <f>IF(B80="","",D80+F80+H80+J80+#REF!+#REF!+#REF!+#REF!+#REF!)</f>
        <v/>
      </c>
      <c r="M80" s="55" t="str">
        <f t="shared" ca="1" si="25"/>
        <v/>
      </c>
    </row>
    <row r="81" spans="1:13" ht="19.95" customHeight="1" x14ac:dyDescent="0.25">
      <c r="A81" s="52"/>
      <c r="B81" s="51"/>
      <c r="C81" s="54" t="str">
        <f>IF(B81="","",VLOOKUP(B81,学生信息汇总!A:E,2,0))</f>
        <v/>
      </c>
      <c r="D81" s="50"/>
      <c r="E81" s="55" t="str">
        <f t="shared" ca="1" si="21"/>
        <v/>
      </c>
      <c r="F81" s="51"/>
      <c r="G81" s="55" t="str">
        <f t="shared" ca="1" si="22"/>
        <v/>
      </c>
      <c r="H81" s="50"/>
      <c r="I81" s="55" t="str">
        <f t="shared" ca="1" si="23"/>
        <v/>
      </c>
      <c r="J81" s="50"/>
      <c r="K81" s="55" t="str">
        <f t="shared" ca="1" si="24"/>
        <v/>
      </c>
      <c r="L81" s="64" t="str">
        <f>IF(B81="","",D81+F81+H81+J81+#REF!+#REF!+#REF!+#REF!+#REF!)</f>
        <v/>
      </c>
      <c r="M81" s="55" t="str">
        <f t="shared" ca="1" si="25"/>
        <v/>
      </c>
    </row>
    <row r="82" spans="1:13" ht="19.95" customHeight="1" x14ac:dyDescent="0.25">
      <c r="A82" s="52"/>
      <c r="B82" s="51"/>
      <c r="C82" s="54" t="str">
        <f>IF(B82="","",VLOOKUP(B82,学生信息汇总!A:E,2,0))</f>
        <v/>
      </c>
      <c r="D82" s="50"/>
      <c r="E82" s="55" t="str">
        <f t="shared" ca="1" si="21"/>
        <v/>
      </c>
      <c r="F82" s="51"/>
      <c r="G82" s="55" t="str">
        <f t="shared" ca="1" si="22"/>
        <v/>
      </c>
      <c r="H82" s="50"/>
      <c r="I82" s="55" t="str">
        <f t="shared" ca="1" si="23"/>
        <v/>
      </c>
      <c r="J82" s="50"/>
      <c r="K82" s="55" t="str">
        <f t="shared" ca="1" si="24"/>
        <v/>
      </c>
      <c r="L82" s="64" t="str">
        <f>IF(B82="","",D82+F82+H82+J82+#REF!+#REF!+#REF!+#REF!+#REF!)</f>
        <v/>
      </c>
      <c r="M82" s="55" t="str">
        <f t="shared" ca="1" si="25"/>
        <v/>
      </c>
    </row>
    <row r="83" spans="1:13" ht="19.95" customHeight="1" x14ac:dyDescent="0.25">
      <c r="A83" s="52"/>
      <c r="B83" s="51"/>
      <c r="C83" s="54" t="str">
        <f>IF(B83="","",VLOOKUP(B83,学生信息汇总!A:E,2,0))</f>
        <v/>
      </c>
      <c r="D83" s="50"/>
      <c r="E83" s="55" t="str">
        <f t="shared" ca="1" si="21"/>
        <v/>
      </c>
      <c r="F83" s="51"/>
      <c r="G83" s="55" t="str">
        <f t="shared" ca="1" si="22"/>
        <v/>
      </c>
      <c r="H83" s="50"/>
      <c r="I83" s="55" t="str">
        <f t="shared" ca="1" si="23"/>
        <v/>
      </c>
      <c r="J83" s="50"/>
      <c r="K83" s="55" t="str">
        <f t="shared" ca="1" si="24"/>
        <v/>
      </c>
      <c r="L83" s="64" t="str">
        <f>IF(B83="","",D83+F83+H83+J83+#REF!+#REF!+#REF!+#REF!+#REF!)</f>
        <v/>
      </c>
      <c r="M83" s="55" t="str">
        <f t="shared" ca="1" si="25"/>
        <v/>
      </c>
    </row>
    <row r="84" spans="1:13" ht="19.95" customHeight="1" x14ac:dyDescent="0.25">
      <c r="A84" s="52"/>
      <c r="B84" s="51"/>
      <c r="C84" s="54" t="str">
        <f>IF(B84="","",VLOOKUP(B84,学生信息汇总!A:E,2,0))</f>
        <v/>
      </c>
      <c r="D84" s="50"/>
      <c r="E84" s="55" t="str">
        <f t="shared" ca="1" si="21"/>
        <v/>
      </c>
      <c r="F84" s="51"/>
      <c r="G84" s="55" t="str">
        <f t="shared" ca="1" si="22"/>
        <v/>
      </c>
      <c r="H84" s="50"/>
      <c r="I84" s="55" t="str">
        <f t="shared" ca="1" si="23"/>
        <v/>
      </c>
      <c r="J84" s="50"/>
      <c r="K84" s="55" t="str">
        <f t="shared" ca="1" si="24"/>
        <v/>
      </c>
      <c r="L84" s="64" t="str">
        <f>IF(B84="","",D84+F84+H84+J84+#REF!+#REF!+#REF!+#REF!+#REF!)</f>
        <v/>
      </c>
      <c r="M84" s="55" t="str">
        <f t="shared" ca="1" si="25"/>
        <v/>
      </c>
    </row>
    <row r="85" spans="1:13" ht="19.95" customHeight="1" x14ac:dyDescent="0.25">
      <c r="A85" s="52"/>
      <c r="B85" s="51"/>
      <c r="C85" s="54" t="str">
        <f>IF(B85="","",VLOOKUP(B85,学生信息汇总!A:E,2,0))</f>
        <v/>
      </c>
      <c r="D85" s="50"/>
      <c r="E85" s="55" t="str">
        <f t="shared" ca="1" si="21"/>
        <v/>
      </c>
      <c r="F85" s="51"/>
      <c r="G85" s="55" t="str">
        <f t="shared" ca="1" si="22"/>
        <v/>
      </c>
      <c r="H85" s="50"/>
      <c r="I85" s="55" t="str">
        <f t="shared" ca="1" si="23"/>
        <v/>
      </c>
      <c r="J85" s="50"/>
      <c r="K85" s="55" t="str">
        <f t="shared" ca="1" si="24"/>
        <v/>
      </c>
      <c r="L85" s="64" t="str">
        <f>IF(B85="","",D85+F85+H85+J85+#REF!+#REF!+#REF!+#REF!+#REF!)</f>
        <v/>
      </c>
      <c r="M85" s="55" t="str">
        <f t="shared" ca="1" si="25"/>
        <v/>
      </c>
    </row>
    <row r="86" spans="1:13" ht="19.95" customHeight="1" x14ac:dyDescent="0.25">
      <c r="A86" s="52"/>
      <c r="B86" s="51"/>
      <c r="C86" s="54" t="str">
        <f>IF(B86="","",VLOOKUP(B86,学生信息汇总!A:E,2,0))</f>
        <v/>
      </c>
      <c r="D86" s="50"/>
      <c r="E86" s="55" t="str">
        <f t="shared" ca="1" si="21"/>
        <v/>
      </c>
      <c r="F86" s="51"/>
      <c r="G86" s="55" t="str">
        <f t="shared" ca="1" si="22"/>
        <v/>
      </c>
      <c r="H86" s="50"/>
      <c r="I86" s="55" t="str">
        <f t="shared" ca="1" si="23"/>
        <v/>
      </c>
      <c r="J86" s="50"/>
      <c r="K86" s="55" t="str">
        <f t="shared" ca="1" si="24"/>
        <v/>
      </c>
      <c r="L86" s="64" t="str">
        <f>IF(B86="","",D86+F86+H86+J86+#REF!+#REF!+#REF!+#REF!+#REF!)</f>
        <v/>
      </c>
      <c r="M86" s="55" t="str">
        <f t="shared" ca="1" si="25"/>
        <v/>
      </c>
    </row>
    <row r="87" spans="1:13" ht="19.95" customHeight="1" x14ac:dyDescent="0.25">
      <c r="A87" s="52"/>
      <c r="B87" s="51"/>
      <c r="C87" s="54" t="str">
        <f>IF(B87="","",VLOOKUP(B87,学生信息汇总!A:E,2,0))</f>
        <v/>
      </c>
      <c r="D87" s="50"/>
      <c r="E87" s="55" t="str">
        <f t="shared" ca="1" si="21"/>
        <v/>
      </c>
      <c r="F87" s="51"/>
      <c r="G87" s="55" t="str">
        <f t="shared" ca="1" si="22"/>
        <v/>
      </c>
      <c r="H87" s="50"/>
      <c r="I87" s="55" t="str">
        <f t="shared" ca="1" si="23"/>
        <v/>
      </c>
      <c r="J87" s="50"/>
      <c r="K87" s="55" t="str">
        <f t="shared" ca="1" si="24"/>
        <v/>
      </c>
      <c r="L87" s="64" t="str">
        <f>IF(B87="","",D87+F87+H87+J87+#REF!+#REF!+#REF!+#REF!+#REF!)</f>
        <v/>
      </c>
      <c r="M87" s="55" t="str">
        <f t="shared" ca="1" si="25"/>
        <v/>
      </c>
    </row>
    <row r="88" spans="1:13" ht="19.95" customHeight="1" x14ac:dyDescent="0.25">
      <c r="A88" s="52"/>
      <c r="B88" s="51"/>
      <c r="C88" s="54" t="str">
        <f>IF(B88="","",VLOOKUP(B88,学生信息汇总!A:E,2,0))</f>
        <v/>
      </c>
      <c r="D88" s="50"/>
      <c r="E88" s="55" t="str">
        <f t="shared" ca="1" si="21"/>
        <v/>
      </c>
      <c r="F88" s="51"/>
      <c r="G88" s="55" t="str">
        <f t="shared" ca="1" si="22"/>
        <v/>
      </c>
      <c r="H88" s="50"/>
      <c r="I88" s="55" t="str">
        <f t="shared" ca="1" si="23"/>
        <v/>
      </c>
      <c r="J88" s="50"/>
      <c r="K88" s="55" t="str">
        <f t="shared" ca="1" si="24"/>
        <v/>
      </c>
      <c r="L88" s="64" t="str">
        <f>IF(B88="","",D88+F88+H88+J88+#REF!+#REF!+#REF!+#REF!+#REF!)</f>
        <v/>
      </c>
      <c r="M88" s="55" t="str">
        <f t="shared" ca="1" si="25"/>
        <v/>
      </c>
    </row>
    <row r="89" spans="1:13" ht="19.95" customHeight="1" x14ac:dyDescent="0.25">
      <c r="A89" s="52"/>
      <c r="B89" s="51"/>
      <c r="C89" s="54" t="str">
        <f>IF(B89="","",VLOOKUP(B89,学生信息汇总!A:E,2,0))</f>
        <v/>
      </c>
      <c r="D89" s="50"/>
      <c r="E89" s="55" t="str">
        <f t="shared" ca="1" si="21"/>
        <v/>
      </c>
      <c r="F89" s="51"/>
      <c r="G89" s="55" t="str">
        <f t="shared" ca="1" si="22"/>
        <v/>
      </c>
      <c r="H89" s="50"/>
      <c r="I89" s="55" t="str">
        <f t="shared" ca="1" si="23"/>
        <v/>
      </c>
      <c r="J89" s="50"/>
      <c r="K89" s="55" t="str">
        <f t="shared" ca="1" si="24"/>
        <v/>
      </c>
      <c r="L89" s="64" t="str">
        <f>IF(B89="","",D89+F89+H89+J89+#REF!+#REF!+#REF!+#REF!+#REF!)</f>
        <v/>
      </c>
      <c r="M89" s="55" t="str">
        <f t="shared" ca="1" si="25"/>
        <v/>
      </c>
    </row>
    <row r="90" spans="1:13" ht="19.95" customHeight="1" x14ac:dyDescent="0.25">
      <c r="A90" s="52"/>
      <c r="B90" s="51"/>
      <c r="C90" s="54" t="str">
        <f>IF(B90="","",VLOOKUP(B90,学生信息汇总!A:E,2,0))</f>
        <v/>
      </c>
      <c r="D90" s="50"/>
      <c r="E90" s="55" t="str">
        <f t="shared" ca="1" si="21"/>
        <v/>
      </c>
      <c r="F90" s="51"/>
      <c r="G90" s="55" t="str">
        <f t="shared" ca="1" si="22"/>
        <v/>
      </c>
      <c r="H90" s="50"/>
      <c r="I90" s="55" t="str">
        <f t="shared" ca="1" si="23"/>
        <v/>
      </c>
      <c r="J90" s="50"/>
      <c r="K90" s="55" t="str">
        <f t="shared" ca="1" si="24"/>
        <v/>
      </c>
      <c r="L90" s="64" t="str">
        <f>IF(B90="","",D90+F90+H90+J90+#REF!+#REF!+#REF!+#REF!+#REF!)</f>
        <v/>
      </c>
      <c r="M90" s="55" t="str">
        <f t="shared" ca="1" si="25"/>
        <v/>
      </c>
    </row>
    <row r="91" spans="1:13" ht="19.95" customHeight="1" x14ac:dyDescent="0.25">
      <c r="A91" s="52"/>
      <c r="B91" s="51"/>
      <c r="C91" s="54" t="str">
        <f>IF(B91="","",VLOOKUP(B91,学生信息汇总!A:E,2,0))</f>
        <v/>
      </c>
      <c r="D91" s="50"/>
      <c r="E91" s="55" t="str">
        <f t="shared" ca="1" si="21"/>
        <v/>
      </c>
      <c r="F91" s="51"/>
      <c r="G91" s="55" t="str">
        <f t="shared" ca="1" si="22"/>
        <v/>
      </c>
      <c r="H91" s="50"/>
      <c r="I91" s="55" t="str">
        <f t="shared" ca="1" si="23"/>
        <v/>
      </c>
      <c r="J91" s="50"/>
      <c r="K91" s="55" t="str">
        <f t="shared" ca="1" si="24"/>
        <v/>
      </c>
      <c r="L91" s="64" t="str">
        <f>IF(B91="","",D91+F91+H91+J91+#REF!+#REF!+#REF!+#REF!+#REF!)</f>
        <v/>
      </c>
      <c r="M91" s="55" t="str">
        <f t="shared" ca="1" si="25"/>
        <v/>
      </c>
    </row>
    <row r="92" spans="1:13" ht="19.95" customHeight="1" x14ac:dyDescent="0.25">
      <c r="A92" s="52"/>
      <c r="B92" s="51"/>
      <c r="C92" s="54" t="str">
        <f>IF(B92="","",VLOOKUP(B92,学生信息汇总!A:E,2,0))</f>
        <v/>
      </c>
      <c r="D92" s="50"/>
      <c r="E92" s="55" t="str">
        <f t="shared" ca="1" si="21"/>
        <v/>
      </c>
      <c r="F92" s="51"/>
      <c r="G92" s="55" t="str">
        <f t="shared" ca="1" si="22"/>
        <v/>
      </c>
      <c r="H92" s="50"/>
      <c r="I92" s="55" t="str">
        <f t="shared" ca="1" si="23"/>
        <v/>
      </c>
      <c r="J92" s="50"/>
      <c r="K92" s="55" t="str">
        <f t="shared" ca="1" si="24"/>
        <v/>
      </c>
      <c r="L92" s="64" t="str">
        <f>IF(B92="","",D92+F92+H92+J92+#REF!+#REF!+#REF!+#REF!+#REF!)</f>
        <v/>
      </c>
      <c r="M92" s="55" t="str">
        <f t="shared" ca="1" si="25"/>
        <v/>
      </c>
    </row>
    <row r="93" spans="1:13" ht="19.95" customHeight="1" x14ac:dyDescent="0.25">
      <c r="A93" s="52"/>
      <c r="B93" s="51"/>
      <c r="C93" s="54" t="str">
        <f>IF(B93="","",VLOOKUP(B93,学生信息汇总!A:E,2,0))</f>
        <v/>
      </c>
      <c r="D93" s="50"/>
      <c r="E93" s="55" t="str">
        <f t="shared" ca="1" si="21"/>
        <v/>
      </c>
      <c r="F93" s="51"/>
      <c r="G93" s="55" t="str">
        <f t="shared" ca="1" si="22"/>
        <v/>
      </c>
      <c r="H93" s="50"/>
      <c r="I93" s="55" t="str">
        <f t="shared" ca="1" si="23"/>
        <v/>
      </c>
      <c r="J93" s="50"/>
      <c r="K93" s="55" t="str">
        <f t="shared" ca="1" si="24"/>
        <v/>
      </c>
      <c r="L93" s="64" t="str">
        <f>IF(B93="","",D93+F93+H93+J93+#REF!+#REF!+#REF!+#REF!+#REF!)</f>
        <v/>
      </c>
      <c r="M93" s="55" t="str">
        <f t="shared" ca="1" si="25"/>
        <v/>
      </c>
    </row>
    <row r="94" spans="1:13" ht="19.95" customHeight="1" x14ac:dyDescent="0.25">
      <c r="A94" s="52"/>
      <c r="B94" s="51"/>
      <c r="C94" s="54" t="str">
        <f>IF(B94="","",VLOOKUP(B94,学生信息汇总!A:E,2,0))</f>
        <v/>
      </c>
      <c r="D94" s="50"/>
      <c r="E94" s="55" t="str">
        <f t="shared" ca="1" si="21"/>
        <v/>
      </c>
      <c r="F94" s="51"/>
      <c r="G94" s="55" t="str">
        <f t="shared" ca="1" si="22"/>
        <v/>
      </c>
      <c r="H94" s="50"/>
      <c r="I94" s="55" t="str">
        <f t="shared" ca="1" si="23"/>
        <v/>
      </c>
      <c r="J94" s="50"/>
      <c r="K94" s="55" t="str">
        <f t="shared" ca="1" si="24"/>
        <v/>
      </c>
      <c r="L94" s="64" t="str">
        <f>IF(B94="","",D94+F94+H94+J94+#REF!+#REF!+#REF!+#REF!+#REF!)</f>
        <v/>
      </c>
      <c r="M94" s="55" t="str">
        <f t="shared" ca="1" si="25"/>
        <v/>
      </c>
    </row>
    <row r="95" spans="1:13" ht="19.95" customHeight="1" x14ac:dyDescent="0.25">
      <c r="A95" s="52"/>
      <c r="B95" s="51"/>
      <c r="C95" s="54" t="str">
        <f>IF(B95="","",VLOOKUP(B95,学生信息汇总!A:E,2,0))</f>
        <v/>
      </c>
      <c r="D95" s="50"/>
      <c r="E95" s="55" t="str">
        <f t="shared" ca="1" si="21"/>
        <v/>
      </c>
      <c r="F95" s="51"/>
      <c r="G95" s="55" t="str">
        <f t="shared" ca="1" si="22"/>
        <v/>
      </c>
      <c r="H95" s="50"/>
      <c r="I95" s="55" t="str">
        <f t="shared" ca="1" si="23"/>
        <v/>
      </c>
      <c r="J95" s="50"/>
      <c r="K95" s="55" t="str">
        <f t="shared" ca="1" si="24"/>
        <v/>
      </c>
      <c r="L95" s="64" t="str">
        <f>IF(B95="","",D95+F95+H95+J95+#REF!+#REF!+#REF!+#REF!+#REF!)</f>
        <v/>
      </c>
      <c r="M95" s="55" t="str">
        <f t="shared" ca="1" si="25"/>
        <v/>
      </c>
    </row>
    <row r="96" spans="1:13" ht="19.95" customHeight="1" x14ac:dyDescent="0.25">
      <c r="A96" s="52"/>
      <c r="B96" s="51"/>
      <c r="C96" s="54" t="str">
        <f>IF(B96="","",VLOOKUP(B96,学生信息汇总!A:E,2,0))</f>
        <v/>
      </c>
      <c r="D96" s="50"/>
      <c r="E96" s="55" t="str">
        <f t="shared" ca="1" si="21"/>
        <v/>
      </c>
      <c r="F96" s="51"/>
      <c r="G96" s="55" t="str">
        <f t="shared" ca="1" si="22"/>
        <v/>
      </c>
      <c r="H96" s="50"/>
      <c r="I96" s="55" t="str">
        <f t="shared" ca="1" si="23"/>
        <v/>
      </c>
      <c r="J96" s="50"/>
      <c r="K96" s="55" t="str">
        <f t="shared" ca="1" si="24"/>
        <v/>
      </c>
      <c r="L96" s="64" t="str">
        <f>IF(B96="","",D96+F96+H96+J96+#REF!+#REF!+#REF!+#REF!+#REF!)</f>
        <v/>
      </c>
      <c r="M96" s="55" t="str">
        <f t="shared" ca="1" si="25"/>
        <v/>
      </c>
    </row>
    <row r="97" spans="1:13" ht="19.95" customHeight="1" x14ac:dyDescent="0.25">
      <c r="A97" s="52"/>
      <c r="B97" s="51"/>
      <c r="C97" s="54" t="str">
        <f>IF(B97="","",VLOOKUP(B97,学生信息汇总!A:E,2,0))</f>
        <v/>
      </c>
      <c r="D97" s="50"/>
      <c r="E97" s="55" t="str">
        <f t="shared" ca="1" si="21"/>
        <v/>
      </c>
      <c r="F97" s="51"/>
      <c r="G97" s="55" t="str">
        <f t="shared" ca="1" si="22"/>
        <v/>
      </c>
      <c r="H97" s="50"/>
      <c r="I97" s="55" t="str">
        <f t="shared" ca="1" si="23"/>
        <v/>
      </c>
      <c r="J97" s="50"/>
      <c r="K97" s="55" t="str">
        <f t="shared" ca="1" si="24"/>
        <v/>
      </c>
      <c r="L97" s="64" t="str">
        <f>IF(B97="","",D97+F97+H97+J97+#REF!+#REF!+#REF!+#REF!+#REF!)</f>
        <v/>
      </c>
      <c r="M97" s="55" t="str">
        <f t="shared" ca="1" si="25"/>
        <v/>
      </c>
    </row>
    <row r="98" spans="1:13" ht="19.95" customHeight="1" x14ac:dyDescent="0.25">
      <c r="A98" s="52"/>
      <c r="B98" s="51"/>
      <c r="C98" s="54" t="str">
        <f>IF(B98="","",VLOOKUP(B98,学生信息汇总!A:E,2,0))</f>
        <v/>
      </c>
      <c r="D98" s="50"/>
      <c r="E98" s="55" t="str">
        <f t="shared" ca="1" si="21"/>
        <v/>
      </c>
      <c r="F98" s="51"/>
      <c r="G98" s="55" t="str">
        <f t="shared" ca="1" si="22"/>
        <v/>
      </c>
      <c r="H98" s="50"/>
      <c r="I98" s="55" t="str">
        <f t="shared" ca="1" si="23"/>
        <v/>
      </c>
      <c r="J98" s="50"/>
      <c r="K98" s="55" t="str">
        <f t="shared" ca="1" si="24"/>
        <v/>
      </c>
      <c r="L98" s="64" t="str">
        <f>IF(B98="","",D98+F98+H98+J98+#REF!+#REF!+#REF!+#REF!+#REF!)</f>
        <v/>
      </c>
      <c r="M98" s="55" t="str">
        <f t="shared" ca="1" si="25"/>
        <v/>
      </c>
    </row>
    <row r="99" spans="1:13" ht="19.95" customHeight="1" x14ac:dyDescent="0.25">
      <c r="A99" s="52"/>
      <c r="B99" s="51"/>
      <c r="C99" s="54" t="str">
        <f>IF(B99="","",VLOOKUP(B99,学生信息汇总!A:E,2,0))</f>
        <v/>
      </c>
      <c r="D99" s="50"/>
      <c r="E99" s="55" t="str">
        <f t="shared" ca="1" si="21"/>
        <v/>
      </c>
      <c r="F99" s="51"/>
      <c r="G99" s="55" t="str">
        <f t="shared" ca="1" si="22"/>
        <v/>
      </c>
      <c r="H99" s="50"/>
      <c r="I99" s="55" t="str">
        <f t="shared" ca="1" si="23"/>
        <v/>
      </c>
      <c r="J99" s="50"/>
      <c r="K99" s="55" t="str">
        <f t="shared" ca="1" si="24"/>
        <v/>
      </c>
      <c r="L99" s="64" t="str">
        <f>IF(B99="","",D99+F99+H99+J99+#REF!+#REF!+#REF!+#REF!+#REF!)</f>
        <v/>
      </c>
      <c r="M99" s="55" t="str">
        <f t="shared" ca="1" si="25"/>
        <v/>
      </c>
    </row>
    <row r="100" spans="1:13" ht="19.95" customHeight="1" x14ac:dyDescent="0.25">
      <c r="A100" s="52"/>
      <c r="B100" s="51"/>
      <c r="C100" s="54" t="str">
        <f>IF(B100="","",VLOOKUP(B100,学生信息汇总!A:E,2,0))</f>
        <v/>
      </c>
      <c r="D100" s="50"/>
      <c r="E100" s="55" t="str">
        <f t="shared" ca="1" si="21"/>
        <v/>
      </c>
      <c r="F100" s="51"/>
      <c r="G100" s="55" t="str">
        <f t="shared" ca="1" si="22"/>
        <v/>
      </c>
      <c r="H100" s="50"/>
      <c r="I100" s="55" t="str">
        <f t="shared" ca="1" si="23"/>
        <v/>
      </c>
      <c r="J100" s="50"/>
      <c r="K100" s="55" t="str">
        <f t="shared" ca="1" si="24"/>
        <v/>
      </c>
      <c r="L100" s="64" t="str">
        <f>IF(B100="","",D100+F100+H100+J100+#REF!+#REF!+#REF!+#REF!+#REF!)</f>
        <v/>
      </c>
      <c r="M100" s="55" t="str">
        <f t="shared" ca="1" si="25"/>
        <v/>
      </c>
    </row>
    <row r="101" spans="1:13" ht="19.95" customHeight="1" x14ac:dyDescent="0.25">
      <c r="A101" s="52"/>
      <c r="B101" s="51"/>
      <c r="C101" s="54" t="str">
        <f>IF(B101="","",VLOOKUP(B101,学生信息汇总!A:E,2,0))</f>
        <v/>
      </c>
      <c r="D101" s="50"/>
      <c r="E101" s="55" t="str">
        <f t="shared" ca="1" si="21"/>
        <v/>
      </c>
      <c r="F101" s="51"/>
      <c r="G101" s="55" t="str">
        <f t="shared" ca="1" si="22"/>
        <v/>
      </c>
      <c r="H101" s="50"/>
      <c r="I101" s="55" t="str">
        <f t="shared" ca="1" si="23"/>
        <v/>
      </c>
      <c r="J101" s="50"/>
      <c r="K101" s="55" t="str">
        <f t="shared" ca="1" si="24"/>
        <v/>
      </c>
      <c r="L101" s="64" t="str">
        <f>IF(B101="","",D101+F101+H101+J101+#REF!+#REF!+#REF!+#REF!+#REF!)</f>
        <v/>
      </c>
      <c r="M101" s="55" t="str">
        <f t="shared" ca="1" si="25"/>
        <v/>
      </c>
    </row>
    <row r="102" spans="1:13" ht="19.95" customHeight="1" x14ac:dyDescent="0.25">
      <c r="A102" s="52"/>
      <c r="B102" s="51"/>
      <c r="C102" s="54" t="str">
        <f>IF(B102="","",VLOOKUP(B102,学生信息汇总!A:E,2,0))</f>
        <v/>
      </c>
      <c r="D102" s="50"/>
      <c r="E102" s="55" t="str">
        <f t="shared" ca="1" si="21"/>
        <v/>
      </c>
      <c r="F102" s="51"/>
      <c r="G102" s="55" t="str">
        <f t="shared" ca="1" si="22"/>
        <v/>
      </c>
      <c r="H102" s="50"/>
      <c r="I102" s="55" t="str">
        <f t="shared" ca="1" si="23"/>
        <v/>
      </c>
      <c r="J102" s="50"/>
      <c r="K102" s="55" t="str">
        <f t="shared" ca="1" si="24"/>
        <v/>
      </c>
      <c r="L102" s="64" t="str">
        <f>IF(B102="","",D102+F102+H102+J102+#REF!+#REF!+#REF!+#REF!+#REF!)</f>
        <v/>
      </c>
      <c r="M102" s="55" t="str">
        <f t="shared" ca="1" si="25"/>
        <v/>
      </c>
    </row>
    <row r="103" spans="1:13" ht="19.95" customHeight="1" x14ac:dyDescent="0.25">
      <c r="A103" s="52"/>
      <c r="B103" s="51"/>
      <c r="C103" s="54" t="str">
        <f>IF(B103="","",VLOOKUP(B103,学生信息汇总!A:E,2,0))</f>
        <v/>
      </c>
      <c r="D103" s="50"/>
      <c r="E103" s="55" t="str">
        <f t="shared" ca="1" si="21"/>
        <v/>
      </c>
      <c r="F103" s="51"/>
      <c r="G103" s="55" t="str">
        <f t="shared" ca="1" si="22"/>
        <v/>
      </c>
      <c r="H103" s="50"/>
      <c r="I103" s="55" t="str">
        <f t="shared" ca="1" si="23"/>
        <v/>
      </c>
      <c r="J103" s="50"/>
      <c r="K103" s="55" t="str">
        <f t="shared" ca="1" si="24"/>
        <v/>
      </c>
      <c r="L103" s="64" t="str">
        <f>IF(B103="","",D103+F103+H103+J103+#REF!+#REF!+#REF!+#REF!+#REF!)</f>
        <v/>
      </c>
      <c r="M103" s="55" t="str">
        <f t="shared" ca="1" si="25"/>
        <v/>
      </c>
    </row>
    <row r="104" spans="1:13" ht="19.95" customHeight="1" x14ac:dyDescent="0.25">
      <c r="A104" s="52"/>
      <c r="B104" s="51"/>
      <c r="C104" s="54" t="str">
        <f>IF(B104="","",VLOOKUP(B104,学生信息汇总!A:E,2,0))</f>
        <v/>
      </c>
      <c r="D104" s="50"/>
      <c r="E104" s="55" t="str">
        <f t="shared" ca="1" si="21"/>
        <v/>
      </c>
      <c r="F104" s="51"/>
      <c r="G104" s="55" t="str">
        <f t="shared" ca="1" si="22"/>
        <v/>
      </c>
      <c r="H104" s="50"/>
      <c r="I104" s="55" t="str">
        <f t="shared" ca="1" si="23"/>
        <v/>
      </c>
      <c r="J104" s="50"/>
      <c r="K104" s="55" t="str">
        <f t="shared" ca="1" si="24"/>
        <v/>
      </c>
      <c r="L104" s="64" t="str">
        <f>IF(B104="","",D104+F104+H104+J104+#REF!+#REF!+#REF!+#REF!+#REF!)</f>
        <v/>
      </c>
      <c r="M104" s="55" t="str">
        <f t="shared" ca="1" si="25"/>
        <v/>
      </c>
    </row>
    <row r="105" spans="1:13" ht="19.95" customHeight="1" x14ac:dyDescent="0.25">
      <c r="A105" s="52"/>
      <c r="B105" s="51"/>
      <c r="C105" s="54" t="str">
        <f>IF(B105="","",VLOOKUP(B105,学生信息汇总!A:E,2,0))</f>
        <v/>
      </c>
      <c r="D105" s="50"/>
      <c r="E105" s="55" t="str">
        <f t="shared" ca="1" si="21"/>
        <v/>
      </c>
      <c r="F105" s="51"/>
      <c r="G105" s="55" t="str">
        <f t="shared" ca="1" si="22"/>
        <v/>
      </c>
      <c r="H105" s="50"/>
      <c r="I105" s="55" t="str">
        <f t="shared" ca="1" si="23"/>
        <v/>
      </c>
      <c r="J105" s="50"/>
      <c r="K105" s="55" t="str">
        <f t="shared" ca="1" si="24"/>
        <v/>
      </c>
      <c r="L105" s="64" t="str">
        <f>IF(B105="","",D105+F105+H105+J105+#REF!+#REF!+#REF!+#REF!+#REF!)</f>
        <v/>
      </c>
      <c r="M105" s="55" t="str">
        <f t="shared" ca="1" si="25"/>
        <v/>
      </c>
    </row>
    <row r="106" spans="1:13" ht="19.95" customHeight="1" x14ac:dyDescent="0.25">
      <c r="A106" s="52"/>
      <c r="B106" s="51"/>
      <c r="C106" s="54" t="str">
        <f>IF(B106="","",VLOOKUP(B106,学生信息汇总!A:E,2,0))</f>
        <v/>
      </c>
      <c r="D106" s="50"/>
      <c r="E106" s="55" t="str">
        <f t="shared" ca="1" si="21"/>
        <v/>
      </c>
      <c r="F106" s="51"/>
      <c r="G106" s="55" t="str">
        <f t="shared" ca="1" si="22"/>
        <v/>
      </c>
      <c r="H106" s="50"/>
      <c r="I106" s="55" t="str">
        <f t="shared" ca="1" si="23"/>
        <v/>
      </c>
      <c r="J106" s="50"/>
      <c r="K106" s="55" t="str">
        <f t="shared" ca="1" si="24"/>
        <v/>
      </c>
      <c r="L106" s="64" t="str">
        <f>IF(B106="","",D106+F106+H106+J106+#REF!+#REF!+#REF!+#REF!+#REF!)</f>
        <v/>
      </c>
      <c r="M106" s="55" t="str">
        <f t="shared" ca="1" si="25"/>
        <v/>
      </c>
    </row>
    <row r="107" spans="1:13" ht="19.95" customHeight="1" x14ac:dyDescent="0.25">
      <c r="A107" s="52"/>
      <c r="B107" s="51"/>
      <c r="C107" s="54" t="str">
        <f>IF(B107="","",VLOOKUP(B107,学生信息汇总!A:E,2,0))</f>
        <v/>
      </c>
      <c r="D107" s="50"/>
      <c r="E107" s="55" t="str">
        <f t="shared" ca="1" si="21"/>
        <v/>
      </c>
      <c r="F107" s="51"/>
      <c r="G107" s="55" t="str">
        <f t="shared" ca="1" si="22"/>
        <v/>
      </c>
      <c r="H107" s="50"/>
      <c r="I107" s="55" t="str">
        <f t="shared" ca="1" si="23"/>
        <v/>
      </c>
      <c r="J107" s="50"/>
      <c r="K107" s="55" t="str">
        <f t="shared" ca="1" si="24"/>
        <v/>
      </c>
      <c r="L107" s="64" t="str">
        <f>IF(B107="","",D107+F107+H107+J107+#REF!+#REF!+#REF!+#REF!+#REF!)</f>
        <v/>
      </c>
      <c r="M107" s="55" t="str">
        <f t="shared" ca="1" si="25"/>
        <v/>
      </c>
    </row>
    <row r="108" spans="1:13" ht="19.95" customHeight="1" x14ac:dyDescent="0.25">
      <c r="A108" s="52"/>
      <c r="B108" s="51"/>
      <c r="C108" s="54" t="str">
        <f>IF(B108="","",VLOOKUP(B108,学生信息汇总!A:E,2,0))</f>
        <v/>
      </c>
      <c r="D108" s="50"/>
      <c r="E108" s="55" t="str">
        <f t="shared" ref="E108:E171" ca="1" si="26">IF(D108="","",RANK(D108,INDIRECT(ADDRESS(MATCH(VLOOKUP(A108,A:A,1,0),A:A,0),6)&amp;":"&amp;ADDRESS((MATCH(VLOOKUP(A108,A:A,1,0),A:A,0)+COUNTIF(A:A,A108)-1),6))))</f>
        <v/>
      </c>
      <c r="F108" s="51"/>
      <c r="G108" s="55" t="str">
        <f t="shared" ref="G108:G171" ca="1" si="27">IF(F108="","",RANK(F108,INDIRECT(ADDRESS(MATCH(VLOOKUP(A108,A:A,1,0),A:A,0),8)&amp;":"&amp;ADDRESS((MATCH(VLOOKUP(A108,A:A,1,0),A:A,0)+COUNTIF(A:A,A108)-1),8))))</f>
        <v/>
      </c>
      <c r="H108" s="50"/>
      <c r="I108" s="55" t="str">
        <f t="shared" ref="I108:I171" ca="1" si="28">IF(H108="","",RANK(H108,INDIRECT(ADDRESS(MATCH(VLOOKUP(A108,A:A,1,0),A:A,0),10)&amp;":"&amp;ADDRESS((MATCH(VLOOKUP(A108,A:A,1,0),A:A,0)+COUNTIF(A:A,A108)-1),10))))</f>
        <v/>
      </c>
      <c r="J108" s="50"/>
      <c r="K108" s="55" t="str">
        <f t="shared" ref="K108:K171" ca="1" si="29">IF(J108="","",RANK(J108,INDIRECT(ADDRESS(MATCH(VLOOKUP(A108,A:A,1,0),A:A,0),12)&amp;":"&amp;ADDRESS((MATCH(VLOOKUP(A108,A:A,1,0),A:A,0)+COUNTIF(A:A,A108)-1),12))))</f>
        <v/>
      </c>
      <c r="L108" s="64" t="str">
        <f>IF(B108="","",D108+F108+H108+J108+#REF!+#REF!+#REF!+#REF!+#REF!)</f>
        <v/>
      </c>
      <c r="M108" s="55" t="str">
        <f t="shared" ref="M108:M171" ca="1" si="30">IF(L108="","",RANK(L108,INDIRECT(ADDRESS(MATCH(VLOOKUP(A108,A:A,1,0),A:A,0),26)&amp;":"&amp;ADDRESS((MATCH(VLOOKUP(A108,A:A,1,0),A:A,0)+COUNTIF(A:A,A108)-1),26))))</f>
        <v/>
      </c>
    </row>
    <row r="109" spans="1:13" ht="19.95" customHeight="1" x14ac:dyDescent="0.25">
      <c r="A109" s="52"/>
      <c r="B109" s="51"/>
      <c r="C109" s="54" t="str">
        <f>IF(B109="","",VLOOKUP(B109,学生信息汇总!A:E,2,0))</f>
        <v/>
      </c>
      <c r="D109" s="50"/>
      <c r="E109" s="55" t="str">
        <f t="shared" ca="1" si="26"/>
        <v/>
      </c>
      <c r="F109" s="51"/>
      <c r="G109" s="55" t="str">
        <f t="shared" ca="1" si="27"/>
        <v/>
      </c>
      <c r="H109" s="50"/>
      <c r="I109" s="55" t="str">
        <f t="shared" ca="1" si="28"/>
        <v/>
      </c>
      <c r="J109" s="50"/>
      <c r="K109" s="55" t="str">
        <f t="shared" ca="1" si="29"/>
        <v/>
      </c>
      <c r="L109" s="64" t="str">
        <f>IF(B109="","",D109+F109+H109+J109+#REF!+#REF!+#REF!+#REF!+#REF!)</f>
        <v/>
      </c>
      <c r="M109" s="55" t="str">
        <f t="shared" ca="1" si="30"/>
        <v/>
      </c>
    </row>
    <row r="110" spans="1:13" ht="19.95" customHeight="1" x14ac:dyDescent="0.25">
      <c r="A110" s="52"/>
      <c r="B110" s="51"/>
      <c r="C110" s="54" t="str">
        <f>IF(B110="","",VLOOKUP(B110,学生信息汇总!A:E,2,0))</f>
        <v/>
      </c>
      <c r="D110" s="50"/>
      <c r="E110" s="55" t="str">
        <f t="shared" ca="1" si="26"/>
        <v/>
      </c>
      <c r="F110" s="51"/>
      <c r="G110" s="55" t="str">
        <f t="shared" ca="1" si="27"/>
        <v/>
      </c>
      <c r="H110" s="50"/>
      <c r="I110" s="55" t="str">
        <f t="shared" ca="1" si="28"/>
        <v/>
      </c>
      <c r="J110" s="50"/>
      <c r="K110" s="55" t="str">
        <f t="shared" ca="1" si="29"/>
        <v/>
      </c>
      <c r="L110" s="64" t="str">
        <f>IF(B110="","",D110+F110+H110+J110+#REF!+#REF!+#REF!+#REF!+#REF!)</f>
        <v/>
      </c>
      <c r="M110" s="55" t="str">
        <f t="shared" ca="1" si="30"/>
        <v/>
      </c>
    </row>
    <row r="111" spans="1:13" ht="19.95" customHeight="1" x14ac:dyDescent="0.25">
      <c r="A111" s="52"/>
      <c r="B111" s="51"/>
      <c r="C111" s="54" t="str">
        <f>IF(B111="","",VLOOKUP(B111,学生信息汇总!A:E,2,0))</f>
        <v/>
      </c>
      <c r="D111" s="50"/>
      <c r="E111" s="55" t="str">
        <f t="shared" ca="1" si="26"/>
        <v/>
      </c>
      <c r="F111" s="51"/>
      <c r="G111" s="55" t="str">
        <f t="shared" ca="1" si="27"/>
        <v/>
      </c>
      <c r="H111" s="50"/>
      <c r="I111" s="55" t="str">
        <f t="shared" ca="1" si="28"/>
        <v/>
      </c>
      <c r="J111" s="50"/>
      <c r="K111" s="55" t="str">
        <f t="shared" ca="1" si="29"/>
        <v/>
      </c>
      <c r="L111" s="64" t="str">
        <f>IF(B111="","",D111+F111+H111+J111+#REF!+#REF!+#REF!+#REF!+#REF!)</f>
        <v/>
      </c>
      <c r="M111" s="55" t="str">
        <f t="shared" ca="1" si="30"/>
        <v/>
      </c>
    </row>
    <row r="112" spans="1:13" ht="19.95" customHeight="1" x14ac:dyDescent="0.25">
      <c r="A112" s="52"/>
      <c r="B112" s="51"/>
      <c r="C112" s="54" t="str">
        <f>IF(B112="","",VLOOKUP(B112,学生信息汇总!A:E,2,0))</f>
        <v/>
      </c>
      <c r="D112" s="50"/>
      <c r="E112" s="55" t="str">
        <f t="shared" ca="1" si="26"/>
        <v/>
      </c>
      <c r="F112" s="51"/>
      <c r="G112" s="55" t="str">
        <f t="shared" ca="1" si="27"/>
        <v/>
      </c>
      <c r="H112" s="50"/>
      <c r="I112" s="55" t="str">
        <f t="shared" ca="1" si="28"/>
        <v/>
      </c>
      <c r="J112" s="50"/>
      <c r="K112" s="55" t="str">
        <f t="shared" ca="1" si="29"/>
        <v/>
      </c>
      <c r="L112" s="64" t="str">
        <f>IF(B112="","",D112+F112+H112+J112+#REF!+#REF!+#REF!+#REF!+#REF!)</f>
        <v/>
      </c>
      <c r="M112" s="55" t="str">
        <f t="shared" ca="1" si="30"/>
        <v/>
      </c>
    </row>
    <row r="113" spans="1:13" ht="19.95" customHeight="1" x14ac:dyDescent="0.25">
      <c r="A113" s="52"/>
      <c r="B113" s="51"/>
      <c r="C113" s="54" t="str">
        <f>IF(B113="","",VLOOKUP(B113,学生信息汇总!A:E,2,0))</f>
        <v/>
      </c>
      <c r="D113" s="50"/>
      <c r="E113" s="55" t="str">
        <f t="shared" ca="1" si="26"/>
        <v/>
      </c>
      <c r="F113" s="51"/>
      <c r="G113" s="55" t="str">
        <f t="shared" ca="1" si="27"/>
        <v/>
      </c>
      <c r="H113" s="50"/>
      <c r="I113" s="55" t="str">
        <f t="shared" ca="1" si="28"/>
        <v/>
      </c>
      <c r="J113" s="50"/>
      <c r="K113" s="55" t="str">
        <f t="shared" ca="1" si="29"/>
        <v/>
      </c>
      <c r="L113" s="64" t="str">
        <f>IF(B113="","",D113+F113+H113+J113+#REF!+#REF!+#REF!+#REF!+#REF!)</f>
        <v/>
      </c>
      <c r="M113" s="55" t="str">
        <f t="shared" ca="1" si="30"/>
        <v/>
      </c>
    </row>
    <row r="114" spans="1:13" ht="19.95" customHeight="1" x14ac:dyDescent="0.25">
      <c r="A114" s="52"/>
      <c r="B114" s="51"/>
      <c r="C114" s="54" t="str">
        <f>IF(B114="","",VLOOKUP(B114,学生信息汇总!A:E,2,0))</f>
        <v/>
      </c>
      <c r="D114" s="50"/>
      <c r="E114" s="55" t="str">
        <f t="shared" ca="1" si="26"/>
        <v/>
      </c>
      <c r="F114" s="51"/>
      <c r="G114" s="55" t="str">
        <f t="shared" ca="1" si="27"/>
        <v/>
      </c>
      <c r="H114" s="50"/>
      <c r="I114" s="55" t="str">
        <f t="shared" ca="1" si="28"/>
        <v/>
      </c>
      <c r="J114" s="50"/>
      <c r="K114" s="55" t="str">
        <f t="shared" ca="1" si="29"/>
        <v/>
      </c>
      <c r="L114" s="64" t="str">
        <f>IF(B114="","",D114+F114+H114+J114+#REF!+#REF!+#REF!+#REF!+#REF!)</f>
        <v/>
      </c>
      <c r="M114" s="55" t="str">
        <f t="shared" ca="1" si="30"/>
        <v/>
      </c>
    </row>
    <row r="115" spans="1:13" ht="19.95" customHeight="1" x14ac:dyDescent="0.25">
      <c r="A115" s="52"/>
      <c r="B115" s="51"/>
      <c r="C115" s="54" t="str">
        <f>IF(B115="","",VLOOKUP(B115,学生信息汇总!A:E,2,0))</f>
        <v/>
      </c>
      <c r="D115" s="50"/>
      <c r="E115" s="55" t="str">
        <f t="shared" ca="1" si="26"/>
        <v/>
      </c>
      <c r="F115" s="51"/>
      <c r="G115" s="55" t="str">
        <f t="shared" ca="1" si="27"/>
        <v/>
      </c>
      <c r="H115" s="50"/>
      <c r="I115" s="55" t="str">
        <f t="shared" ca="1" si="28"/>
        <v/>
      </c>
      <c r="J115" s="50"/>
      <c r="K115" s="55" t="str">
        <f t="shared" ca="1" si="29"/>
        <v/>
      </c>
      <c r="L115" s="64" t="str">
        <f>IF(B115="","",D115+F115+H115+J115+#REF!+#REF!+#REF!+#REF!+#REF!)</f>
        <v/>
      </c>
      <c r="M115" s="55" t="str">
        <f t="shared" ca="1" si="30"/>
        <v/>
      </c>
    </row>
    <row r="116" spans="1:13" ht="19.95" customHeight="1" x14ac:dyDescent="0.25">
      <c r="A116" s="52"/>
      <c r="B116" s="51"/>
      <c r="C116" s="54" t="str">
        <f>IF(B116="","",VLOOKUP(B116,学生信息汇总!A:E,2,0))</f>
        <v/>
      </c>
      <c r="D116" s="50"/>
      <c r="E116" s="55" t="str">
        <f t="shared" ca="1" si="26"/>
        <v/>
      </c>
      <c r="F116" s="51"/>
      <c r="G116" s="55" t="str">
        <f t="shared" ca="1" si="27"/>
        <v/>
      </c>
      <c r="H116" s="50"/>
      <c r="I116" s="55" t="str">
        <f t="shared" ca="1" si="28"/>
        <v/>
      </c>
      <c r="J116" s="50"/>
      <c r="K116" s="55" t="str">
        <f t="shared" ca="1" si="29"/>
        <v/>
      </c>
      <c r="L116" s="64" t="str">
        <f>IF(B116="","",D116+F116+H116+J116+#REF!+#REF!+#REF!+#REF!+#REF!)</f>
        <v/>
      </c>
      <c r="M116" s="55" t="str">
        <f t="shared" ca="1" si="30"/>
        <v/>
      </c>
    </row>
    <row r="117" spans="1:13" ht="19.95" customHeight="1" x14ac:dyDescent="0.25">
      <c r="A117" s="52"/>
      <c r="B117" s="51"/>
      <c r="C117" s="54" t="str">
        <f>IF(B117="","",VLOOKUP(B117,学生信息汇总!A:E,2,0))</f>
        <v/>
      </c>
      <c r="D117" s="50"/>
      <c r="E117" s="55" t="str">
        <f t="shared" ca="1" si="26"/>
        <v/>
      </c>
      <c r="F117" s="51"/>
      <c r="G117" s="55" t="str">
        <f t="shared" ca="1" si="27"/>
        <v/>
      </c>
      <c r="H117" s="50"/>
      <c r="I117" s="55" t="str">
        <f t="shared" ca="1" si="28"/>
        <v/>
      </c>
      <c r="J117" s="50"/>
      <c r="K117" s="55" t="str">
        <f t="shared" ca="1" si="29"/>
        <v/>
      </c>
      <c r="L117" s="64" t="str">
        <f>IF(B117="","",D117+F117+H117+J117+#REF!+#REF!+#REF!+#REF!+#REF!)</f>
        <v/>
      </c>
      <c r="M117" s="55" t="str">
        <f t="shared" ca="1" si="30"/>
        <v/>
      </c>
    </row>
    <row r="118" spans="1:13" ht="19.95" customHeight="1" x14ac:dyDescent="0.25">
      <c r="A118" s="52"/>
      <c r="B118" s="51"/>
      <c r="C118" s="54" t="str">
        <f>IF(B118="","",VLOOKUP(B118,学生信息汇总!A:E,2,0))</f>
        <v/>
      </c>
      <c r="D118" s="50"/>
      <c r="E118" s="55" t="str">
        <f t="shared" ca="1" si="26"/>
        <v/>
      </c>
      <c r="F118" s="51"/>
      <c r="G118" s="55" t="str">
        <f t="shared" ca="1" si="27"/>
        <v/>
      </c>
      <c r="H118" s="50"/>
      <c r="I118" s="55" t="str">
        <f t="shared" ca="1" si="28"/>
        <v/>
      </c>
      <c r="J118" s="50"/>
      <c r="K118" s="55" t="str">
        <f t="shared" ca="1" si="29"/>
        <v/>
      </c>
      <c r="L118" s="64" t="str">
        <f>IF(B118="","",D118+F118+H118+J118+#REF!+#REF!+#REF!+#REF!+#REF!)</f>
        <v/>
      </c>
      <c r="M118" s="55" t="str">
        <f t="shared" ca="1" si="30"/>
        <v/>
      </c>
    </row>
    <row r="119" spans="1:13" ht="19.95" customHeight="1" x14ac:dyDescent="0.25">
      <c r="A119" s="52"/>
      <c r="B119" s="51"/>
      <c r="C119" s="54" t="str">
        <f>IF(B119="","",VLOOKUP(B119,学生信息汇总!A:E,2,0))</f>
        <v/>
      </c>
      <c r="D119" s="50"/>
      <c r="E119" s="55" t="str">
        <f t="shared" ca="1" si="26"/>
        <v/>
      </c>
      <c r="F119" s="51"/>
      <c r="G119" s="55" t="str">
        <f t="shared" ca="1" si="27"/>
        <v/>
      </c>
      <c r="H119" s="50"/>
      <c r="I119" s="55" t="str">
        <f t="shared" ca="1" si="28"/>
        <v/>
      </c>
      <c r="J119" s="50"/>
      <c r="K119" s="55" t="str">
        <f t="shared" ca="1" si="29"/>
        <v/>
      </c>
      <c r="L119" s="64" t="str">
        <f>IF(B119="","",D119+F119+H119+J119+#REF!+#REF!+#REF!+#REF!+#REF!)</f>
        <v/>
      </c>
      <c r="M119" s="55" t="str">
        <f t="shared" ca="1" si="30"/>
        <v/>
      </c>
    </row>
    <row r="120" spans="1:13" ht="19.95" customHeight="1" x14ac:dyDescent="0.25">
      <c r="A120" s="52"/>
      <c r="B120" s="51"/>
      <c r="C120" s="54" t="str">
        <f>IF(B120="","",VLOOKUP(B120,学生信息汇总!A:E,2,0))</f>
        <v/>
      </c>
      <c r="D120" s="50"/>
      <c r="E120" s="55" t="str">
        <f t="shared" ca="1" si="26"/>
        <v/>
      </c>
      <c r="F120" s="51"/>
      <c r="G120" s="55" t="str">
        <f t="shared" ca="1" si="27"/>
        <v/>
      </c>
      <c r="H120" s="50"/>
      <c r="I120" s="55" t="str">
        <f t="shared" ca="1" si="28"/>
        <v/>
      </c>
      <c r="J120" s="50"/>
      <c r="K120" s="55" t="str">
        <f t="shared" ca="1" si="29"/>
        <v/>
      </c>
      <c r="L120" s="64" t="str">
        <f>IF(B120="","",D120+F120+H120+J120+#REF!+#REF!+#REF!+#REF!+#REF!)</f>
        <v/>
      </c>
      <c r="M120" s="55" t="str">
        <f t="shared" ca="1" si="30"/>
        <v/>
      </c>
    </row>
    <row r="121" spans="1:13" ht="19.95" customHeight="1" x14ac:dyDescent="0.25">
      <c r="A121" s="52"/>
      <c r="B121" s="51"/>
      <c r="C121" s="54" t="str">
        <f>IF(B121="","",VLOOKUP(B121,学生信息汇总!A:E,2,0))</f>
        <v/>
      </c>
      <c r="D121" s="50"/>
      <c r="E121" s="55" t="str">
        <f t="shared" ca="1" si="26"/>
        <v/>
      </c>
      <c r="F121" s="51"/>
      <c r="G121" s="55" t="str">
        <f t="shared" ca="1" si="27"/>
        <v/>
      </c>
      <c r="H121" s="50"/>
      <c r="I121" s="55" t="str">
        <f t="shared" ca="1" si="28"/>
        <v/>
      </c>
      <c r="J121" s="50"/>
      <c r="K121" s="55" t="str">
        <f t="shared" ca="1" si="29"/>
        <v/>
      </c>
      <c r="L121" s="64" t="str">
        <f>IF(B121="","",D121+F121+H121+J121+#REF!+#REF!+#REF!+#REF!+#REF!)</f>
        <v/>
      </c>
      <c r="M121" s="55" t="str">
        <f t="shared" ca="1" si="30"/>
        <v/>
      </c>
    </row>
    <row r="122" spans="1:13" ht="19.95" customHeight="1" x14ac:dyDescent="0.25">
      <c r="A122" s="52"/>
      <c r="B122" s="51"/>
      <c r="C122" s="54" t="str">
        <f>IF(B122="","",VLOOKUP(B122,学生信息汇总!A:E,2,0))</f>
        <v/>
      </c>
      <c r="D122" s="50"/>
      <c r="E122" s="55" t="str">
        <f t="shared" ca="1" si="26"/>
        <v/>
      </c>
      <c r="F122" s="51"/>
      <c r="G122" s="55" t="str">
        <f t="shared" ca="1" si="27"/>
        <v/>
      </c>
      <c r="H122" s="50"/>
      <c r="I122" s="55" t="str">
        <f t="shared" ca="1" si="28"/>
        <v/>
      </c>
      <c r="J122" s="50"/>
      <c r="K122" s="55" t="str">
        <f t="shared" ca="1" si="29"/>
        <v/>
      </c>
      <c r="L122" s="64" t="str">
        <f>IF(B122="","",D122+F122+H122+J122+#REF!+#REF!+#REF!+#REF!+#REF!)</f>
        <v/>
      </c>
      <c r="M122" s="55" t="str">
        <f t="shared" ca="1" si="30"/>
        <v/>
      </c>
    </row>
    <row r="123" spans="1:13" ht="19.95" customHeight="1" x14ac:dyDescent="0.25">
      <c r="A123" s="52"/>
      <c r="B123" s="51"/>
      <c r="C123" s="54" t="str">
        <f>IF(B123="","",VLOOKUP(B123,学生信息汇总!A:E,2,0))</f>
        <v/>
      </c>
      <c r="D123" s="50"/>
      <c r="E123" s="55" t="str">
        <f t="shared" ca="1" si="26"/>
        <v/>
      </c>
      <c r="F123" s="51"/>
      <c r="G123" s="55" t="str">
        <f t="shared" ca="1" si="27"/>
        <v/>
      </c>
      <c r="H123" s="50"/>
      <c r="I123" s="55" t="str">
        <f t="shared" ca="1" si="28"/>
        <v/>
      </c>
      <c r="J123" s="50"/>
      <c r="K123" s="55" t="str">
        <f t="shared" ca="1" si="29"/>
        <v/>
      </c>
      <c r="L123" s="64" t="str">
        <f>IF(B123="","",D123+F123+H123+J123+#REF!+#REF!+#REF!+#REF!+#REF!)</f>
        <v/>
      </c>
      <c r="M123" s="55" t="str">
        <f t="shared" ca="1" si="30"/>
        <v/>
      </c>
    </row>
    <row r="124" spans="1:13" ht="19.95" customHeight="1" x14ac:dyDescent="0.25">
      <c r="A124" s="52"/>
      <c r="B124" s="51"/>
      <c r="C124" s="54" t="str">
        <f>IF(B124="","",VLOOKUP(B124,学生信息汇总!A:E,2,0))</f>
        <v/>
      </c>
      <c r="D124" s="50"/>
      <c r="E124" s="55" t="str">
        <f t="shared" ca="1" si="26"/>
        <v/>
      </c>
      <c r="F124" s="51"/>
      <c r="G124" s="55" t="str">
        <f t="shared" ca="1" si="27"/>
        <v/>
      </c>
      <c r="H124" s="50"/>
      <c r="I124" s="55" t="str">
        <f t="shared" ca="1" si="28"/>
        <v/>
      </c>
      <c r="J124" s="50"/>
      <c r="K124" s="55" t="str">
        <f t="shared" ca="1" si="29"/>
        <v/>
      </c>
      <c r="L124" s="64" t="str">
        <f>IF(B124="","",D124+F124+H124+J124+#REF!+#REF!+#REF!+#REF!+#REF!)</f>
        <v/>
      </c>
      <c r="M124" s="55" t="str">
        <f t="shared" ca="1" si="30"/>
        <v/>
      </c>
    </row>
    <row r="125" spans="1:13" ht="19.95" customHeight="1" x14ac:dyDescent="0.25">
      <c r="A125" s="52"/>
      <c r="B125" s="51"/>
      <c r="C125" s="54" t="str">
        <f>IF(B125="","",VLOOKUP(B125,学生信息汇总!A:E,2,0))</f>
        <v/>
      </c>
      <c r="D125" s="50"/>
      <c r="E125" s="55" t="str">
        <f t="shared" ca="1" si="26"/>
        <v/>
      </c>
      <c r="F125" s="51"/>
      <c r="G125" s="55" t="str">
        <f t="shared" ca="1" si="27"/>
        <v/>
      </c>
      <c r="H125" s="50"/>
      <c r="I125" s="55" t="str">
        <f t="shared" ca="1" si="28"/>
        <v/>
      </c>
      <c r="J125" s="50"/>
      <c r="K125" s="55" t="str">
        <f t="shared" ca="1" si="29"/>
        <v/>
      </c>
      <c r="L125" s="64" t="str">
        <f>IF(B125="","",D125+F125+H125+J125+#REF!+#REF!+#REF!+#REF!+#REF!)</f>
        <v/>
      </c>
      <c r="M125" s="55" t="str">
        <f t="shared" ca="1" si="30"/>
        <v/>
      </c>
    </row>
    <row r="126" spans="1:13" ht="19.95" customHeight="1" x14ac:dyDescent="0.25">
      <c r="A126" s="52"/>
      <c r="B126" s="51"/>
      <c r="C126" s="54" t="str">
        <f>IF(B126="","",VLOOKUP(B126,学生信息汇总!A:E,2,0))</f>
        <v/>
      </c>
      <c r="D126" s="50"/>
      <c r="E126" s="55" t="str">
        <f t="shared" ca="1" si="26"/>
        <v/>
      </c>
      <c r="F126" s="51"/>
      <c r="G126" s="55" t="str">
        <f t="shared" ca="1" si="27"/>
        <v/>
      </c>
      <c r="H126" s="50"/>
      <c r="I126" s="55" t="str">
        <f t="shared" ca="1" si="28"/>
        <v/>
      </c>
      <c r="J126" s="50"/>
      <c r="K126" s="55" t="str">
        <f t="shared" ca="1" si="29"/>
        <v/>
      </c>
      <c r="L126" s="64" t="str">
        <f>IF(B126="","",D126+F126+H126+J126+#REF!+#REF!+#REF!+#REF!+#REF!)</f>
        <v/>
      </c>
      <c r="M126" s="55" t="str">
        <f t="shared" ca="1" si="30"/>
        <v/>
      </c>
    </row>
    <row r="127" spans="1:13" ht="19.95" customHeight="1" x14ac:dyDescent="0.25">
      <c r="A127" s="52"/>
      <c r="B127" s="51"/>
      <c r="C127" s="54" t="str">
        <f>IF(B127="","",VLOOKUP(B127,学生信息汇总!A:E,2,0))</f>
        <v/>
      </c>
      <c r="D127" s="50"/>
      <c r="E127" s="55" t="str">
        <f t="shared" ca="1" si="26"/>
        <v/>
      </c>
      <c r="F127" s="51"/>
      <c r="G127" s="55" t="str">
        <f t="shared" ca="1" si="27"/>
        <v/>
      </c>
      <c r="H127" s="50"/>
      <c r="I127" s="55" t="str">
        <f t="shared" ca="1" si="28"/>
        <v/>
      </c>
      <c r="J127" s="50"/>
      <c r="K127" s="55" t="str">
        <f t="shared" ca="1" si="29"/>
        <v/>
      </c>
      <c r="L127" s="64" t="str">
        <f>IF(B127="","",D127+F127+H127+J127+#REF!+#REF!+#REF!+#REF!+#REF!)</f>
        <v/>
      </c>
      <c r="M127" s="55" t="str">
        <f t="shared" ca="1" si="30"/>
        <v/>
      </c>
    </row>
    <row r="128" spans="1:13" ht="19.95" customHeight="1" x14ac:dyDescent="0.25">
      <c r="A128" s="52"/>
      <c r="B128" s="51"/>
      <c r="C128" s="54" t="str">
        <f>IF(B128="","",VLOOKUP(B128,学生信息汇总!A:E,2,0))</f>
        <v/>
      </c>
      <c r="D128" s="50"/>
      <c r="E128" s="55" t="str">
        <f t="shared" ca="1" si="26"/>
        <v/>
      </c>
      <c r="F128" s="51"/>
      <c r="G128" s="55" t="str">
        <f t="shared" ca="1" si="27"/>
        <v/>
      </c>
      <c r="H128" s="50"/>
      <c r="I128" s="55" t="str">
        <f t="shared" ca="1" si="28"/>
        <v/>
      </c>
      <c r="J128" s="50"/>
      <c r="K128" s="55" t="str">
        <f t="shared" ca="1" si="29"/>
        <v/>
      </c>
      <c r="L128" s="64" t="str">
        <f>IF(B128="","",D128+F128+H128+J128+#REF!+#REF!+#REF!+#REF!+#REF!)</f>
        <v/>
      </c>
      <c r="M128" s="55" t="str">
        <f t="shared" ca="1" si="30"/>
        <v/>
      </c>
    </row>
    <row r="129" spans="1:13" ht="19.95" customHeight="1" x14ac:dyDescent="0.25">
      <c r="A129" s="52"/>
      <c r="B129" s="51"/>
      <c r="C129" s="54" t="str">
        <f>IF(B129="","",VLOOKUP(B129,学生信息汇总!A:E,2,0))</f>
        <v/>
      </c>
      <c r="D129" s="50"/>
      <c r="E129" s="55" t="str">
        <f t="shared" ca="1" si="26"/>
        <v/>
      </c>
      <c r="F129" s="51"/>
      <c r="G129" s="55" t="str">
        <f t="shared" ca="1" si="27"/>
        <v/>
      </c>
      <c r="H129" s="50"/>
      <c r="I129" s="55" t="str">
        <f t="shared" ca="1" si="28"/>
        <v/>
      </c>
      <c r="J129" s="50"/>
      <c r="K129" s="55" t="str">
        <f t="shared" ca="1" si="29"/>
        <v/>
      </c>
      <c r="L129" s="64" t="str">
        <f>IF(B129="","",D129+F129+H129+J129+#REF!+#REF!+#REF!+#REF!+#REF!)</f>
        <v/>
      </c>
      <c r="M129" s="55" t="str">
        <f t="shared" ca="1" si="30"/>
        <v/>
      </c>
    </row>
    <row r="130" spans="1:13" ht="19.95" customHeight="1" x14ac:dyDescent="0.25">
      <c r="A130" s="52"/>
      <c r="B130" s="51"/>
      <c r="C130" s="54" t="str">
        <f>IF(B130="","",VLOOKUP(B130,学生信息汇总!A:E,2,0))</f>
        <v/>
      </c>
      <c r="D130" s="50"/>
      <c r="E130" s="55" t="str">
        <f t="shared" ca="1" si="26"/>
        <v/>
      </c>
      <c r="F130" s="51"/>
      <c r="G130" s="55" t="str">
        <f t="shared" ca="1" si="27"/>
        <v/>
      </c>
      <c r="H130" s="50"/>
      <c r="I130" s="55" t="str">
        <f t="shared" ca="1" si="28"/>
        <v/>
      </c>
      <c r="J130" s="50"/>
      <c r="K130" s="55" t="str">
        <f t="shared" ca="1" si="29"/>
        <v/>
      </c>
      <c r="L130" s="64" t="str">
        <f>IF(B130="","",D130+F130+H130+J130+#REF!+#REF!+#REF!+#REF!+#REF!)</f>
        <v/>
      </c>
      <c r="M130" s="55" t="str">
        <f t="shared" ca="1" si="30"/>
        <v/>
      </c>
    </row>
    <row r="131" spans="1:13" ht="19.95" customHeight="1" x14ac:dyDescent="0.25">
      <c r="A131" s="52"/>
      <c r="B131" s="51"/>
      <c r="C131" s="54" t="str">
        <f>IF(B131="","",VLOOKUP(B131,学生信息汇总!A:E,2,0))</f>
        <v/>
      </c>
      <c r="D131" s="50"/>
      <c r="E131" s="55" t="str">
        <f t="shared" ca="1" si="26"/>
        <v/>
      </c>
      <c r="F131" s="51"/>
      <c r="G131" s="55" t="str">
        <f t="shared" ca="1" si="27"/>
        <v/>
      </c>
      <c r="H131" s="50"/>
      <c r="I131" s="55" t="str">
        <f t="shared" ca="1" si="28"/>
        <v/>
      </c>
      <c r="J131" s="50"/>
      <c r="K131" s="55" t="str">
        <f t="shared" ca="1" si="29"/>
        <v/>
      </c>
      <c r="L131" s="64" t="str">
        <f>IF(B131="","",D131+F131+H131+J131+#REF!+#REF!+#REF!+#REF!+#REF!)</f>
        <v/>
      </c>
      <c r="M131" s="55" t="str">
        <f t="shared" ca="1" si="30"/>
        <v/>
      </c>
    </row>
    <row r="132" spans="1:13" ht="19.95" customHeight="1" x14ac:dyDescent="0.25">
      <c r="A132" s="52"/>
      <c r="B132" s="51"/>
      <c r="C132" s="54" t="str">
        <f>IF(B132="","",VLOOKUP(B132,学生信息汇总!A:E,2,0))</f>
        <v/>
      </c>
      <c r="D132" s="50"/>
      <c r="E132" s="55" t="str">
        <f t="shared" ca="1" si="26"/>
        <v/>
      </c>
      <c r="F132" s="51"/>
      <c r="G132" s="55" t="str">
        <f t="shared" ca="1" si="27"/>
        <v/>
      </c>
      <c r="H132" s="50"/>
      <c r="I132" s="55" t="str">
        <f t="shared" ca="1" si="28"/>
        <v/>
      </c>
      <c r="J132" s="50"/>
      <c r="K132" s="55" t="str">
        <f t="shared" ca="1" si="29"/>
        <v/>
      </c>
      <c r="L132" s="64" t="str">
        <f>IF(B132="","",D132+F132+H132+J132+#REF!+#REF!+#REF!+#REF!+#REF!)</f>
        <v/>
      </c>
      <c r="M132" s="55" t="str">
        <f t="shared" ca="1" si="30"/>
        <v/>
      </c>
    </row>
    <row r="133" spans="1:13" ht="19.95" customHeight="1" x14ac:dyDescent="0.25">
      <c r="A133" s="52"/>
      <c r="B133" s="51"/>
      <c r="C133" s="54" t="str">
        <f>IF(B133="","",VLOOKUP(B133,学生信息汇总!A:E,2,0))</f>
        <v/>
      </c>
      <c r="D133" s="50"/>
      <c r="E133" s="55" t="str">
        <f t="shared" ca="1" si="26"/>
        <v/>
      </c>
      <c r="F133" s="51"/>
      <c r="G133" s="55" t="str">
        <f t="shared" ca="1" si="27"/>
        <v/>
      </c>
      <c r="H133" s="50"/>
      <c r="I133" s="55" t="str">
        <f t="shared" ca="1" si="28"/>
        <v/>
      </c>
      <c r="J133" s="50"/>
      <c r="K133" s="55" t="str">
        <f t="shared" ca="1" si="29"/>
        <v/>
      </c>
      <c r="L133" s="64" t="str">
        <f>IF(B133="","",D133+F133+H133+J133+#REF!+#REF!+#REF!+#REF!+#REF!)</f>
        <v/>
      </c>
      <c r="M133" s="55" t="str">
        <f t="shared" ca="1" si="30"/>
        <v/>
      </c>
    </row>
    <row r="134" spans="1:13" ht="19.95" customHeight="1" x14ac:dyDescent="0.25">
      <c r="A134" s="52"/>
      <c r="B134" s="51"/>
      <c r="C134" s="54" t="str">
        <f>IF(B134="","",VLOOKUP(B134,学生信息汇总!A:E,2,0))</f>
        <v/>
      </c>
      <c r="D134" s="50"/>
      <c r="E134" s="55" t="str">
        <f t="shared" ca="1" si="26"/>
        <v/>
      </c>
      <c r="F134" s="51"/>
      <c r="G134" s="55" t="str">
        <f t="shared" ca="1" si="27"/>
        <v/>
      </c>
      <c r="H134" s="50"/>
      <c r="I134" s="55" t="str">
        <f t="shared" ca="1" si="28"/>
        <v/>
      </c>
      <c r="J134" s="50"/>
      <c r="K134" s="55" t="str">
        <f t="shared" ca="1" si="29"/>
        <v/>
      </c>
      <c r="L134" s="64" t="str">
        <f>IF(B134="","",D134+F134+H134+J134+#REF!+#REF!+#REF!+#REF!+#REF!)</f>
        <v/>
      </c>
      <c r="M134" s="55" t="str">
        <f t="shared" ca="1" si="30"/>
        <v/>
      </c>
    </row>
    <row r="135" spans="1:13" ht="19.95" customHeight="1" x14ac:dyDescent="0.25">
      <c r="A135" s="52"/>
      <c r="B135" s="51"/>
      <c r="C135" s="54" t="str">
        <f>IF(B135="","",VLOOKUP(B135,学生信息汇总!A:E,2,0))</f>
        <v/>
      </c>
      <c r="D135" s="50"/>
      <c r="E135" s="55" t="str">
        <f t="shared" ca="1" si="26"/>
        <v/>
      </c>
      <c r="F135" s="51"/>
      <c r="G135" s="55" t="str">
        <f t="shared" ca="1" si="27"/>
        <v/>
      </c>
      <c r="H135" s="50"/>
      <c r="I135" s="55" t="str">
        <f t="shared" ca="1" si="28"/>
        <v/>
      </c>
      <c r="J135" s="50"/>
      <c r="K135" s="55" t="str">
        <f t="shared" ca="1" si="29"/>
        <v/>
      </c>
      <c r="L135" s="64" t="str">
        <f>IF(B135="","",D135+F135+H135+J135+#REF!+#REF!+#REF!+#REF!+#REF!)</f>
        <v/>
      </c>
      <c r="M135" s="55" t="str">
        <f t="shared" ca="1" si="30"/>
        <v/>
      </c>
    </row>
    <row r="136" spans="1:13" ht="19.95" customHeight="1" x14ac:dyDescent="0.25">
      <c r="A136" s="52"/>
      <c r="B136" s="51"/>
      <c r="C136" s="54" t="str">
        <f>IF(B136="","",VLOOKUP(B136,学生信息汇总!A:E,2,0))</f>
        <v/>
      </c>
      <c r="D136" s="50"/>
      <c r="E136" s="55" t="str">
        <f t="shared" ca="1" si="26"/>
        <v/>
      </c>
      <c r="F136" s="51"/>
      <c r="G136" s="55" t="str">
        <f t="shared" ca="1" si="27"/>
        <v/>
      </c>
      <c r="H136" s="50"/>
      <c r="I136" s="55" t="str">
        <f t="shared" ca="1" si="28"/>
        <v/>
      </c>
      <c r="J136" s="50"/>
      <c r="K136" s="55" t="str">
        <f t="shared" ca="1" si="29"/>
        <v/>
      </c>
      <c r="L136" s="64" t="str">
        <f>IF(B136="","",D136+F136+H136+J136+#REF!+#REF!+#REF!+#REF!+#REF!)</f>
        <v/>
      </c>
      <c r="M136" s="55" t="str">
        <f t="shared" ca="1" si="30"/>
        <v/>
      </c>
    </row>
    <row r="137" spans="1:13" ht="19.95" customHeight="1" x14ac:dyDescent="0.25">
      <c r="A137" s="52"/>
      <c r="B137" s="51"/>
      <c r="C137" s="54" t="str">
        <f>IF(B137="","",VLOOKUP(B137,学生信息汇总!A:E,2,0))</f>
        <v/>
      </c>
      <c r="D137" s="50"/>
      <c r="E137" s="55" t="str">
        <f t="shared" ca="1" si="26"/>
        <v/>
      </c>
      <c r="F137" s="51"/>
      <c r="G137" s="55" t="str">
        <f t="shared" ca="1" si="27"/>
        <v/>
      </c>
      <c r="H137" s="50"/>
      <c r="I137" s="55" t="str">
        <f t="shared" ca="1" si="28"/>
        <v/>
      </c>
      <c r="J137" s="50"/>
      <c r="K137" s="55" t="str">
        <f t="shared" ca="1" si="29"/>
        <v/>
      </c>
      <c r="L137" s="64" t="str">
        <f>IF(B137="","",D137+F137+H137+J137+#REF!+#REF!+#REF!+#REF!+#REF!)</f>
        <v/>
      </c>
      <c r="M137" s="55" t="str">
        <f t="shared" ca="1" si="30"/>
        <v/>
      </c>
    </row>
    <row r="138" spans="1:13" ht="19.95" customHeight="1" x14ac:dyDescent="0.25">
      <c r="A138" s="52"/>
      <c r="B138" s="51"/>
      <c r="C138" s="54" t="str">
        <f>IF(B138="","",VLOOKUP(B138,学生信息汇总!A:E,2,0))</f>
        <v/>
      </c>
      <c r="D138" s="50"/>
      <c r="E138" s="55" t="str">
        <f t="shared" ca="1" si="26"/>
        <v/>
      </c>
      <c r="F138" s="51"/>
      <c r="G138" s="55" t="str">
        <f t="shared" ca="1" si="27"/>
        <v/>
      </c>
      <c r="H138" s="50"/>
      <c r="I138" s="55" t="str">
        <f t="shared" ca="1" si="28"/>
        <v/>
      </c>
      <c r="J138" s="50"/>
      <c r="K138" s="55" t="str">
        <f t="shared" ca="1" si="29"/>
        <v/>
      </c>
      <c r="L138" s="64" t="str">
        <f>IF(B138="","",D138+F138+H138+J138+#REF!+#REF!+#REF!+#REF!+#REF!)</f>
        <v/>
      </c>
      <c r="M138" s="55" t="str">
        <f t="shared" ca="1" si="30"/>
        <v/>
      </c>
    </row>
    <row r="139" spans="1:13" ht="19.95" customHeight="1" x14ac:dyDescent="0.25">
      <c r="A139" s="52"/>
      <c r="B139" s="51"/>
      <c r="C139" s="54" t="str">
        <f>IF(B139="","",VLOOKUP(B139,学生信息汇总!A:E,2,0))</f>
        <v/>
      </c>
      <c r="D139" s="50"/>
      <c r="E139" s="55" t="str">
        <f t="shared" ca="1" si="26"/>
        <v/>
      </c>
      <c r="F139" s="51"/>
      <c r="G139" s="55" t="str">
        <f t="shared" ca="1" si="27"/>
        <v/>
      </c>
      <c r="H139" s="50"/>
      <c r="I139" s="55" t="str">
        <f t="shared" ca="1" si="28"/>
        <v/>
      </c>
      <c r="J139" s="50"/>
      <c r="K139" s="55" t="str">
        <f t="shared" ca="1" si="29"/>
        <v/>
      </c>
      <c r="L139" s="64" t="str">
        <f>IF(B139="","",D139+F139+H139+J139+#REF!+#REF!+#REF!+#REF!+#REF!)</f>
        <v/>
      </c>
      <c r="M139" s="55" t="str">
        <f t="shared" ca="1" si="30"/>
        <v/>
      </c>
    </row>
    <row r="140" spans="1:13" ht="19.95" customHeight="1" x14ac:dyDescent="0.25">
      <c r="A140" s="52"/>
      <c r="B140" s="51"/>
      <c r="C140" s="54" t="str">
        <f>IF(B140="","",VLOOKUP(B140,学生信息汇总!A:E,2,0))</f>
        <v/>
      </c>
      <c r="D140" s="50"/>
      <c r="E140" s="55" t="str">
        <f t="shared" ca="1" si="26"/>
        <v/>
      </c>
      <c r="F140" s="51"/>
      <c r="G140" s="55" t="str">
        <f t="shared" ca="1" si="27"/>
        <v/>
      </c>
      <c r="H140" s="50"/>
      <c r="I140" s="55" t="str">
        <f t="shared" ca="1" si="28"/>
        <v/>
      </c>
      <c r="J140" s="50"/>
      <c r="K140" s="55" t="str">
        <f t="shared" ca="1" si="29"/>
        <v/>
      </c>
      <c r="L140" s="64" t="str">
        <f>IF(B140="","",D140+F140+H140+J140+#REF!+#REF!+#REF!+#REF!+#REF!)</f>
        <v/>
      </c>
      <c r="M140" s="55" t="str">
        <f t="shared" ca="1" si="30"/>
        <v/>
      </c>
    </row>
    <row r="141" spans="1:13" ht="19.95" customHeight="1" x14ac:dyDescent="0.25">
      <c r="A141" s="52"/>
      <c r="B141" s="51"/>
      <c r="C141" s="54" t="str">
        <f>IF(B141="","",VLOOKUP(B141,学生信息汇总!A:E,2,0))</f>
        <v/>
      </c>
      <c r="D141" s="50"/>
      <c r="E141" s="55" t="str">
        <f t="shared" ca="1" si="26"/>
        <v/>
      </c>
      <c r="F141" s="51"/>
      <c r="G141" s="55" t="str">
        <f t="shared" ca="1" si="27"/>
        <v/>
      </c>
      <c r="H141" s="50"/>
      <c r="I141" s="55" t="str">
        <f t="shared" ca="1" si="28"/>
        <v/>
      </c>
      <c r="J141" s="50"/>
      <c r="K141" s="55" t="str">
        <f t="shared" ca="1" si="29"/>
        <v/>
      </c>
      <c r="L141" s="64" t="str">
        <f>IF(B141="","",D141+F141+H141+J141+#REF!+#REF!+#REF!+#REF!+#REF!)</f>
        <v/>
      </c>
      <c r="M141" s="55" t="str">
        <f t="shared" ca="1" si="30"/>
        <v/>
      </c>
    </row>
    <row r="142" spans="1:13" ht="19.95" customHeight="1" x14ac:dyDescent="0.25">
      <c r="A142" s="52"/>
      <c r="B142" s="51"/>
      <c r="C142" s="54" t="str">
        <f>IF(B142="","",VLOOKUP(B142,学生信息汇总!A:E,2,0))</f>
        <v/>
      </c>
      <c r="D142" s="50"/>
      <c r="E142" s="55" t="str">
        <f t="shared" ca="1" si="26"/>
        <v/>
      </c>
      <c r="F142" s="51"/>
      <c r="G142" s="55" t="str">
        <f t="shared" ca="1" si="27"/>
        <v/>
      </c>
      <c r="H142" s="50"/>
      <c r="I142" s="55" t="str">
        <f t="shared" ca="1" si="28"/>
        <v/>
      </c>
      <c r="J142" s="50"/>
      <c r="K142" s="55" t="str">
        <f t="shared" ca="1" si="29"/>
        <v/>
      </c>
      <c r="L142" s="64" t="str">
        <f>IF(B142="","",D142+F142+H142+J142+#REF!+#REF!+#REF!+#REF!+#REF!)</f>
        <v/>
      </c>
      <c r="M142" s="55" t="str">
        <f t="shared" ca="1" si="30"/>
        <v/>
      </c>
    </row>
    <row r="143" spans="1:13" ht="19.95" customHeight="1" x14ac:dyDescent="0.25">
      <c r="A143" s="52"/>
      <c r="B143" s="51"/>
      <c r="C143" s="54" t="str">
        <f>IF(B143="","",VLOOKUP(B143,学生信息汇总!A:E,2,0))</f>
        <v/>
      </c>
      <c r="D143" s="50"/>
      <c r="E143" s="55" t="str">
        <f t="shared" ca="1" si="26"/>
        <v/>
      </c>
      <c r="F143" s="51"/>
      <c r="G143" s="55" t="str">
        <f t="shared" ca="1" si="27"/>
        <v/>
      </c>
      <c r="H143" s="50"/>
      <c r="I143" s="55" t="str">
        <f t="shared" ca="1" si="28"/>
        <v/>
      </c>
      <c r="J143" s="50"/>
      <c r="K143" s="55" t="str">
        <f t="shared" ca="1" si="29"/>
        <v/>
      </c>
      <c r="L143" s="64" t="str">
        <f>IF(B143="","",D143+F143+H143+J143+#REF!+#REF!+#REF!+#REF!+#REF!)</f>
        <v/>
      </c>
      <c r="M143" s="55" t="str">
        <f t="shared" ca="1" si="30"/>
        <v/>
      </c>
    </row>
    <row r="144" spans="1:13" ht="19.95" customHeight="1" x14ac:dyDescent="0.25">
      <c r="A144" s="52"/>
      <c r="B144" s="51"/>
      <c r="C144" s="54" t="str">
        <f>IF(B144="","",VLOOKUP(B144,学生信息汇总!A:E,2,0))</f>
        <v/>
      </c>
      <c r="D144" s="50"/>
      <c r="E144" s="55" t="str">
        <f t="shared" ca="1" si="26"/>
        <v/>
      </c>
      <c r="F144" s="51"/>
      <c r="G144" s="55" t="str">
        <f t="shared" ca="1" si="27"/>
        <v/>
      </c>
      <c r="H144" s="50"/>
      <c r="I144" s="55" t="str">
        <f t="shared" ca="1" si="28"/>
        <v/>
      </c>
      <c r="J144" s="50"/>
      <c r="K144" s="55" t="str">
        <f t="shared" ca="1" si="29"/>
        <v/>
      </c>
      <c r="L144" s="64" t="str">
        <f>IF(B144="","",D144+F144+H144+J144+#REF!+#REF!+#REF!+#REF!+#REF!)</f>
        <v/>
      </c>
      <c r="M144" s="55" t="str">
        <f t="shared" ca="1" si="30"/>
        <v/>
      </c>
    </row>
    <row r="145" spans="1:13" ht="19.95" customHeight="1" x14ac:dyDescent="0.25">
      <c r="A145" s="52"/>
      <c r="B145" s="51"/>
      <c r="C145" s="54" t="str">
        <f>IF(B145="","",VLOOKUP(B145,学生信息汇总!A:E,2,0))</f>
        <v/>
      </c>
      <c r="D145" s="50"/>
      <c r="E145" s="55" t="str">
        <f t="shared" ca="1" si="26"/>
        <v/>
      </c>
      <c r="F145" s="51"/>
      <c r="G145" s="55" t="str">
        <f t="shared" ca="1" si="27"/>
        <v/>
      </c>
      <c r="H145" s="50"/>
      <c r="I145" s="55" t="str">
        <f t="shared" ca="1" si="28"/>
        <v/>
      </c>
      <c r="J145" s="50"/>
      <c r="K145" s="55" t="str">
        <f t="shared" ca="1" si="29"/>
        <v/>
      </c>
      <c r="L145" s="64" t="str">
        <f>IF(B145="","",D145+F145+H145+J145+#REF!+#REF!+#REF!+#REF!+#REF!)</f>
        <v/>
      </c>
      <c r="M145" s="55" t="str">
        <f t="shared" ca="1" si="30"/>
        <v/>
      </c>
    </row>
    <row r="146" spans="1:13" ht="19.95" customHeight="1" x14ac:dyDescent="0.25">
      <c r="A146" s="52"/>
      <c r="B146" s="51"/>
      <c r="C146" s="54" t="str">
        <f>IF(B146="","",VLOOKUP(B146,学生信息汇总!A:E,2,0))</f>
        <v/>
      </c>
      <c r="D146" s="50"/>
      <c r="E146" s="55" t="str">
        <f t="shared" ca="1" si="26"/>
        <v/>
      </c>
      <c r="F146" s="51"/>
      <c r="G146" s="55" t="str">
        <f t="shared" ca="1" si="27"/>
        <v/>
      </c>
      <c r="H146" s="50"/>
      <c r="I146" s="55" t="str">
        <f t="shared" ca="1" si="28"/>
        <v/>
      </c>
      <c r="J146" s="50"/>
      <c r="K146" s="55" t="str">
        <f t="shared" ca="1" si="29"/>
        <v/>
      </c>
      <c r="L146" s="64" t="str">
        <f>IF(B146="","",D146+F146+H146+J146+#REF!+#REF!+#REF!+#REF!+#REF!)</f>
        <v/>
      </c>
      <c r="M146" s="55" t="str">
        <f t="shared" ca="1" si="30"/>
        <v/>
      </c>
    </row>
    <row r="147" spans="1:13" ht="19.95" customHeight="1" x14ac:dyDescent="0.25">
      <c r="A147" s="52"/>
      <c r="B147" s="51"/>
      <c r="C147" s="54" t="str">
        <f>IF(B147="","",VLOOKUP(B147,学生信息汇总!A:E,2,0))</f>
        <v/>
      </c>
      <c r="D147" s="50"/>
      <c r="E147" s="55" t="str">
        <f t="shared" ca="1" si="26"/>
        <v/>
      </c>
      <c r="F147" s="51"/>
      <c r="G147" s="55" t="str">
        <f t="shared" ca="1" si="27"/>
        <v/>
      </c>
      <c r="H147" s="50"/>
      <c r="I147" s="55" t="str">
        <f t="shared" ca="1" si="28"/>
        <v/>
      </c>
      <c r="J147" s="50"/>
      <c r="K147" s="55" t="str">
        <f t="shared" ca="1" si="29"/>
        <v/>
      </c>
      <c r="L147" s="64" t="str">
        <f>IF(B147="","",D147+F147+H147+J147+#REF!+#REF!+#REF!+#REF!+#REF!)</f>
        <v/>
      </c>
      <c r="M147" s="55" t="str">
        <f t="shared" ca="1" si="30"/>
        <v/>
      </c>
    </row>
    <row r="148" spans="1:13" ht="19.95" customHeight="1" x14ac:dyDescent="0.25">
      <c r="A148" s="52"/>
      <c r="B148" s="51"/>
      <c r="C148" s="54" t="str">
        <f>IF(B148="","",VLOOKUP(B148,学生信息汇总!A:E,2,0))</f>
        <v/>
      </c>
      <c r="D148" s="50"/>
      <c r="E148" s="55" t="str">
        <f t="shared" ca="1" si="26"/>
        <v/>
      </c>
      <c r="F148" s="51"/>
      <c r="G148" s="55" t="str">
        <f t="shared" ca="1" si="27"/>
        <v/>
      </c>
      <c r="H148" s="50"/>
      <c r="I148" s="55" t="str">
        <f t="shared" ca="1" si="28"/>
        <v/>
      </c>
      <c r="J148" s="50"/>
      <c r="K148" s="55" t="str">
        <f t="shared" ca="1" si="29"/>
        <v/>
      </c>
      <c r="L148" s="64" t="str">
        <f>IF(B148="","",D148+F148+H148+J148+#REF!+#REF!+#REF!+#REF!+#REF!)</f>
        <v/>
      </c>
      <c r="M148" s="55" t="str">
        <f t="shared" ca="1" si="30"/>
        <v/>
      </c>
    </row>
    <row r="149" spans="1:13" ht="19.95" customHeight="1" x14ac:dyDescent="0.25">
      <c r="A149" s="52"/>
      <c r="B149" s="51"/>
      <c r="C149" s="54" t="str">
        <f>IF(B149="","",VLOOKUP(B149,学生信息汇总!A:E,2,0))</f>
        <v/>
      </c>
      <c r="D149" s="50"/>
      <c r="E149" s="55" t="str">
        <f t="shared" ca="1" si="26"/>
        <v/>
      </c>
      <c r="F149" s="51"/>
      <c r="G149" s="55" t="str">
        <f t="shared" ca="1" si="27"/>
        <v/>
      </c>
      <c r="H149" s="50"/>
      <c r="I149" s="55" t="str">
        <f t="shared" ca="1" si="28"/>
        <v/>
      </c>
      <c r="J149" s="50"/>
      <c r="K149" s="55" t="str">
        <f t="shared" ca="1" si="29"/>
        <v/>
      </c>
      <c r="L149" s="64" t="str">
        <f>IF(B149="","",D149+F149+H149+J149+#REF!+#REF!+#REF!+#REF!+#REF!)</f>
        <v/>
      </c>
      <c r="M149" s="55" t="str">
        <f t="shared" ca="1" si="30"/>
        <v/>
      </c>
    </row>
    <row r="150" spans="1:13" ht="19.95" customHeight="1" x14ac:dyDescent="0.25">
      <c r="A150" s="52"/>
      <c r="B150" s="51"/>
      <c r="C150" s="54" t="str">
        <f>IF(B150="","",VLOOKUP(B150,学生信息汇总!A:E,2,0))</f>
        <v/>
      </c>
      <c r="D150" s="50"/>
      <c r="E150" s="55" t="str">
        <f t="shared" ca="1" si="26"/>
        <v/>
      </c>
      <c r="F150" s="51"/>
      <c r="G150" s="55" t="str">
        <f t="shared" ca="1" si="27"/>
        <v/>
      </c>
      <c r="H150" s="50"/>
      <c r="I150" s="55" t="str">
        <f t="shared" ca="1" si="28"/>
        <v/>
      </c>
      <c r="J150" s="50"/>
      <c r="K150" s="55" t="str">
        <f t="shared" ca="1" si="29"/>
        <v/>
      </c>
      <c r="L150" s="64" t="str">
        <f>IF(B150="","",D150+F150+H150+J150+#REF!+#REF!+#REF!+#REF!+#REF!)</f>
        <v/>
      </c>
      <c r="M150" s="55" t="str">
        <f t="shared" ca="1" si="30"/>
        <v/>
      </c>
    </row>
    <row r="151" spans="1:13" ht="19.95" customHeight="1" x14ac:dyDescent="0.25">
      <c r="A151" s="52"/>
      <c r="B151" s="51"/>
      <c r="C151" s="54" t="str">
        <f>IF(B151="","",VLOOKUP(B151,学生信息汇总!A:E,2,0))</f>
        <v/>
      </c>
      <c r="D151" s="50"/>
      <c r="E151" s="55" t="str">
        <f t="shared" ca="1" si="26"/>
        <v/>
      </c>
      <c r="F151" s="51"/>
      <c r="G151" s="55" t="str">
        <f t="shared" ca="1" si="27"/>
        <v/>
      </c>
      <c r="H151" s="50"/>
      <c r="I151" s="55" t="str">
        <f t="shared" ca="1" si="28"/>
        <v/>
      </c>
      <c r="J151" s="50"/>
      <c r="K151" s="55" t="str">
        <f t="shared" ca="1" si="29"/>
        <v/>
      </c>
      <c r="L151" s="64" t="str">
        <f>IF(B151="","",D151+F151+H151+J151+#REF!+#REF!+#REF!+#REF!+#REF!)</f>
        <v/>
      </c>
      <c r="M151" s="55" t="str">
        <f t="shared" ca="1" si="30"/>
        <v/>
      </c>
    </row>
    <row r="152" spans="1:13" ht="19.95" customHeight="1" x14ac:dyDescent="0.25">
      <c r="A152" s="52"/>
      <c r="B152" s="51"/>
      <c r="C152" s="54" t="str">
        <f>IF(B152="","",VLOOKUP(B152,学生信息汇总!A:E,2,0))</f>
        <v/>
      </c>
      <c r="D152" s="50"/>
      <c r="E152" s="55" t="str">
        <f t="shared" ca="1" si="26"/>
        <v/>
      </c>
      <c r="F152" s="51"/>
      <c r="G152" s="55" t="str">
        <f t="shared" ca="1" si="27"/>
        <v/>
      </c>
      <c r="H152" s="50"/>
      <c r="I152" s="55" t="str">
        <f t="shared" ca="1" si="28"/>
        <v/>
      </c>
      <c r="J152" s="50"/>
      <c r="K152" s="55" t="str">
        <f t="shared" ca="1" si="29"/>
        <v/>
      </c>
      <c r="L152" s="64" t="str">
        <f>IF(B152="","",D152+F152+H152+J152+#REF!+#REF!+#REF!+#REF!+#REF!)</f>
        <v/>
      </c>
      <c r="M152" s="55" t="str">
        <f t="shared" ca="1" si="30"/>
        <v/>
      </c>
    </row>
    <row r="153" spans="1:13" ht="19.95" customHeight="1" x14ac:dyDescent="0.25">
      <c r="A153" s="52"/>
      <c r="B153" s="51"/>
      <c r="C153" s="54" t="str">
        <f>IF(B153="","",VLOOKUP(B153,学生信息汇总!A:E,2,0))</f>
        <v/>
      </c>
      <c r="D153" s="50"/>
      <c r="E153" s="55" t="str">
        <f t="shared" ca="1" si="26"/>
        <v/>
      </c>
      <c r="F153" s="51"/>
      <c r="G153" s="55" t="str">
        <f t="shared" ca="1" si="27"/>
        <v/>
      </c>
      <c r="H153" s="50"/>
      <c r="I153" s="55" t="str">
        <f t="shared" ca="1" si="28"/>
        <v/>
      </c>
      <c r="J153" s="50"/>
      <c r="K153" s="55" t="str">
        <f t="shared" ca="1" si="29"/>
        <v/>
      </c>
      <c r="L153" s="64" t="str">
        <f>IF(B153="","",D153+F153+H153+J153+#REF!+#REF!+#REF!+#REF!+#REF!)</f>
        <v/>
      </c>
      <c r="M153" s="55" t="str">
        <f t="shared" ca="1" si="30"/>
        <v/>
      </c>
    </row>
    <row r="154" spans="1:13" ht="19.95" customHeight="1" x14ac:dyDescent="0.25">
      <c r="A154" s="52"/>
      <c r="B154" s="51"/>
      <c r="C154" s="54" t="str">
        <f>IF(B154="","",VLOOKUP(B154,学生信息汇总!A:E,2,0))</f>
        <v/>
      </c>
      <c r="D154" s="50"/>
      <c r="E154" s="55" t="str">
        <f t="shared" ca="1" si="26"/>
        <v/>
      </c>
      <c r="F154" s="51"/>
      <c r="G154" s="55" t="str">
        <f t="shared" ca="1" si="27"/>
        <v/>
      </c>
      <c r="H154" s="50"/>
      <c r="I154" s="55" t="str">
        <f t="shared" ca="1" si="28"/>
        <v/>
      </c>
      <c r="J154" s="50"/>
      <c r="K154" s="55" t="str">
        <f t="shared" ca="1" si="29"/>
        <v/>
      </c>
      <c r="L154" s="64" t="str">
        <f>IF(B154="","",D154+F154+H154+J154+#REF!+#REF!+#REF!+#REF!+#REF!)</f>
        <v/>
      </c>
      <c r="M154" s="55" t="str">
        <f t="shared" ca="1" si="30"/>
        <v/>
      </c>
    </row>
    <row r="155" spans="1:13" ht="19.95" customHeight="1" x14ac:dyDescent="0.25">
      <c r="A155" s="52"/>
      <c r="B155" s="51"/>
      <c r="C155" s="54" t="str">
        <f>IF(B155="","",VLOOKUP(B155,学生信息汇总!A:E,2,0))</f>
        <v/>
      </c>
      <c r="D155" s="50"/>
      <c r="E155" s="55" t="str">
        <f t="shared" ca="1" si="26"/>
        <v/>
      </c>
      <c r="F155" s="51"/>
      <c r="G155" s="55" t="str">
        <f t="shared" ca="1" si="27"/>
        <v/>
      </c>
      <c r="H155" s="50"/>
      <c r="I155" s="55" t="str">
        <f t="shared" ca="1" si="28"/>
        <v/>
      </c>
      <c r="J155" s="50"/>
      <c r="K155" s="55" t="str">
        <f t="shared" ca="1" si="29"/>
        <v/>
      </c>
      <c r="L155" s="64" t="str">
        <f>IF(B155="","",D155+F155+H155+J155+#REF!+#REF!+#REF!+#REF!+#REF!)</f>
        <v/>
      </c>
      <c r="M155" s="55" t="str">
        <f t="shared" ca="1" si="30"/>
        <v/>
      </c>
    </row>
    <row r="156" spans="1:13" ht="19.95" customHeight="1" x14ac:dyDescent="0.25">
      <c r="A156" s="52"/>
      <c r="B156" s="51"/>
      <c r="C156" s="54" t="str">
        <f>IF(B156="","",VLOOKUP(B156,学生信息汇总!A:E,2,0))</f>
        <v/>
      </c>
      <c r="D156" s="50"/>
      <c r="E156" s="55" t="str">
        <f t="shared" ca="1" si="26"/>
        <v/>
      </c>
      <c r="F156" s="51"/>
      <c r="G156" s="55" t="str">
        <f t="shared" ca="1" si="27"/>
        <v/>
      </c>
      <c r="H156" s="50"/>
      <c r="I156" s="55" t="str">
        <f t="shared" ca="1" si="28"/>
        <v/>
      </c>
      <c r="J156" s="50"/>
      <c r="K156" s="55" t="str">
        <f t="shared" ca="1" si="29"/>
        <v/>
      </c>
      <c r="L156" s="64" t="str">
        <f>IF(B156="","",D156+F156+H156+J156+#REF!+#REF!+#REF!+#REF!+#REF!)</f>
        <v/>
      </c>
      <c r="M156" s="55" t="str">
        <f t="shared" ca="1" si="30"/>
        <v/>
      </c>
    </row>
    <row r="157" spans="1:13" ht="19.95" customHeight="1" x14ac:dyDescent="0.25">
      <c r="A157" s="52"/>
      <c r="B157" s="51"/>
      <c r="C157" s="54" t="str">
        <f>IF(B157="","",VLOOKUP(B157,学生信息汇总!A:E,2,0))</f>
        <v/>
      </c>
      <c r="D157" s="50"/>
      <c r="E157" s="55" t="str">
        <f t="shared" ca="1" si="26"/>
        <v/>
      </c>
      <c r="F157" s="51"/>
      <c r="G157" s="55" t="str">
        <f t="shared" ca="1" si="27"/>
        <v/>
      </c>
      <c r="H157" s="50"/>
      <c r="I157" s="55" t="str">
        <f t="shared" ca="1" si="28"/>
        <v/>
      </c>
      <c r="J157" s="50"/>
      <c r="K157" s="55" t="str">
        <f t="shared" ca="1" si="29"/>
        <v/>
      </c>
      <c r="L157" s="64" t="str">
        <f>IF(B157="","",D157+F157+H157+J157+#REF!+#REF!+#REF!+#REF!+#REF!)</f>
        <v/>
      </c>
      <c r="M157" s="55" t="str">
        <f t="shared" ca="1" si="30"/>
        <v/>
      </c>
    </row>
    <row r="158" spans="1:13" ht="19.95" customHeight="1" x14ac:dyDescent="0.25">
      <c r="A158" s="52"/>
      <c r="B158" s="51"/>
      <c r="C158" s="54" t="str">
        <f>IF(B158="","",VLOOKUP(B158,学生信息汇总!A:E,2,0))</f>
        <v/>
      </c>
      <c r="D158" s="50"/>
      <c r="E158" s="55" t="str">
        <f t="shared" ca="1" si="26"/>
        <v/>
      </c>
      <c r="F158" s="51"/>
      <c r="G158" s="55" t="str">
        <f t="shared" ca="1" si="27"/>
        <v/>
      </c>
      <c r="H158" s="50"/>
      <c r="I158" s="55" t="str">
        <f t="shared" ca="1" si="28"/>
        <v/>
      </c>
      <c r="J158" s="50"/>
      <c r="K158" s="55" t="str">
        <f t="shared" ca="1" si="29"/>
        <v/>
      </c>
      <c r="L158" s="64" t="str">
        <f>IF(B158="","",D158+F158+H158+J158+#REF!+#REF!+#REF!+#REF!+#REF!)</f>
        <v/>
      </c>
      <c r="M158" s="55" t="str">
        <f t="shared" ca="1" si="30"/>
        <v/>
      </c>
    </row>
    <row r="159" spans="1:13" ht="19.95" customHeight="1" x14ac:dyDescent="0.25">
      <c r="A159" s="52"/>
      <c r="B159" s="51"/>
      <c r="C159" s="54" t="str">
        <f>IF(B159="","",VLOOKUP(B159,学生信息汇总!A:E,2,0))</f>
        <v/>
      </c>
      <c r="D159" s="50"/>
      <c r="E159" s="55" t="str">
        <f t="shared" ca="1" si="26"/>
        <v/>
      </c>
      <c r="F159" s="51"/>
      <c r="G159" s="55" t="str">
        <f t="shared" ca="1" si="27"/>
        <v/>
      </c>
      <c r="H159" s="50"/>
      <c r="I159" s="55" t="str">
        <f t="shared" ca="1" si="28"/>
        <v/>
      </c>
      <c r="J159" s="50"/>
      <c r="K159" s="55" t="str">
        <f t="shared" ca="1" si="29"/>
        <v/>
      </c>
      <c r="L159" s="64" t="str">
        <f>IF(B159="","",D159+F159+H159+J159+#REF!+#REF!+#REF!+#REF!+#REF!)</f>
        <v/>
      </c>
      <c r="M159" s="55" t="str">
        <f t="shared" ca="1" si="30"/>
        <v/>
      </c>
    </row>
    <row r="160" spans="1:13" ht="19.95" customHeight="1" x14ac:dyDescent="0.25">
      <c r="A160" s="52"/>
      <c r="B160" s="51"/>
      <c r="C160" s="54" t="str">
        <f>IF(B160="","",VLOOKUP(B160,学生信息汇总!A:E,2,0))</f>
        <v/>
      </c>
      <c r="D160" s="50"/>
      <c r="E160" s="55" t="str">
        <f t="shared" ca="1" si="26"/>
        <v/>
      </c>
      <c r="F160" s="51"/>
      <c r="G160" s="55" t="str">
        <f t="shared" ca="1" si="27"/>
        <v/>
      </c>
      <c r="H160" s="50"/>
      <c r="I160" s="55" t="str">
        <f t="shared" ca="1" si="28"/>
        <v/>
      </c>
      <c r="J160" s="50"/>
      <c r="K160" s="55" t="str">
        <f t="shared" ca="1" si="29"/>
        <v/>
      </c>
      <c r="L160" s="64" t="str">
        <f>IF(B160="","",D160+F160+H160+J160+#REF!+#REF!+#REF!+#REF!+#REF!)</f>
        <v/>
      </c>
      <c r="M160" s="55" t="str">
        <f t="shared" ca="1" si="30"/>
        <v/>
      </c>
    </row>
    <row r="161" spans="1:13" ht="19.95" customHeight="1" x14ac:dyDescent="0.25">
      <c r="A161" s="52"/>
      <c r="B161" s="51"/>
      <c r="C161" s="54" t="str">
        <f>IF(B161="","",VLOOKUP(B161,学生信息汇总!A:E,2,0))</f>
        <v/>
      </c>
      <c r="D161" s="50"/>
      <c r="E161" s="55" t="str">
        <f t="shared" ca="1" si="26"/>
        <v/>
      </c>
      <c r="F161" s="51"/>
      <c r="G161" s="55" t="str">
        <f t="shared" ca="1" si="27"/>
        <v/>
      </c>
      <c r="H161" s="50"/>
      <c r="I161" s="55" t="str">
        <f t="shared" ca="1" si="28"/>
        <v/>
      </c>
      <c r="J161" s="50"/>
      <c r="K161" s="55" t="str">
        <f t="shared" ca="1" si="29"/>
        <v/>
      </c>
      <c r="L161" s="64" t="str">
        <f>IF(B161="","",D161+F161+H161+J161+#REF!+#REF!+#REF!+#REF!+#REF!)</f>
        <v/>
      </c>
      <c r="M161" s="55" t="str">
        <f t="shared" ca="1" si="30"/>
        <v/>
      </c>
    </row>
    <row r="162" spans="1:13" ht="19.95" customHeight="1" x14ac:dyDescent="0.25">
      <c r="A162" s="52"/>
      <c r="B162" s="51"/>
      <c r="C162" s="54" t="str">
        <f>IF(B162="","",VLOOKUP(B162,学生信息汇总!A:E,2,0))</f>
        <v/>
      </c>
      <c r="D162" s="50"/>
      <c r="E162" s="55" t="str">
        <f t="shared" ca="1" si="26"/>
        <v/>
      </c>
      <c r="F162" s="51"/>
      <c r="G162" s="55" t="str">
        <f t="shared" ca="1" si="27"/>
        <v/>
      </c>
      <c r="H162" s="50"/>
      <c r="I162" s="55" t="str">
        <f t="shared" ca="1" si="28"/>
        <v/>
      </c>
      <c r="J162" s="50"/>
      <c r="K162" s="55" t="str">
        <f t="shared" ca="1" si="29"/>
        <v/>
      </c>
      <c r="L162" s="64" t="str">
        <f>IF(B162="","",D162+F162+H162+J162+#REF!+#REF!+#REF!+#REF!+#REF!)</f>
        <v/>
      </c>
      <c r="M162" s="55" t="str">
        <f t="shared" ca="1" si="30"/>
        <v/>
      </c>
    </row>
    <row r="163" spans="1:13" ht="19.95" customHeight="1" x14ac:dyDescent="0.25">
      <c r="A163" s="52"/>
      <c r="B163" s="51"/>
      <c r="C163" s="54" t="str">
        <f>IF(B163="","",VLOOKUP(B163,学生信息汇总!A:E,2,0))</f>
        <v/>
      </c>
      <c r="D163" s="50"/>
      <c r="E163" s="55" t="str">
        <f t="shared" ca="1" si="26"/>
        <v/>
      </c>
      <c r="F163" s="51"/>
      <c r="G163" s="55" t="str">
        <f t="shared" ca="1" si="27"/>
        <v/>
      </c>
      <c r="H163" s="50"/>
      <c r="I163" s="55" t="str">
        <f t="shared" ca="1" si="28"/>
        <v/>
      </c>
      <c r="J163" s="50"/>
      <c r="K163" s="55" t="str">
        <f t="shared" ca="1" si="29"/>
        <v/>
      </c>
      <c r="L163" s="64" t="str">
        <f>IF(B163="","",D163+F163+H163+J163+#REF!+#REF!+#REF!+#REF!+#REF!)</f>
        <v/>
      </c>
      <c r="M163" s="55" t="str">
        <f t="shared" ca="1" si="30"/>
        <v/>
      </c>
    </row>
    <row r="164" spans="1:13" ht="19.95" customHeight="1" x14ac:dyDescent="0.25">
      <c r="A164" s="52"/>
      <c r="B164" s="51"/>
      <c r="C164" s="54" t="str">
        <f>IF(B164="","",VLOOKUP(B164,学生信息汇总!A:E,2,0))</f>
        <v/>
      </c>
      <c r="D164" s="50"/>
      <c r="E164" s="55" t="str">
        <f t="shared" ca="1" si="26"/>
        <v/>
      </c>
      <c r="F164" s="51"/>
      <c r="G164" s="55" t="str">
        <f t="shared" ca="1" si="27"/>
        <v/>
      </c>
      <c r="H164" s="50"/>
      <c r="I164" s="55" t="str">
        <f t="shared" ca="1" si="28"/>
        <v/>
      </c>
      <c r="J164" s="50"/>
      <c r="K164" s="55" t="str">
        <f t="shared" ca="1" si="29"/>
        <v/>
      </c>
      <c r="L164" s="64" t="str">
        <f>IF(B164="","",D164+F164+H164+J164+#REF!+#REF!+#REF!+#REF!+#REF!)</f>
        <v/>
      </c>
      <c r="M164" s="55" t="str">
        <f t="shared" ca="1" si="30"/>
        <v/>
      </c>
    </row>
    <row r="165" spans="1:13" ht="19.95" customHeight="1" x14ac:dyDescent="0.25">
      <c r="A165" s="52"/>
      <c r="B165" s="51"/>
      <c r="C165" s="54" t="str">
        <f>IF(B165="","",VLOOKUP(B165,学生信息汇总!A:E,2,0))</f>
        <v/>
      </c>
      <c r="D165" s="50"/>
      <c r="E165" s="55" t="str">
        <f t="shared" ca="1" si="26"/>
        <v/>
      </c>
      <c r="F165" s="51"/>
      <c r="G165" s="55" t="str">
        <f t="shared" ca="1" si="27"/>
        <v/>
      </c>
      <c r="H165" s="50"/>
      <c r="I165" s="55" t="str">
        <f t="shared" ca="1" si="28"/>
        <v/>
      </c>
      <c r="J165" s="50"/>
      <c r="K165" s="55" t="str">
        <f t="shared" ca="1" si="29"/>
        <v/>
      </c>
      <c r="L165" s="64" t="str">
        <f>IF(B165="","",D165+F165+H165+J165+#REF!+#REF!+#REF!+#REF!+#REF!)</f>
        <v/>
      </c>
      <c r="M165" s="55" t="str">
        <f t="shared" ca="1" si="30"/>
        <v/>
      </c>
    </row>
    <row r="166" spans="1:13" ht="19.95" customHeight="1" x14ac:dyDescent="0.25">
      <c r="A166" s="52"/>
      <c r="B166" s="51"/>
      <c r="C166" s="54" t="str">
        <f>IF(B166="","",VLOOKUP(B166,学生信息汇总!A:E,2,0))</f>
        <v/>
      </c>
      <c r="D166" s="50"/>
      <c r="E166" s="55" t="str">
        <f t="shared" ca="1" si="26"/>
        <v/>
      </c>
      <c r="F166" s="51"/>
      <c r="G166" s="55" t="str">
        <f t="shared" ca="1" si="27"/>
        <v/>
      </c>
      <c r="H166" s="50"/>
      <c r="I166" s="55" t="str">
        <f t="shared" ca="1" si="28"/>
        <v/>
      </c>
      <c r="J166" s="50"/>
      <c r="K166" s="55" t="str">
        <f t="shared" ca="1" si="29"/>
        <v/>
      </c>
      <c r="L166" s="64" t="str">
        <f>IF(B166="","",D166+F166+H166+J166+#REF!+#REF!+#REF!+#REF!+#REF!)</f>
        <v/>
      </c>
      <c r="M166" s="55" t="str">
        <f t="shared" ca="1" si="30"/>
        <v/>
      </c>
    </row>
    <row r="167" spans="1:13" ht="19.95" customHeight="1" x14ac:dyDescent="0.25">
      <c r="A167" s="52"/>
      <c r="B167" s="51"/>
      <c r="C167" s="54" t="str">
        <f>IF(B167="","",VLOOKUP(B167,学生信息汇总!A:E,2,0))</f>
        <v/>
      </c>
      <c r="D167" s="50"/>
      <c r="E167" s="55" t="str">
        <f t="shared" ca="1" si="26"/>
        <v/>
      </c>
      <c r="F167" s="51"/>
      <c r="G167" s="55" t="str">
        <f t="shared" ca="1" si="27"/>
        <v/>
      </c>
      <c r="H167" s="50"/>
      <c r="I167" s="55" t="str">
        <f t="shared" ca="1" si="28"/>
        <v/>
      </c>
      <c r="J167" s="50"/>
      <c r="K167" s="55" t="str">
        <f t="shared" ca="1" si="29"/>
        <v/>
      </c>
      <c r="L167" s="64" t="str">
        <f>IF(B167="","",D167+F167+H167+J167+#REF!+#REF!+#REF!+#REF!+#REF!)</f>
        <v/>
      </c>
      <c r="M167" s="55" t="str">
        <f t="shared" ca="1" si="30"/>
        <v/>
      </c>
    </row>
    <row r="168" spans="1:13" ht="19.95" customHeight="1" x14ac:dyDescent="0.25">
      <c r="A168" s="52"/>
      <c r="B168" s="51"/>
      <c r="C168" s="54" t="str">
        <f>IF(B168="","",VLOOKUP(B168,学生信息汇总!A:E,2,0))</f>
        <v/>
      </c>
      <c r="D168" s="50"/>
      <c r="E168" s="55" t="str">
        <f t="shared" ca="1" si="26"/>
        <v/>
      </c>
      <c r="F168" s="51"/>
      <c r="G168" s="55" t="str">
        <f t="shared" ca="1" si="27"/>
        <v/>
      </c>
      <c r="H168" s="50"/>
      <c r="I168" s="55" t="str">
        <f t="shared" ca="1" si="28"/>
        <v/>
      </c>
      <c r="J168" s="50"/>
      <c r="K168" s="55" t="str">
        <f t="shared" ca="1" si="29"/>
        <v/>
      </c>
      <c r="L168" s="64" t="str">
        <f>IF(B168="","",D168+F168+H168+J168+#REF!+#REF!+#REF!+#REF!+#REF!)</f>
        <v/>
      </c>
      <c r="M168" s="55" t="str">
        <f t="shared" ca="1" si="30"/>
        <v/>
      </c>
    </row>
    <row r="169" spans="1:13" ht="19.95" customHeight="1" x14ac:dyDescent="0.25">
      <c r="A169" s="52"/>
      <c r="B169" s="51"/>
      <c r="C169" s="54" t="str">
        <f>IF(B169="","",VLOOKUP(B169,学生信息汇总!A:E,2,0))</f>
        <v/>
      </c>
      <c r="D169" s="50"/>
      <c r="E169" s="55" t="str">
        <f t="shared" ca="1" si="26"/>
        <v/>
      </c>
      <c r="F169" s="51"/>
      <c r="G169" s="55" t="str">
        <f t="shared" ca="1" si="27"/>
        <v/>
      </c>
      <c r="H169" s="50"/>
      <c r="I169" s="55" t="str">
        <f t="shared" ca="1" si="28"/>
        <v/>
      </c>
      <c r="J169" s="50"/>
      <c r="K169" s="55" t="str">
        <f t="shared" ca="1" si="29"/>
        <v/>
      </c>
      <c r="L169" s="64" t="str">
        <f>IF(B169="","",D169+F169+H169+J169+#REF!+#REF!+#REF!+#REF!+#REF!)</f>
        <v/>
      </c>
      <c r="M169" s="55" t="str">
        <f t="shared" ca="1" si="30"/>
        <v/>
      </c>
    </row>
    <row r="170" spans="1:13" ht="19.95" customHeight="1" x14ac:dyDescent="0.25">
      <c r="A170" s="52"/>
      <c r="B170" s="51"/>
      <c r="C170" s="54" t="str">
        <f>IF(B170="","",VLOOKUP(B170,学生信息汇总!A:E,2,0))</f>
        <v/>
      </c>
      <c r="D170" s="50"/>
      <c r="E170" s="55" t="str">
        <f t="shared" ca="1" si="26"/>
        <v/>
      </c>
      <c r="F170" s="51"/>
      <c r="G170" s="55" t="str">
        <f t="shared" ca="1" si="27"/>
        <v/>
      </c>
      <c r="H170" s="50"/>
      <c r="I170" s="55" t="str">
        <f t="shared" ca="1" si="28"/>
        <v/>
      </c>
      <c r="J170" s="50"/>
      <c r="K170" s="55" t="str">
        <f t="shared" ca="1" si="29"/>
        <v/>
      </c>
      <c r="L170" s="64" t="str">
        <f>IF(B170="","",D170+F170+H170+J170+#REF!+#REF!+#REF!+#REF!+#REF!)</f>
        <v/>
      </c>
      <c r="M170" s="55" t="str">
        <f t="shared" ca="1" si="30"/>
        <v/>
      </c>
    </row>
    <row r="171" spans="1:13" ht="19.95" customHeight="1" x14ac:dyDescent="0.25">
      <c r="A171" s="52"/>
      <c r="B171" s="51"/>
      <c r="C171" s="54" t="str">
        <f>IF(B171="","",VLOOKUP(B171,学生信息汇总!A:E,2,0))</f>
        <v/>
      </c>
      <c r="D171" s="50"/>
      <c r="E171" s="55" t="str">
        <f t="shared" ca="1" si="26"/>
        <v/>
      </c>
      <c r="F171" s="51"/>
      <c r="G171" s="55" t="str">
        <f t="shared" ca="1" si="27"/>
        <v/>
      </c>
      <c r="H171" s="50"/>
      <c r="I171" s="55" t="str">
        <f t="shared" ca="1" si="28"/>
        <v/>
      </c>
      <c r="J171" s="50"/>
      <c r="K171" s="55" t="str">
        <f t="shared" ca="1" si="29"/>
        <v/>
      </c>
      <c r="L171" s="64" t="str">
        <f>IF(B171="","",D171+F171+H171+J171+#REF!+#REF!+#REF!+#REF!+#REF!)</f>
        <v/>
      </c>
      <c r="M171" s="55" t="str">
        <f t="shared" ca="1" si="30"/>
        <v/>
      </c>
    </row>
    <row r="172" spans="1:13" ht="19.95" customHeight="1" x14ac:dyDescent="0.25">
      <c r="A172" s="52"/>
      <c r="B172" s="51"/>
      <c r="C172" s="54" t="str">
        <f>IF(B172="","",VLOOKUP(B172,学生信息汇总!A:E,2,0))</f>
        <v/>
      </c>
      <c r="D172" s="50"/>
      <c r="E172" s="55" t="str">
        <f t="shared" ref="E172:E235" ca="1" si="31">IF(D172="","",RANK(D172,INDIRECT(ADDRESS(MATCH(VLOOKUP(A172,A:A,1,0),A:A,0),6)&amp;":"&amp;ADDRESS((MATCH(VLOOKUP(A172,A:A,1,0),A:A,0)+COUNTIF(A:A,A172)-1),6))))</f>
        <v/>
      </c>
      <c r="F172" s="51"/>
      <c r="G172" s="55" t="str">
        <f t="shared" ref="G172:G235" ca="1" si="32">IF(F172="","",RANK(F172,INDIRECT(ADDRESS(MATCH(VLOOKUP(A172,A:A,1,0),A:A,0),8)&amp;":"&amp;ADDRESS((MATCH(VLOOKUP(A172,A:A,1,0),A:A,0)+COUNTIF(A:A,A172)-1),8))))</f>
        <v/>
      </c>
      <c r="H172" s="50"/>
      <c r="I172" s="55" t="str">
        <f t="shared" ref="I172:I235" ca="1" si="33">IF(H172="","",RANK(H172,INDIRECT(ADDRESS(MATCH(VLOOKUP(A172,A:A,1,0),A:A,0),10)&amp;":"&amp;ADDRESS((MATCH(VLOOKUP(A172,A:A,1,0),A:A,0)+COUNTIF(A:A,A172)-1),10))))</f>
        <v/>
      </c>
      <c r="J172" s="50"/>
      <c r="K172" s="55" t="str">
        <f t="shared" ref="K172:K235" ca="1" si="34">IF(J172="","",RANK(J172,INDIRECT(ADDRESS(MATCH(VLOOKUP(A172,A:A,1,0),A:A,0),12)&amp;":"&amp;ADDRESS((MATCH(VLOOKUP(A172,A:A,1,0),A:A,0)+COUNTIF(A:A,A172)-1),12))))</f>
        <v/>
      </c>
      <c r="L172" s="64" t="str">
        <f>IF(B172="","",D172+F172+H172+J172+#REF!+#REF!+#REF!+#REF!+#REF!)</f>
        <v/>
      </c>
      <c r="M172" s="55" t="str">
        <f t="shared" ref="M172:M235" ca="1" si="35">IF(L172="","",RANK(L172,INDIRECT(ADDRESS(MATCH(VLOOKUP(A172,A:A,1,0),A:A,0),26)&amp;":"&amp;ADDRESS((MATCH(VLOOKUP(A172,A:A,1,0),A:A,0)+COUNTIF(A:A,A172)-1),26))))</f>
        <v/>
      </c>
    </row>
    <row r="173" spans="1:13" ht="19.95" customHeight="1" x14ac:dyDescent="0.25">
      <c r="A173" s="52"/>
      <c r="B173" s="51"/>
      <c r="C173" s="54" t="str">
        <f>IF(B173="","",VLOOKUP(B173,学生信息汇总!A:E,2,0))</f>
        <v/>
      </c>
      <c r="D173" s="50"/>
      <c r="E173" s="55" t="str">
        <f t="shared" ca="1" si="31"/>
        <v/>
      </c>
      <c r="F173" s="51"/>
      <c r="G173" s="55" t="str">
        <f t="shared" ca="1" si="32"/>
        <v/>
      </c>
      <c r="H173" s="50"/>
      <c r="I173" s="55" t="str">
        <f t="shared" ca="1" si="33"/>
        <v/>
      </c>
      <c r="J173" s="50"/>
      <c r="K173" s="55" t="str">
        <f t="shared" ca="1" si="34"/>
        <v/>
      </c>
      <c r="L173" s="64" t="str">
        <f>IF(B173="","",D173+F173+H173+J173+#REF!+#REF!+#REF!+#REF!+#REF!)</f>
        <v/>
      </c>
      <c r="M173" s="55" t="str">
        <f t="shared" ca="1" si="35"/>
        <v/>
      </c>
    </row>
    <row r="174" spans="1:13" ht="19.95" customHeight="1" x14ac:dyDescent="0.25">
      <c r="A174" s="52"/>
      <c r="B174" s="51"/>
      <c r="C174" s="54" t="str">
        <f>IF(B174="","",VLOOKUP(B174,学生信息汇总!A:E,2,0))</f>
        <v/>
      </c>
      <c r="D174" s="50"/>
      <c r="E174" s="55" t="str">
        <f t="shared" ca="1" si="31"/>
        <v/>
      </c>
      <c r="F174" s="51"/>
      <c r="G174" s="55" t="str">
        <f t="shared" ca="1" si="32"/>
        <v/>
      </c>
      <c r="H174" s="50"/>
      <c r="I174" s="55" t="str">
        <f t="shared" ca="1" si="33"/>
        <v/>
      </c>
      <c r="J174" s="50"/>
      <c r="K174" s="55" t="str">
        <f t="shared" ca="1" si="34"/>
        <v/>
      </c>
      <c r="L174" s="64" t="str">
        <f>IF(B174="","",D174+F174+H174+J174+#REF!+#REF!+#REF!+#REF!+#REF!)</f>
        <v/>
      </c>
      <c r="M174" s="55" t="str">
        <f t="shared" ca="1" si="35"/>
        <v/>
      </c>
    </row>
    <row r="175" spans="1:13" ht="19.95" customHeight="1" x14ac:dyDescent="0.25">
      <c r="A175" s="52"/>
      <c r="B175" s="51"/>
      <c r="C175" s="54" t="str">
        <f>IF(B175="","",VLOOKUP(B175,学生信息汇总!A:E,2,0))</f>
        <v/>
      </c>
      <c r="D175" s="50"/>
      <c r="E175" s="55" t="str">
        <f t="shared" ca="1" si="31"/>
        <v/>
      </c>
      <c r="F175" s="51"/>
      <c r="G175" s="55" t="str">
        <f t="shared" ca="1" si="32"/>
        <v/>
      </c>
      <c r="H175" s="50"/>
      <c r="I175" s="55" t="str">
        <f t="shared" ca="1" si="33"/>
        <v/>
      </c>
      <c r="J175" s="50"/>
      <c r="K175" s="55" t="str">
        <f t="shared" ca="1" si="34"/>
        <v/>
      </c>
      <c r="L175" s="64" t="str">
        <f>IF(B175="","",D175+F175+H175+J175+#REF!+#REF!+#REF!+#REF!+#REF!)</f>
        <v/>
      </c>
      <c r="M175" s="55" t="str">
        <f t="shared" ca="1" si="35"/>
        <v/>
      </c>
    </row>
    <row r="176" spans="1:13" ht="19.95" customHeight="1" x14ac:dyDescent="0.25">
      <c r="A176" s="52"/>
      <c r="B176" s="51"/>
      <c r="C176" s="54" t="str">
        <f>IF(B176="","",VLOOKUP(B176,学生信息汇总!A:E,2,0))</f>
        <v/>
      </c>
      <c r="D176" s="50"/>
      <c r="E176" s="55" t="str">
        <f t="shared" ca="1" si="31"/>
        <v/>
      </c>
      <c r="F176" s="51"/>
      <c r="G176" s="55" t="str">
        <f t="shared" ca="1" si="32"/>
        <v/>
      </c>
      <c r="H176" s="50"/>
      <c r="I176" s="55" t="str">
        <f t="shared" ca="1" si="33"/>
        <v/>
      </c>
      <c r="J176" s="50"/>
      <c r="K176" s="55" t="str">
        <f t="shared" ca="1" si="34"/>
        <v/>
      </c>
      <c r="L176" s="64" t="str">
        <f>IF(B176="","",D176+F176+H176+J176+#REF!+#REF!+#REF!+#REF!+#REF!)</f>
        <v/>
      </c>
      <c r="M176" s="55" t="str">
        <f t="shared" ca="1" si="35"/>
        <v/>
      </c>
    </row>
    <row r="177" spans="1:13" ht="19.95" customHeight="1" x14ac:dyDescent="0.25">
      <c r="A177" s="52"/>
      <c r="B177" s="51"/>
      <c r="C177" s="54" t="str">
        <f>IF(B177="","",VLOOKUP(B177,学生信息汇总!A:E,2,0))</f>
        <v/>
      </c>
      <c r="D177" s="50"/>
      <c r="E177" s="55" t="str">
        <f t="shared" ca="1" si="31"/>
        <v/>
      </c>
      <c r="F177" s="51"/>
      <c r="G177" s="55" t="str">
        <f t="shared" ca="1" si="32"/>
        <v/>
      </c>
      <c r="H177" s="50"/>
      <c r="I177" s="55" t="str">
        <f t="shared" ca="1" si="33"/>
        <v/>
      </c>
      <c r="J177" s="50"/>
      <c r="K177" s="55" t="str">
        <f t="shared" ca="1" si="34"/>
        <v/>
      </c>
      <c r="L177" s="64" t="str">
        <f>IF(B177="","",D177+F177+H177+J177+#REF!+#REF!+#REF!+#REF!+#REF!)</f>
        <v/>
      </c>
      <c r="M177" s="55" t="str">
        <f t="shared" ca="1" si="35"/>
        <v/>
      </c>
    </row>
    <row r="178" spans="1:13" ht="19.95" customHeight="1" x14ac:dyDescent="0.25">
      <c r="A178" s="52"/>
      <c r="B178" s="51"/>
      <c r="C178" s="54" t="str">
        <f>IF(B178="","",VLOOKUP(B178,学生信息汇总!A:E,2,0))</f>
        <v/>
      </c>
      <c r="D178" s="50"/>
      <c r="E178" s="55" t="str">
        <f t="shared" ca="1" si="31"/>
        <v/>
      </c>
      <c r="F178" s="51"/>
      <c r="G178" s="55" t="str">
        <f t="shared" ca="1" si="32"/>
        <v/>
      </c>
      <c r="H178" s="50"/>
      <c r="I178" s="55" t="str">
        <f t="shared" ca="1" si="33"/>
        <v/>
      </c>
      <c r="J178" s="50"/>
      <c r="K178" s="55" t="str">
        <f t="shared" ca="1" si="34"/>
        <v/>
      </c>
      <c r="L178" s="64" t="str">
        <f>IF(B178="","",D178+F178+H178+J178+#REF!+#REF!+#REF!+#REF!+#REF!)</f>
        <v/>
      </c>
      <c r="M178" s="55" t="str">
        <f t="shared" ca="1" si="35"/>
        <v/>
      </c>
    </row>
    <row r="179" spans="1:13" ht="19.95" customHeight="1" x14ac:dyDescent="0.25">
      <c r="A179" s="52"/>
      <c r="B179" s="51"/>
      <c r="C179" s="54" t="str">
        <f>IF(B179="","",VLOOKUP(B179,学生信息汇总!A:E,2,0))</f>
        <v/>
      </c>
      <c r="D179" s="50"/>
      <c r="E179" s="55" t="str">
        <f t="shared" ca="1" si="31"/>
        <v/>
      </c>
      <c r="F179" s="51"/>
      <c r="G179" s="55" t="str">
        <f t="shared" ca="1" si="32"/>
        <v/>
      </c>
      <c r="H179" s="50"/>
      <c r="I179" s="55" t="str">
        <f t="shared" ca="1" si="33"/>
        <v/>
      </c>
      <c r="J179" s="50"/>
      <c r="K179" s="55" t="str">
        <f t="shared" ca="1" si="34"/>
        <v/>
      </c>
      <c r="L179" s="64" t="str">
        <f>IF(B179="","",D179+F179+H179+J179+#REF!+#REF!+#REF!+#REF!+#REF!)</f>
        <v/>
      </c>
      <c r="M179" s="55" t="str">
        <f t="shared" ca="1" si="35"/>
        <v/>
      </c>
    </row>
    <row r="180" spans="1:13" ht="19.95" customHeight="1" x14ac:dyDescent="0.25">
      <c r="A180" s="52"/>
      <c r="B180" s="51"/>
      <c r="C180" s="54" t="str">
        <f>IF(B180="","",VLOOKUP(B180,学生信息汇总!A:E,2,0))</f>
        <v/>
      </c>
      <c r="D180" s="50"/>
      <c r="E180" s="55" t="str">
        <f t="shared" ca="1" si="31"/>
        <v/>
      </c>
      <c r="F180" s="51"/>
      <c r="G180" s="55" t="str">
        <f t="shared" ca="1" si="32"/>
        <v/>
      </c>
      <c r="H180" s="50"/>
      <c r="I180" s="55" t="str">
        <f t="shared" ca="1" si="33"/>
        <v/>
      </c>
      <c r="J180" s="50"/>
      <c r="K180" s="55" t="str">
        <f t="shared" ca="1" si="34"/>
        <v/>
      </c>
      <c r="L180" s="64" t="str">
        <f>IF(B180="","",D180+F180+H180+J180+#REF!+#REF!+#REF!+#REF!+#REF!)</f>
        <v/>
      </c>
      <c r="M180" s="55" t="str">
        <f t="shared" ca="1" si="35"/>
        <v/>
      </c>
    </row>
    <row r="181" spans="1:13" ht="19.95" customHeight="1" x14ac:dyDescent="0.25">
      <c r="A181" s="52"/>
      <c r="B181" s="51"/>
      <c r="C181" s="54" t="str">
        <f>IF(B181="","",VLOOKUP(B181,学生信息汇总!A:E,2,0))</f>
        <v/>
      </c>
      <c r="D181" s="50"/>
      <c r="E181" s="55" t="str">
        <f t="shared" ca="1" si="31"/>
        <v/>
      </c>
      <c r="F181" s="51"/>
      <c r="G181" s="55" t="str">
        <f t="shared" ca="1" si="32"/>
        <v/>
      </c>
      <c r="H181" s="50"/>
      <c r="I181" s="55" t="str">
        <f t="shared" ca="1" si="33"/>
        <v/>
      </c>
      <c r="J181" s="50"/>
      <c r="K181" s="55" t="str">
        <f t="shared" ca="1" si="34"/>
        <v/>
      </c>
      <c r="L181" s="64" t="str">
        <f>IF(B181="","",D181+F181+H181+J181+#REF!+#REF!+#REF!+#REF!+#REF!)</f>
        <v/>
      </c>
      <c r="M181" s="55" t="str">
        <f t="shared" ca="1" si="35"/>
        <v/>
      </c>
    </row>
    <row r="182" spans="1:13" ht="19.95" customHeight="1" x14ac:dyDescent="0.25">
      <c r="A182" s="52"/>
      <c r="B182" s="51"/>
      <c r="C182" s="54" t="str">
        <f>IF(B182="","",VLOOKUP(B182,学生信息汇总!A:E,2,0))</f>
        <v/>
      </c>
      <c r="D182" s="50"/>
      <c r="E182" s="55" t="str">
        <f t="shared" ca="1" si="31"/>
        <v/>
      </c>
      <c r="F182" s="51"/>
      <c r="G182" s="55" t="str">
        <f t="shared" ca="1" si="32"/>
        <v/>
      </c>
      <c r="H182" s="50"/>
      <c r="I182" s="55" t="str">
        <f t="shared" ca="1" si="33"/>
        <v/>
      </c>
      <c r="J182" s="50"/>
      <c r="K182" s="55" t="str">
        <f t="shared" ca="1" si="34"/>
        <v/>
      </c>
      <c r="L182" s="64" t="str">
        <f>IF(B182="","",D182+F182+H182+J182+#REF!+#REF!+#REF!+#REF!+#REF!)</f>
        <v/>
      </c>
      <c r="M182" s="55" t="str">
        <f t="shared" ca="1" si="35"/>
        <v/>
      </c>
    </row>
    <row r="183" spans="1:13" ht="19.95" customHeight="1" x14ac:dyDescent="0.25">
      <c r="A183" s="52"/>
      <c r="B183" s="51"/>
      <c r="C183" s="54" t="str">
        <f>IF(B183="","",VLOOKUP(B183,学生信息汇总!A:E,2,0))</f>
        <v/>
      </c>
      <c r="D183" s="50"/>
      <c r="E183" s="55" t="str">
        <f t="shared" ca="1" si="31"/>
        <v/>
      </c>
      <c r="F183" s="51"/>
      <c r="G183" s="55" t="str">
        <f t="shared" ca="1" si="32"/>
        <v/>
      </c>
      <c r="H183" s="50"/>
      <c r="I183" s="55" t="str">
        <f t="shared" ca="1" si="33"/>
        <v/>
      </c>
      <c r="J183" s="50"/>
      <c r="K183" s="55" t="str">
        <f t="shared" ca="1" si="34"/>
        <v/>
      </c>
      <c r="L183" s="64" t="str">
        <f>IF(B183="","",D183+F183+H183+J183+#REF!+#REF!+#REF!+#REF!+#REF!)</f>
        <v/>
      </c>
      <c r="M183" s="55" t="str">
        <f t="shared" ca="1" si="35"/>
        <v/>
      </c>
    </row>
    <row r="184" spans="1:13" ht="19.95" customHeight="1" x14ac:dyDescent="0.25">
      <c r="A184" s="52"/>
      <c r="B184" s="51"/>
      <c r="C184" s="54" t="str">
        <f>IF(B184="","",VLOOKUP(B184,学生信息汇总!A:E,2,0))</f>
        <v/>
      </c>
      <c r="D184" s="50"/>
      <c r="E184" s="55" t="str">
        <f t="shared" ca="1" si="31"/>
        <v/>
      </c>
      <c r="F184" s="51"/>
      <c r="G184" s="55" t="str">
        <f t="shared" ca="1" si="32"/>
        <v/>
      </c>
      <c r="H184" s="50"/>
      <c r="I184" s="55" t="str">
        <f t="shared" ca="1" si="33"/>
        <v/>
      </c>
      <c r="J184" s="50"/>
      <c r="K184" s="55" t="str">
        <f t="shared" ca="1" si="34"/>
        <v/>
      </c>
      <c r="L184" s="64" t="str">
        <f>IF(B184="","",D184+F184+H184+J184+#REF!+#REF!+#REF!+#REF!+#REF!)</f>
        <v/>
      </c>
      <c r="M184" s="55" t="str">
        <f t="shared" ca="1" si="35"/>
        <v/>
      </c>
    </row>
    <row r="185" spans="1:13" ht="19.95" customHeight="1" x14ac:dyDescent="0.25">
      <c r="A185" s="52"/>
      <c r="B185" s="51"/>
      <c r="C185" s="54" t="str">
        <f>IF(B185="","",VLOOKUP(B185,学生信息汇总!A:E,2,0))</f>
        <v/>
      </c>
      <c r="D185" s="50"/>
      <c r="E185" s="55" t="str">
        <f t="shared" ca="1" si="31"/>
        <v/>
      </c>
      <c r="F185" s="51"/>
      <c r="G185" s="55" t="str">
        <f t="shared" ca="1" si="32"/>
        <v/>
      </c>
      <c r="H185" s="50"/>
      <c r="I185" s="55" t="str">
        <f t="shared" ca="1" si="33"/>
        <v/>
      </c>
      <c r="J185" s="50"/>
      <c r="K185" s="55" t="str">
        <f t="shared" ca="1" si="34"/>
        <v/>
      </c>
      <c r="L185" s="64" t="str">
        <f>IF(B185="","",D185+F185+H185+J185+#REF!+#REF!+#REF!+#REF!+#REF!)</f>
        <v/>
      </c>
      <c r="M185" s="55" t="str">
        <f t="shared" ca="1" si="35"/>
        <v/>
      </c>
    </row>
    <row r="186" spans="1:13" ht="19.95" customHeight="1" x14ac:dyDescent="0.25">
      <c r="A186" s="52"/>
      <c r="B186" s="51"/>
      <c r="C186" s="54" t="str">
        <f>IF(B186="","",VLOOKUP(B186,学生信息汇总!A:E,2,0))</f>
        <v/>
      </c>
      <c r="D186" s="50"/>
      <c r="E186" s="55" t="str">
        <f t="shared" ca="1" si="31"/>
        <v/>
      </c>
      <c r="F186" s="51"/>
      <c r="G186" s="55" t="str">
        <f t="shared" ca="1" si="32"/>
        <v/>
      </c>
      <c r="H186" s="50"/>
      <c r="I186" s="55" t="str">
        <f t="shared" ca="1" si="33"/>
        <v/>
      </c>
      <c r="J186" s="50"/>
      <c r="K186" s="55" t="str">
        <f t="shared" ca="1" si="34"/>
        <v/>
      </c>
      <c r="L186" s="64" t="str">
        <f>IF(B186="","",D186+F186+H186+J186+#REF!+#REF!+#REF!+#REF!+#REF!)</f>
        <v/>
      </c>
      <c r="M186" s="55" t="str">
        <f t="shared" ca="1" si="35"/>
        <v/>
      </c>
    </row>
    <row r="187" spans="1:13" ht="19.95" customHeight="1" x14ac:dyDescent="0.25">
      <c r="A187" s="52"/>
      <c r="B187" s="51"/>
      <c r="C187" s="54" t="str">
        <f>IF(B187="","",VLOOKUP(B187,学生信息汇总!A:E,2,0))</f>
        <v/>
      </c>
      <c r="D187" s="50"/>
      <c r="E187" s="55" t="str">
        <f t="shared" ca="1" si="31"/>
        <v/>
      </c>
      <c r="F187" s="51"/>
      <c r="G187" s="55" t="str">
        <f t="shared" ca="1" si="32"/>
        <v/>
      </c>
      <c r="H187" s="50"/>
      <c r="I187" s="55" t="str">
        <f t="shared" ca="1" si="33"/>
        <v/>
      </c>
      <c r="J187" s="50"/>
      <c r="K187" s="55" t="str">
        <f t="shared" ca="1" si="34"/>
        <v/>
      </c>
      <c r="L187" s="64" t="str">
        <f>IF(B187="","",D187+F187+H187+J187+#REF!+#REF!+#REF!+#REF!+#REF!)</f>
        <v/>
      </c>
      <c r="M187" s="55" t="str">
        <f t="shared" ca="1" si="35"/>
        <v/>
      </c>
    </row>
    <row r="188" spans="1:13" ht="19.95" customHeight="1" x14ac:dyDescent="0.25">
      <c r="A188" s="52"/>
      <c r="B188" s="51"/>
      <c r="C188" s="54" t="str">
        <f>IF(B188="","",VLOOKUP(B188,学生信息汇总!A:E,2,0))</f>
        <v/>
      </c>
      <c r="D188" s="50"/>
      <c r="E188" s="55" t="str">
        <f t="shared" ca="1" si="31"/>
        <v/>
      </c>
      <c r="F188" s="51"/>
      <c r="G188" s="55" t="str">
        <f t="shared" ca="1" si="32"/>
        <v/>
      </c>
      <c r="H188" s="50"/>
      <c r="I188" s="55" t="str">
        <f t="shared" ca="1" si="33"/>
        <v/>
      </c>
      <c r="J188" s="50"/>
      <c r="K188" s="55" t="str">
        <f t="shared" ca="1" si="34"/>
        <v/>
      </c>
      <c r="L188" s="64" t="str">
        <f>IF(B188="","",D188+F188+H188+J188+#REF!+#REF!+#REF!+#REF!+#REF!)</f>
        <v/>
      </c>
      <c r="M188" s="55" t="str">
        <f t="shared" ca="1" si="35"/>
        <v/>
      </c>
    </row>
    <row r="189" spans="1:13" ht="19.95" customHeight="1" x14ac:dyDescent="0.25">
      <c r="A189" s="52"/>
      <c r="B189" s="51"/>
      <c r="C189" s="54" t="str">
        <f>IF(B189="","",VLOOKUP(B189,学生信息汇总!A:E,2,0))</f>
        <v/>
      </c>
      <c r="D189" s="50"/>
      <c r="E189" s="55" t="str">
        <f t="shared" ca="1" si="31"/>
        <v/>
      </c>
      <c r="F189" s="51"/>
      <c r="G189" s="55" t="str">
        <f t="shared" ca="1" si="32"/>
        <v/>
      </c>
      <c r="H189" s="50"/>
      <c r="I189" s="55" t="str">
        <f t="shared" ca="1" si="33"/>
        <v/>
      </c>
      <c r="J189" s="50"/>
      <c r="K189" s="55" t="str">
        <f t="shared" ca="1" si="34"/>
        <v/>
      </c>
      <c r="L189" s="64" t="str">
        <f>IF(B189="","",D189+F189+H189+J189+#REF!+#REF!+#REF!+#REF!+#REF!)</f>
        <v/>
      </c>
      <c r="M189" s="55" t="str">
        <f t="shared" ca="1" si="35"/>
        <v/>
      </c>
    </row>
    <row r="190" spans="1:13" ht="19.95" customHeight="1" x14ac:dyDescent="0.25">
      <c r="A190" s="52"/>
      <c r="B190" s="51"/>
      <c r="C190" s="54" t="str">
        <f>IF(B190="","",VLOOKUP(B190,学生信息汇总!A:E,2,0))</f>
        <v/>
      </c>
      <c r="D190" s="50"/>
      <c r="E190" s="55" t="str">
        <f t="shared" ca="1" si="31"/>
        <v/>
      </c>
      <c r="F190" s="51"/>
      <c r="G190" s="55" t="str">
        <f t="shared" ca="1" si="32"/>
        <v/>
      </c>
      <c r="H190" s="50"/>
      <c r="I190" s="55" t="str">
        <f t="shared" ca="1" si="33"/>
        <v/>
      </c>
      <c r="J190" s="50"/>
      <c r="K190" s="55" t="str">
        <f t="shared" ca="1" si="34"/>
        <v/>
      </c>
      <c r="L190" s="64" t="str">
        <f>IF(B190="","",D190+F190+H190+J190+#REF!+#REF!+#REF!+#REF!+#REF!)</f>
        <v/>
      </c>
      <c r="M190" s="55" t="str">
        <f t="shared" ca="1" si="35"/>
        <v/>
      </c>
    </row>
    <row r="191" spans="1:13" ht="19.95" customHeight="1" x14ac:dyDescent="0.25">
      <c r="A191" s="52"/>
      <c r="B191" s="51"/>
      <c r="C191" s="54" t="str">
        <f>IF(B191="","",VLOOKUP(B191,学生信息汇总!A:E,2,0))</f>
        <v/>
      </c>
      <c r="D191" s="50"/>
      <c r="E191" s="55" t="str">
        <f t="shared" ca="1" si="31"/>
        <v/>
      </c>
      <c r="F191" s="51"/>
      <c r="G191" s="55" t="str">
        <f t="shared" ca="1" si="32"/>
        <v/>
      </c>
      <c r="H191" s="50"/>
      <c r="I191" s="55" t="str">
        <f t="shared" ca="1" si="33"/>
        <v/>
      </c>
      <c r="J191" s="50"/>
      <c r="K191" s="55" t="str">
        <f t="shared" ca="1" si="34"/>
        <v/>
      </c>
      <c r="L191" s="64" t="str">
        <f>IF(B191="","",D191+F191+H191+J191+#REF!+#REF!+#REF!+#REF!+#REF!)</f>
        <v/>
      </c>
      <c r="M191" s="55" t="str">
        <f t="shared" ca="1" si="35"/>
        <v/>
      </c>
    </row>
    <row r="192" spans="1:13" ht="19.95" customHeight="1" x14ac:dyDescent="0.25">
      <c r="A192" s="52"/>
      <c r="B192" s="51"/>
      <c r="C192" s="54" t="str">
        <f>IF(B192="","",VLOOKUP(B192,学生信息汇总!A:E,2,0))</f>
        <v/>
      </c>
      <c r="D192" s="50"/>
      <c r="E192" s="55" t="str">
        <f t="shared" ca="1" si="31"/>
        <v/>
      </c>
      <c r="F192" s="51"/>
      <c r="G192" s="55" t="str">
        <f t="shared" ca="1" si="32"/>
        <v/>
      </c>
      <c r="H192" s="50"/>
      <c r="I192" s="55" t="str">
        <f t="shared" ca="1" si="33"/>
        <v/>
      </c>
      <c r="J192" s="50"/>
      <c r="K192" s="55" t="str">
        <f t="shared" ca="1" si="34"/>
        <v/>
      </c>
      <c r="L192" s="64" t="str">
        <f>IF(B192="","",D192+F192+H192+J192+#REF!+#REF!+#REF!+#REF!+#REF!)</f>
        <v/>
      </c>
      <c r="M192" s="55" t="str">
        <f t="shared" ca="1" si="35"/>
        <v/>
      </c>
    </row>
    <row r="193" spans="1:13" ht="19.95" customHeight="1" x14ac:dyDescent="0.25">
      <c r="A193" s="52"/>
      <c r="B193" s="51"/>
      <c r="C193" s="54" t="str">
        <f>IF(B193="","",VLOOKUP(B193,学生信息汇总!A:E,2,0))</f>
        <v/>
      </c>
      <c r="D193" s="50"/>
      <c r="E193" s="55" t="str">
        <f t="shared" ca="1" si="31"/>
        <v/>
      </c>
      <c r="F193" s="51"/>
      <c r="G193" s="55" t="str">
        <f t="shared" ca="1" si="32"/>
        <v/>
      </c>
      <c r="H193" s="50"/>
      <c r="I193" s="55" t="str">
        <f t="shared" ca="1" si="33"/>
        <v/>
      </c>
      <c r="J193" s="50"/>
      <c r="K193" s="55" t="str">
        <f t="shared" ca="1" si="34"/>
        <v/>
      </c>
      <c r="L193" s="64" t="str">
        <f>IF(B193="","",D193+F193+H193+J193+#REF!+#REF!+#REF!+#REF!+#REF!)</f>
        <v/>
      </c>
      <c r="M193" s="55" t="str">
        <f t="shared" ca="1" si="35"/>
        <v/>
      </c>
    </row>
    <row r="194" spans="1:13" ht="19.95" customHeight="1" x14ac:dyDescent="0.25">
      <c r="A194" s="52"/>
      <c r="B194" s="51"/>
      <c r="C194" s="54" t="str">
        <f>IF(B194="","",VLOOKUP(B194,学生信息汇总!A:E,2,0))</f>
        <v/>
      </c>
      <c r="D194" s="50"/>
      <c r="E194" s="55" t="str">
        <f t="shared" ca="1" si="31"/>
        <v/>
      </c>
      <c r="F194" s="51"/>
      <c r="G194" s="55" t="str">
        <f t="shared" ca="1" si="32"/>
        <v/>
      </c>
      <c r="H194" s="50"/>
      <c r="I194" s="55" t="str">
        <f t="shared" ca="1" si="33"/>
        <v/>
      </c>
      <c r="J194" s="50"/>
      <c r="K194" s="55" t="str">
        <f t="shared" ca="1" si="34"/>
        <v/>
      </c>
      <c r="L194" s="64" t="str">
        <f>IF(B194="","",D194+F194+H194+J194+#REF!+#REF!+#REF!+#REF!+#REF!)</f>
        <v/>
      </c>
      <c r="M194" s="55" t="str">
        <f t="shared" ca="1" si="35"/>
        <v/>
      </c>
    </row>
    <row r="195" spans="1:13" ht="19.95" customHeight="1" x14ac:dyDescent="0.25">
      <c r="A195" s="52"/>
      <c r="B195" s="51"/>
      <c r="C195" s="54" t="str">
        <f>IF(B195="","",VLOOKUP(B195,学生信息汇总!A:E,2,0))</f>
        <v/>
      </c>
      <c r="D195" s="50"/>
      <c r="E195" s="55" t="str">
        <f t="shared" ca="1" si="31"/>
        <v/>
      </c>
      <c r="F195" s="51"/>
      <c r="G195" s="55" t="str">
        <f t="shared" ca="1" si="32"/>
        <v/>
      </c>
      <c r="H195" s="50"/>
      <c r="I195" s="55" t="str">
        <f t="shared" ca="1" si="33"/>
        <v/>
      </c>
      <c r="J195" s="50"/>
      <c r="K195" s="55" t="str">
        <f t="shared" ca="1" si="34"/>
        <v/>
      </c>
      <c r="L195" s="64" t="str">
        <f>IF(B195="","",D195+F195+H195+J195+#REF!+#REF!+#REF!+#REF!+#REF!)</f>
        <v/>
      </c>
      <c r="M195" s="55" t="str">
        <f t="shared" ca="1" si="35"/>
        <v/>
      </c>
    </row>
    <row r="196" spans="1:13" ht="19.95" customHeight="1" x14ac:dyDescent="0.25">
      <c r="A196" s="52"/>
      <c r="B196" s="51"/>
      <c r="C196" s="54" t="str">
        <f>IF(B196="","",VLOOKUP(B196,学生信息汇总!A:E,2,0))</f>
        <v/>
      </c>
      <c r="D196" s="50"/>
      <c r="E196" s="55" t="str">
        <f t="shared" ca="1" si="31"/>
        <v/>
      </c>
      <c r="F196" s="51"/>
      <c r="G196" s="55" t="str">
        <f t="shared" ca="1" si="32"/>
        <v/>
      </c>
      <c r="H196" s="50"/>
      <c r="I196" s="55" t="str">
        <f t="shared" ca="1" si="33"/>
        <v/>
      </c>
      <c r="J196" s="50"/>
      <c r="K196" s="55" t="str">
        <f t="shared" ca="1" si="34"/>
        <v/>
      </c>
      <c r="L196" s="64" t="str">
        <f>IF(B196="","",D196+F196+H196+J196+#REF!+#REF!+#REF!+#REF!+#REF!)</f>
        <v/>
      </c>
      <c r="M196" s="55" t="str">
        <f t="shared" ca="1" si="35"/>
        <v/>
      </c>
    </row>
    <row r="197" spans="1:13" ht="19.95" customHeight="1" x14ac:dyDescent="0.25">
      <c r="A197" s="52"/>
      <c r="B197" s="51"/>
      <c r="C197" s="54" t="str">
        <f>IF(B197="","",VLOOKUP(B197,学生信息汇总!A:E,2,0))</f>
        <v/>
      </c>
      <c r="D197" s="50"/>
      <c r="E197" s="55" t="str">
        <f t="shared" ca="1" si="31"/>
        <v/>
      </c>
      <c r="F197" s="51"/>
      <c r="G197" s="55" t="str">
        <f t="shared" ca="1" si="32"/>
        <v/>
      </c>
      <c r="H197" s="50"/>
      <c r="I197" s="55" t="str">
        <f t="shared" ca="1" si="33"/>
        <v/>
      </c>
      <c r="J197" s="50"/>
      <c r="K197" s="55" t="str">
        <f t="shared" ca="1" si="34"/>
        <v/>
      </c>
      <c r="L197" s="64" t="str">
        <f>IF(B197="","",D197+F197+H197+J197+#REF!+#REF!+#REF!+#REF!+#REF!)</f>
        <v/>
      </c>
      <c r="M197" s="55" t="str">
        <f t="shared" ca="1" si="35"/>
        <v/>
      </c>
    </row>
    <row r="198" spans="1:13" ht="19.95" customHeight="1" x14ac:dyDescent="0.25">
      <c r="A198" s="52"/>
      <c r="B198" s="51"/>
      <c r="C198" s="54" t="str">
        <f>IF(B198="","",VLOOKUP(B198,学生信息汇总!A:E,2,0))</f>
        <v/>
      </c>
      <c r="D198" s="50"/>
      <c r="E198" s="55" t="str">
        <f t="shared" ca="1" si="31"/>
        <v/>
      </c>
      <c r="F198" s="51"/>
      <c r="G198" s="55" t="str">
        <f t="shared" ca="1" si="32"/>
        <v/>
      </c>
      <c r="H198" s="50"/>
      <c r="I198" s="55" t="str">
        <f t="shared" ca="1" si="33"/>
        <v/>
      </c>
      <c r="J198" s="50"/>
      <c r="K198" s="55" t="str">
        <f t="shared" ca="1" si="34"/>
        <v/>
      </c>
      <c r="L198" s="64" t="str">
        <f>IF(B198="","",D198+F198+H198+J198+#REF!+#REF!+#REF!+#REF!+#REF!)</f>
        <v/>
      </c>
      <c r="M198" s="55" t="str">
        <f t="shared" ca="1" si="35"/>
        <v/>
      </c>
    </row>
    <row r="199" spans="1:13" ht="19.95" customHeight="1" x14ac:dyDescent="0.25">
      <c r="A199" s="52"/>
      <c r="B199" s="51"/>
      <c r="C199" s="54" t="str">
        <f>IF(B199="","",VLOOKUP(B199,学生信息汇总!A:E,2,0))</f>
        <v/>
      </c>
      <c r="D199" s="50"/>
      <c r="E199" s="55" t="str">
        <f t="shared" ca="1" si="31"/>
        <v/>
      </c>
      <c r="F199" s="51"/>
      <c r="G199" s="55" t="str">
        <f t="shared" ca="1" si="32"/>
        <v/>
      </c>
      <c r="H199" s="50"/>
      <c r="I199" s="55" t="str">
        <f t="shared" ca="1" si="33"/>
        <v/>
      </c>
      <c r="J199" s="50"/>
      <c r="K199" s="55" t="str">
        <f t="shared" ca="1" si="34"/>
        <v/>
      </c>
      <c r="L199" s="64" t="str">
        <f>IF(B199="","",D199+F199+H199+J199+#REF!+#REF!+#REF!+#REF!+#REF!)</f>
        <v/>
      </c>
      <c r="M199" s="55" t="str">
        <f t="shared" ca="1" si="35"/>
        <v/>
      </c>
    </row>
    <row r="200" spans="1:13" ht="19.95" customHeight="1" x14ac:dyDescent="0.25">
      <c r="A200" s="52"/>
      <c r="B200" s="51"/>
      <c r="C200" s="54" t="str">
        <f>IF(B200="","",VLOOKUP(B200,学生信息汇总!A:E,2,0))</f>
        <v/>
      </c>
      <c r="D200" s="50"/>
      <c r="E200" s="55" t="str">
        <f t="shared" ca="1" si="31"/>
        <v/>
      </c>
      <c r="F200" s="51"/>
      <c r="G200" s="55" t="str">
        <f t="shared" ca="1" si="32"/>
        <v/>
      </c>
      <c r="H200" s="50"/>
      <c r="I200" s="55" t="str">
        <f t="shared" ca="1" si="33"/>
        <v/>
      </c>
      <c r="J200" s="50"/>
      <c r="K200" s="55" t="str">
        <f t="shared" ca="1" si="34"/>
        <v/>
      </c>
      <c r="L200" s="64" t="str">
        <f>IF(B200="","",D200+F200+H200+J200+#REF!+#REF!+#REF!+#REF!+#REF!)</f>
        <v/>
      </c>
      <c r="M200" s="55" t="str">
        <f t="shared" ca="1" si="35"/>
        <v/>
      </c>
    </row>
    <row r="201" spans="1:13" ht="19.95" customHeight="1" x14ac:dyDescent="0.25">
      <c r="A201" s="52"/>
      <c r="B201" s="51"/>
      <c r="C201" s="54" t="str">
        <f>IF(B201="","",VLOOKUP(B201,学生信息汇总!A:E,2,0))</f>
        <v/>
      </c>
      <c r="D201" s="50"/>
      <c r="E201" s="55" t="str">
        <f t="shared" ca="1" si="31"/>
        <v/>
      </c>
      <c r="F201" s="51"/>
      <c r="G201" s="55" t="str">
        <f t="shared" ca="1" si="32"/>
        <v/>
      </c>
      <c r="H201" s="50"/>
      <c r="I201" s="55" t="str">
        <f t="shared" ca="1" si="33"/>
        <v/>
      </c>
      <c r="J201" s="50"/>
      <c r="K201" s="55" t="str">
        <f t="shared" ca="1" si="34"/>
        <v/>
      </c>
      <c r="L201" s="64" t="str">
        <f>IF(B201="","",D201+F201+H201+J201+#REF!+#REF!+#REF!+#REF!+#REF!)</f>
        <v/>
      </c>
      <c r="M201" s="55" t="str">
        <f t="shared" ca="1" si="35"/>
        <v/>
      </c>
    </row>
    <row r="202" spans="1:13" ht="19.95" customHeight="1" x14ac:dyDescent="0.25">
      <c r="A202" s="52"/>
      <c r="B202" s="51"/>
      <c r="C202" s="54" t="str">
        <f>IF(B202="","",VLOOKUP(B202,学生信息汇总!A:E,2,0))</f>
        <v/>
      </c>
      <c r="D202" s="50"/>
      <c r="E202" s="55" t="str">
        <f t="shared" ca="1" si="31"/>
        <v/>
      </c>
      <c r="F202" s="51"/>
      <c r="G202" s="55" t="str">
        <f t="shared" ca="1" si="32"/>
        <v/>
      </c>
      <c r="H202" s="50"/>
      <c r="I202" s="55" t="str">
        <f t="shared" ca="1" si="33"/>
        <v/>
      </c>
      <c r="J202" s="50"/>
      <c r="K202" s="55" t="str">
        <f t="shared" ca="1" si="34"/>
        <v/>
      </c>
      <c r="L202" s="64" t="str">
        <f>IF(B202="","",D202+F202+H202+J202+#REF!+#REF!+#REF!+#REF!+#REF!)</f>
        <v/>
      </c>
      <c r="M202" s="55" t="str">
        <f t="shared" ca="1" si="35"/>
        <v/>
      </c>
    </row>
    <row r="203" spans="1:13" ht="19.95" customHeight="1" x14ac:dyDescent="0.25">
      <c r="A203" s="52"/>
      <c r="B203" s="51"/>
      <c r="C203" s="54" t="str">
        <f>IF(B203="","",VLOOKUP(B203,学生信息汇总!A:E,2,0))</f>
        <v/>
      </c>
      <c r="D203" s="50"/>
      <c r="E203" s="55" t="str">
        <f t="shared" ca="1" si="31"/>
        <v/>
      </c>
      <c r="F203" s="51"/>
      <c r="G203" s="55" t="str">
        <f t="shared" ca="1" si="32"/>
        <v/>
      </c>
      <c r="H203" s="50"/>
      <c r="I203" s="55" t="str">
        <f t="shared" ca="1" si="33"/>
        <v/>
      </c>
      <c r="J203" s="50"/>
      <c r="K203" s="55" t="str">
        <f t="shared" ca="1" si="34"/>
        <v/>
      </c>
      <c r="L203" s="64" t="str">
        <f>IF(B203="","",D203+F203+H203+J203+#REF!+#REF!+#REF!+#REF!+#REF!)</f>
        <v/>
      </c>
      <c r="M203" s="55" t="str">
        <f t="shared" ca="1" si="35"/>
        <v/>
      </c>
    </row>
    <row r="204" spans="1:13" ht="19.95" customHeight="1" x14ac:dyDescent="0.25">
      <c r="A204" s="52"/>
      <c r="B204" s="51"/>
      <c r="C204" s="54" t="str">
        <f>IF(B204="","",VLOOKUP(B204,学生信息汇总!A:E,2,0))</f>
        <v/>
      </c>
      <c r="D204" s="50"/>
      <c r="E204" s="55" t="str">
        <f t="shared" ca="1" si="31"/>
        <v/>
      </c>
      <c r="F204" s="51"/>
      <c r="G204" s="55" t="str">
        <f t="shared" ca="1" si="32"/>
        <v/>
      </c>
      <c r="H204" s="50"/>
      <c r="I204" s="55" t="str">
        <f t="shared" ca="1" si="33"/>
        <v/>
      </c>
      <c r="J204" s="50"/>
      <c r="K204" s="55" t="str">
        <f t="shared" ca="1" si="34"/>
        <v/>
      </c>
      <c r="L204" s="64" t="str">
        <f>IF(B204="","",D204+F204+H204+J204+#REF!+#REF!+#REF!+#REF!+#REF!)</f>
        <v/>
      </c>
      <c r="M204" s="55" t="str">
        <f t="shared" ca="1" si="35"/>
        <v/>
      </c>
    </row>
    <row r="205" spans="1:13" ht="19.95" customHeight="1" x14ac:dyDescent="0.25">
      <c r="A205" s="52"/>
      <c r="B205" s="51"/>
      <c r="C205" s="54" t="str">
        <f>IF(B205="","",VLOOKUP(B205,学生信息汇总!A:E,2,0))</f>
        <v/>
      </c>
      <c r="D205" s="50"/>
      <c r="E205" s="55" t="str">
        <f t="shared" ca="1" si="31"/>
        <v/>
      </c>
      <c r="F205" s="51"/>
      <c r="G205" s="55" t="str">
        <f t="shared" ca="1" si="32"/>
        <v/>
      </c>
      <c r="H205" s="50"/>
      <c r="I205" s="55" t="str">
        <f t="shared" ca="1" si="33"/>
        <v/>
      </c>
      <c r="J205" s="50"/>
      <c r="K205" s="55" t="str">
        <f t="shared" ca="1" si="34"/>
        <v/>
      </c>
      <c r="L205" s="64" t="str">
        <f>IF(B205="","",D205+F205+H205+J205+#REF!+#REF!+#REF!+#REF!+#REF!)</f>
        <v/>
      </c>
      <c r="M205" s="55" t="str">
        <f t="shared" ca="1" si="35"/>
        <v/>
      </c>
    </row>
    <row r="206" spans="1:13" ht="19.95" customHeight="1" x14ac:dyDescent="0.25">
      <c r="A206" s="52"/>
      <c r="B206" s="51"/>
      <c r="C206" s="54" t="str">
        <f>IF(B206="","",VLOOKUP(B206,学生信息汇总!A:E,2,0))</f>
        <v/>
      </c>
      <c r="D206" s="50"/>
      <c r="E206" s="55" t="str">
        <f t="shared" ca="1" si="31"/>
        <v/>
      </c>
      <c r="F206" s="51"/>
      <c r="G206" s="55" t="str">
        <f t="shared" ca="1" si="32"/>
        <v/>
      </c>
      <c r="H206" s="50"/>
      <c r="I206" s="55" t="str">
        <f t="shared" ca="1" si="33"/>
        <v/>
      </c>
      <c r="J206" s="50"/>
      <c r="K206" s="55" t="str">
        <f t="shared" ca="1" si="34"/>
        <v/>
      </c>
      <c r="L206" s="64" t="str">
        <f>IF(B206="","",D206+F206+H206+J206+#REF!+#REF!+#REF!+#REF!+#REF!)</f>
        <v/>
      </c>
      <c r="M206" s="55" t="str">
        <f t="shared" ca="1" si="35"/>
        <v/>
      </c>
    </row>
    <row r="207" spans="1:13" ht="19.95" customHeight="1" x14ac:dyDescent="0.25">
      <c r="A207" s="52"/>
      <c r="B207" s="51"/>
      <c r="C207" s="54" t="str">
        <f>IF(B207="","",VLOOKUP(B207,学生信息汇总!A:E,2,0))</f>
        <v/>
      </c>
      <c r="D207" s="50"/>
      <c r="E207" s="55" t="str">
        <f t="shared" ca="1" si="31"/>
        <v/>
      </c>
      <c r="F207" s="51"/>
      <c r="G207" s="55" t="str">
        <f t="shared" ca="1" si="32"/>
        <v/>
      </c>
      <c r="H207" s="50"/>
      <c r="I207" s="55" t="str">
        <f t="shared" ca="1" si="33"/>
        <v/>
      </c>
      <c r="J207" s="50"/>
      <c r="K207" s="55" t="str">
        <f t="shared" ca="1" si="34"/>
        <v/>
      </c>
      <c r="L207" s="64" t="str">
        <f>IF(B207="","",D207+F207+H207+J207+#REF!+#REF!+#REF!+#REF!+#REF!)</f>
        <v/>
      </c>
      <c r="M207" s="55" t="str">
        <f t="shared" ca="1" si="35"/>
        <v/>
      </c>
    </row>
    <row r="208" spans="1:13" ht="19.95" customHeight="1" x14ac:dyDescent="0.25">
      <c r="A208" s="52"/>
      <c r="B208" s="51"/>
      <c r="C208" s="54" t="str">
        <f>IF(B208="","",VLOOKUP(B208,学生信息汇总!A:E,2,0))</f>
        <v/>
      </c>
      <c r="D208" s="50"/>
      <c r="E208" s="55" t="str">
        <f t="shared" ca="1" si="31"/>
        <v/>
      </c>
      <c r="F208" s="51"/>
      <c r="G208" s="55" t="str">
        <f t="shared" ca="1" si="32"/>
        <v/>
      </c>
      <c r="H208" s="50"/>
      <c r="I208" s="55" t="str">
        <f t="shared" ca="1" si="33"/>
        <v/>
      </c>
      <c r="J208" s="50"/>
      <c r="K208" s="55" t="str">
        <f t="shared" ca="1" si="34"/>
        <v/>
      </c>
      <c r="L208" s="64" t="str">
        <f>IF(B208="","",D208+F208+H208+J208+#REF!+#REF!+#REF!+#REF!+#REF!)</f>
        <v/>
      </c>
      <c r="M208" s="55" t="str">
        <f t="shared" ca="1" si="35"/>
        <v/>
      </c>
    </row>
    <row r="209" spans="1:13" ht="19.95" customHeight="1" x14ac:dyDescent="0.25">
      <c r="A209" s="52"/>
      <c r="B209" s="51"/>
      <c r="C209" s="54" t="str">
        <f>IF(B209="","",VLOOKUP(B209,学生信息汇总!A:E,2,0))</f>
        <v/>
      </c>
      <c r="D209" s="50"/>
      <c r="E209" s="55" t="str">
        <f t="shared" ca="1" si="31"/>
        <v/>
      </c>
      <c r="F209" s="51"/>
      <c r="G209" s="55" t="str">
        <f t="shared" ca="1" si="32"/>
        <v/>
      </c>
      <c r="H209" s="50"/>
      <c r="I209" s="55" t="str">
        <f t="shared" ca="1" si="33"/>
        <v/>
      </c>
      <c r="J209" s="50"/>
      <c r="K209" s="55" t="str">
        <f t="shared" ca="1" si="34"/>
        <v/>
      </c>
      <c r="L209" s="64" t="str">
        <f>IF(B209="","",D209+F209+H209+J209+#REF!+#REF!+#REF!+#REF!+#REF!)</f>
        <v/>
      </c>
      <c r="M209" s="55" t="str">
        <f t="shared" ca="1" si="35"/>
        <v/>
      </c>
    </row>
    <row r="210" spans="1:13" ht="19.95" customHeight="1" x14ac:dyDescent="0.25">
      <c r="A210" s="52"/>
      <c r="B210" s="51"/>
      <c r="C210" s="54" t="str">
        <f>IF(B210="","",VLOOKUP(B210,学生信息汇总!A:E,2,0))</f>
        <v/>
      </c>
      <c r="D210" s="50"/>
      <c r="E210" s="55" t="str">
        <f t="shared" ca="1" si="31"/>
        <v/>
      </c>
      <c r="F210" s="51"/>
      <c r="G210" s="55" t="str">
        <f t="shared" ca="1" si="32"/>
        <v/>
      </c>
      <c r="H210" s="50"/>
      <c r="I210" s="55" t="str">
        <f t="shared" ca="1" si="33"/>
        <v/>
      </c>
      <c r="J210" s="50"/>
      <c r="K210" s="55" t="str">
        <f t="shared" ca="1" si="34"/>
        <v/>
      </c>
      <c r="L210" s="64" t="str">
        <f>IF(B210="","",D210+F210+H210+J210+#REF!+#REF!+#REF!+#REF!+#REF!)</f>
        <v/>
      </c>
      <c r="M210" s="55" t="str">
        <f t="shared" ca="1" si="35"/>
        <v/>
      </c>
    </row>
    <row r="211" spans="1:13" ht="19.95" customHeight="1" x14ac:dyDescent="0.25">
      <c r="A211" s="52"/>
      <c r="B211" s="51"/>
      <c r="C211" s="54" t="str">
        <f>IF(B211="","",VLOOKUP(B211,学生信息汇总!A:E,2,0))</f>
        <v/>
      </c>
      <c r="D211" s="50"/>
      <c r="E211" s="55" t="str">
        <f t="shared" ca="1" si="31"/>
        <v/>
      </c>
      <c r="F211" s="51"/>
      <c r="G211" s="55" t="str">
        <f t="shared" ca="1" si="32"/>
        <v/>
      </c>
      <c r="H211" s="50"/>
      <c r="I211" s="55" t="str">
        <f t="shared" ca="1" si="33"/>
        <v/>
      </c>
      <c r="J211" s="50"/>
      <c r="K211" s="55" t="str">
        <f t="shared" ca="1" si="34"/>
        <v/>
      </c>
      <c r="L211" s="64" t="str">
        <f>IF(B211="","",D211+F211+H211+J211+#REF!+#REF!+#REF!+#REF!+#REF!)</f>
        <v/>
      </c>
      <c r="M211" s="55" t="str">
        <f t="shared" ca="1" si="35"/>
        <v/>
      </c>
    </row>
    <row r="212" spans="1:13" ht="19.95" customHeight="1" x14ac:dyDescent="0.25">
      <c r="A212" s="52"/>
      <c r="B212" s="51"/>
      <c r="C212" s="54" t="str">
        <f>IF(B212="","",VLOOKUP(B212,学生信息汇总!A:E,2,0))</f>
        <v/>
      </c>
      <c r="D212" s="50"/>
      <c r="E212" s="55" t="str">
        <f t="shared" ca="1" si="31"/>
        <v/>
      </c>
      <c r="F212" s="51"/>
      <c r="G212" s="55" t="str">
        <f t="shared" ca="1" si="32"/>
        <v/>
      </c>
      <c r="H212" s="50"/>
      <c r="I212" s="55" t="str">
        <f t="shared" ca="1" si="33"/>
        <v/>
      </c>
      <c r="J212" s="50"/>
      <c r="K212" s="55" t="str">
        <f t="shared" ca="1" si="34"/>
        <v/>
      </c>
      <c r="L212" s="64" t="str">
        <f>IF(B212="","",D212+F212+H212+J212+#REF!+#REF!+#REF!+#REF!+#REF!)</f>
        <v/>
      </c>
      <c r="M212" s="55" t="str">
        <f t="shared" ca="1" si="35"/>
        <v/>
      </c>
    </row>
    <row r="213" spans="1:13" ht="19.95" customHeight="1" x14ac:dyDescent="0.25">
      <c r="A213" s="52"/>
      <c r="B213" s="51"/>
      <c r="C213" s="54" t="str">
        <f>IF(B213="","",VLOOKUP(B213,学生信息汇总!A:E,2,0))</f>
        <v/>
      </c>
      <c r="D213" s="50"/>
      <c r="E213" s="55" t="str">
        <f t="shared" ca="1" si="31"/>
        <v/>
      </c>
      <c r="F213" s="51"/>
      <c r="G213" s="55" t="str">
        <f t="shared" ca="1" si="32"/>
        <v/>
      </c>
      <c r="H213" s="50"/>
      <c r="I213" s="55" t="str">
        <f t="shared" ca="1" si="33"/>
        <v/>
      </c>
      <c r="J213" s="50"/>
      <c r="K213" s="55" t="str">
        <f t="shared" ca="1" si="34"/>
        <v/>
      </c>
      <c r="L213" s="64" t="str">
        <f>IF(B213="","",D213+F213+H213+J213+#REF!+#REF!+#REF!+#REF!+#REF!)</f>
        <v/>
      </c>
      <c r="M213" s="55" t="str">
        <f t="shared" ca="1" si="35"/>
        <v/>
      </c>
    </row>
    <row r="214" spans="1:13" ht="19.95" customHeight="1" x14ac:dyDescent="0.25">
      <c r="A214" s="52"/>
      <c r="B214" s="51"/>
      <c r="C214" s="54" t="str">
        <f>IF(B214="","",VLOOKUP(B214,学生信息汇总!A:E,2,0))</f>
        <v/>
      </c>
      <c r="D214" s="50"/>
      <c r="E214" s="55" t="str">
        <f t="shared" ca="1" si="31"/>
        <v/>
      </c>
      <c r="F214" s="51"/>
      <c r="G214" s="55" t="str">
        <f t="shared" ca="1" si="32"/>
        <v/>
      </c>
      <c r="H214" s="50"/>
      <c r="I214" s="55" t="str">
        <f t="shared" ca="1" si="33"/>
        <v/>
      </c>
      <c r="J214" s="50"/>
      <c r="K214" s="55" t="str">
        <f t="shared" ca="1" si="34"/>
        <v/>
      </c>
      <c r="L214" s="64" t="str">
        <f>IF(B214="","",D214+F214+H214+J214+#REF!+#REF!+#REF!+#REF!+#REF!)</f>
        <v/>
      </c>
      <c r="M214" s="55" t="str">
        <f t="shared" ca="1" si="35"/>
        <v/>
      </c>
    </row>
    <row r="215" spans="1:13" ht="19.95" customHeight="1" x14ac:dyDescent="0.25">
      <c r="A215" s="52"/>
      <c r="B215" s="51"/>
      <c r="C215" s="54" t="str">
        <f>IF(B215="","",VLOOKUP(B215,学生信息汇总!A:E,2,0))</f>
        <v/>
      </c>
      <c r="D215" s="50"/>
      <c r="E215" s="55" t="str">
        <f t="shared" ca="1" si="31"/>
        <v/>
      </c>
      <c r="F215" s="51"/>
      <c r="G215" s="55" t="str">
        <f t="shared" ca="1" si="32"/>
        <v/>
      </c>
      <c r="H215" s="50"/>
      <c r="I215" s="55" t="str">
        <f t="shared" ca="1" si="33"/>
        <v/>
      </c>
      <c r="J215" s="50"/>
      <c r="K215" s="55" t="str">
        <f t="shared" ca="1" si="34"/>
        <v/>
      </c>
      <c r="L215" s="64" t="str">
        <f>IF(B215="","",D215+F215+H215+J215+#REF!+#REF!+#REF!+#REF!+#REF!)</f>
        <v/>
      </c>
      <c r="M215" s="55" t="str">
        <f t="shared" ca="1" si="35"/>
        <v/>
      </c>
    </row>
    <row r="216" spans="1:13" ht="19.95" customHeight="1" x14ac:dyDescent="0.25">
      <c r="A216" s="52"/>
      <c r="B216" s="51"/>
      <c r="C216" s="54" t="str">
        <f>IF(B216="","",VLOOKUP(B216,学生信息汇总!A:E,2,0))</f>
        <v/>
      </c>
      <c r="D216" s="50"/>
      <c r="E216" s="55" t="str">
        <f t="shared" ca="1" si="31"/>
        <v/>
      </c>
      <c r="F216" s="51"/>
      <c r="G216" s="55" t="str">
        <f t="shared" ca="1" si="32"/>
        <v/>
      </c>
      <c r="H216" s="50"/>
      <c r="I216" s="55" t="str">
        <f t="shared" ca="1" si="33"/>
        <v/>
      </c>
      <c r="J216" s="50"/>
      <c r="K216" s="55" t="str">
        <f t="shared" ca="1" si="34"/>
        <v/>
      </c>
      <c r="L216" s="64" t="str">
        <f>IF(B216="","",D216+F216+H216+J216+#REF!+#REF!+#REF!+#REF!+#REF!)</f>
        <v/>
      </c>
      <c r="M216" s="55" t="str">
        <f t="shared" ca="1" si="35"/>
        <v/>
      </c>
    </row>
    <row r="217" spans="1:13" ht="19.95" customHeight="1" x14ac:dyDescent="0.25">
      <c r="A217" s="52"/>
      <c r="B217" s="51"/>
      <c r="C217" s="54" t="str">
        <f>IF(B217="","",VLOOKUP(B217,学生信息汇总!A:E,2,0))</f>
        <v/>
      </c>
      <c r="D217" s="50"/>
      <c r="E217" s="55" t="str">
        <f t="shared" ca="1" si="31"/>
        <v/>
      </c>
      <c r="F217" s="51"/>
      <c r="G217" s="55" t="str">
        <f t="shared" ca="1" si="32"/>
        <v/>
      </c>
      <c r="H217" s="50"/>
      <c r="I217" s="55" t="str">
        <f t="shared" ca="1" si="33"/>
        <v/>
      </c>
      <c r="J217" s="50"/>
      <c r="K217" s="55" t="str">
        <f t="shared" ca="1" si="34"/>
        <v/>
      </c>
      <c r="L217" s="64" t="str">
        <f>IF(B217="","",D217+F217+H217+J217+#REF!+#REF!+#REF!+#REF!+#REF!)</f>
        <v/>
      </c>
      <c r="M217" s="55" t="str">
        <f t="shared" ca="1" si="35"/>
        <v/>
      </c>
    </row>
    <row r="218" spans="1:13" ht="19.95" customHeight="1" x14ac:dyDescent="0.25">
      <c r="A218" s="52"/>
      <c r="B218" s="51"/>
      <c r="C218" s="54" t="str">
        <f>IF(B218="","",VLOOKUP(B218,学生信息汇总!A:E,2,0))</f>
        <v/>
      </c>
      <c r="D218" s="50"/>
      <c r="E218" s="55" t="str">
        <f t="shared" ca="1" si="31"/>
        <v/>
      </c>
      <c r="F218" s="51"/>
      <c r="G218" s="55" t="str">
        <f t="shared" ca="1" si="32"/>
        <v/>
      </c>
      <c r="H218" s="50"/>
      <c r="I218" s="55" t="str">
        <f t="shared" ca="1" si="33"/>
        <v/>
      </c>
      <c r="J218" s="50"/>
      <c r="K218" s="55" t="str">
        <f t="shared" ca="1" si="34"/>
        <v/>
      </c>
      <c r="L218" s="64" t="str">
        <f>IF(B218="","",D218+F218+H218+J218+#REF!+#REF!+#REF!+#REF!+#REF!)</f>
        <v/>
      </c>
      <c r="M218" s="55" t="str">
        <f t="shared" ca="1" si="35"/>
        <v/>
      </c>
    </row>
    <row r="219" spans="1:13" ht="19.95" customHeight="1" x14ac:dyDescent="0.25">
      <c r="A219" s="52"/>
      <c r="B219" s="51"/>
      <c r="C219" s="54" t="str">
        <f>IF(B219="","",VLOOKUP(B219,学生信息汇总!A:E,2,0))</f>
        <v/>
      </c>
      <c r="D219" s="50"/>
      <c r="E219" s="55" t="str">
        <f t="shared" ca="1" si="31"/>
        <v/>
      </c>
      <c r="F219" s="51"/>
      <c r="G219" s="55" t="str">
        <f t="shared" ca="1" si="32"/>
        <v/>
      </c>
      <c r="H219" s="50"/>
      <c r="I219" s="55" t="str">
        <f t="shared" ca="1" si="33"/>
        <v/>
      </c>
      <c r="J219" s="50"/>
      <c r="K219" s="55" t="str">
        <f t="shared" ca="1" si="34"/>
        <v/>
      </c>
      <c r="L219" s="64" t="str">
        <f>IF(B219="","",D219+F219+H219+J219+#REF!+#REF!+#REF!+#REF!+#REF!)</f>
        <v/>
      </c>
      <c r="M219" s="55" t="str">
        <f t="shared" ca="1" si="35"/>
        <v/>
      </c>
    </row>
    <row r="220" spans="1:13" ht="19.95" customHeight="1" x14ac:dyDescent="0.25">
      <c r="A220" s="52"/>
      <c r="B220" s="51"/>
      <c r="C220" s="54" t="str">
        <f>IF(B220="","",VLOOKUP(B220,学生信息汇总!A:E,2,0))</f>
        <v/>
      </c>
      <c r="D220" s="50"/>
      <c r="E220" s="55" t="str">
        <f t="shared" ca="1" si="31"/>
        <v/>
      </c>
      <c r="F220" s="51"/>
      <c r="G220" s="55" t="str">
        <f t="shared" ca="1" si="32"/>
        <v/>
      </c>
      <c r="H220" s="50"/>
      <c r="I220" s="55" t="str">
        <f t="shared" ca="1" si="33"/>
        <v/>
      </c>
      <c r="J220" s="50"/>
      <c r="K220" s="55" t="str">
        <f t="shared" ca="1" si="34"/>
        <v/>
      </c>
      <c r="L220" s="64" t="str">
        <f>IF(B220="","",D220+F220+H220+J220+#REF!+#REF!+#REF!+#REF!+#REF!)</f>
        <v/>
      </c>
      <c r="M220" s="55" t="str">
        <f t="shared" ca="1" si="35"/>
        <v/>
      </c>
    </row>
    <row r="221" spans="1:13" ht="19.95" customHeight="1" x14ac:dyDescent="0.25">
      <c r="A221" s="52"/>
      <c r="B221" s="51"/>
      <c r="C221" s="54" t="str">
        <f>IF(B221="","",VLOOKUP(B221,学生信息汇总!A:E,2,0))</f>
        <v/>
      </c>
      <c r="D221" s="50"/>
      <c r="E221" s="55" t="str">
        <f t="shared" ca="1" si="31"/>
        <v/>
      </c>
      <c r="F221" s="51"/>
      <c r="G221" s="55" t="str">
        <f t="shared" ca="1" si="32"/>
        <v/>
      </c>
      <c r="H221" s="50"/>
      <c r="I221" s="55" t="str">
        <f t="shared" ca="1" si="33"/>
        <v/>
      </c>
      <c r="J221" s="50"/>
      <c r="K221" s="55" t="str">
        <f t="shared" ca="1" si="34"/>
        <v/>
      </c>
      <c r="L221" s="64" t="str">
        <f>IF(B221="","",D221+F221+H221+J221+#REF!+#REF!+#REF!+#REF!+#REF!)</f>
        <v/>
      </c>
      <c r="M221" s="55" t="str">
        <f t="shared" ca="1" si="35"/>
        <v/>
      </c>
    </row>
    <row r="222" spans="1:13" ht="19.95" customHeight="1" x14ac:dyDescent="0.25">
      <c r="A222" s="52"/>
      <c r="B222" s="51"/>
      <c r="C222" s="54" t="str">
        <f>IF(B222="","",VLOOKUP(B222,学生信息汇总!A:E,2,0))</f>
        <v/>
      </c>
      <c r="D222" s="50"/>
      <c r="E222" s="55" t="str">
        <f t="shared" ca="1" si="31"/>
        <v/>
      </c>
      <c r="F222" s="51"/>
      <c r="G222" s="55" t="str">
        <f t="shared" ca="1" si="32"/>
        <v/>
      </c>
      <c r="H222" s="50"/>
      <c r="I222" s="55" t="str">
        <f t="shared" ca="1" si="33"/>
        <v/>
      </c>
      <c r="J222" s="50"/>
      <c r="K222" s="55" t="str">
        <f t="shared" ca="1" si="34"/>
        <v/>
      </c>
      <c r="L222" s="64" t="str">
        <f>IF(B222="","",D222+F222+H222+J222+#REF!+#REF!+#REF!+#REF!+#REF!)</f>
        <v/>
      </c>
      <c r="M222" s="55" t="str">
        <f t="shared" ca="1" si="35"/>
        <v/>
      </c>
    </row>
    <row r="223" spans="1:13" ht="19.95" customHeight="1" x14ac:dyDescent="0.25">
      <c r="A223" s="52"/>
      <c r="B223" s="51"/>
      <c r="C223" s="54" t="str">
        <f>IF(B223="","",VLOOKUP(B223,学生信息汇总!A:E,2,0))</f>
        <v/>
      </c>
      <c r="D223" s="50"/>
      <c r="E223" s="55" t="str">
        <f t="shared" ca="1" si="31"/>
        <v/>
      </c>
      <c r="F223" s="51"/>
      <c r="G223" s="55" t="str">
        <f t="shared" ca="1" si="32"/>
        <v/>
      </c>
      <c r="H223" s="50"/>
      <c r="I223" s="55" t="str">
        <f t="shared" ca="1" si="33"/>
        <v/>
      </c>
      <c r="J223" s="50"/>
      <c r="K223" s="55" t="str">
        <f t="shared" ca="1" si="34"/>
        <v/>
      </c>
      <c r="L223" s="64" t="str">
        <f>IF(B223="","",D223+F223+H223+J223+#REF!+#REF!+#REF!+#REF!+#REF!)</f>
        <v/>
      </c>
      <c r="M223" s="55" t="str">
        <f t="shared" ca="1" si="35"/>
        <v/>
      </c>
    </row>
    <row r="224" spans="1:13" ht="19.95" customHeight="1" x14ac:dyDescent="0.25">
      <c r="A224" s="52"/>
      <c r="B224" s="51"/>
      <c r="C224" s="54" t="str">
        <f>IF(B224="","",VLOOKUP(B224,学生信息汇总!A:E,2,0))</f>
        <v/>
      </c>
      <c r="D224" s="50"/>
      <c r="E224" s="55" t="str">
        <f t="shared" ca="1" si="31"/>
        <v/>
      </c>
      <c r="F224" s="51"/>
      <c r="G224" s="55" t="str">
        <f t="shared" ca="1" si="32"/>
        <v/>
      </c>
      <c r="H224" s="50"/>
      <c r="I224" s="55" t="str">
        <f t="shared" ca="1" si="33"/>
        <v/>
      </c>
      <c r="J224" s="50"/>
      <c r="K224" s="55" t="str">
        <f t="shared" ca="1" si="34"/>
        <v/>
      </c>
      <c r="L224" s="64" t="str">
        <f>IF(B224="","",D224+F224+H224+J224+#REF!+#REF!+#REF!+#REF!+#REF!)</f>
        <v/>
      </c>
      <c r="M224" s="55" t="str">
        <f t="shared" ca="1" si="35"/>
        <v/>
      </c>
    </row>
    <row r="225" spans="1:13" ht="19.95" customHeight="1" x14ac:dyDescent="0.25">
      <c r="A225" s="52"/>
      <c r="B225" s="51"/>
      <c r="C225" s="54" t="str">
        <f>IF(B225="","",VLOOKUP(B225,学生信息汇总!A:E,2,0))</f>
        <v/>
      </c>
      <c r="D225" s="50"/>
      <c r="E225" s="55" t="str">
        <f t="shared" ca="1" si="31"/>
        <v/>
      </c>
      <c r="F225" s="51"/>
      <c r="G225" s="55" t="str">
        <f t="shared" ca="1" si="32"/>
        <v/>
      </c>
      <c r="H225" s="50"/>
      <c r="I225" s="55" t="str">
        <f t="shared" ca="1" si="33"/>
        <v/>
      </c>
      <c r="J225" s="50"/>
      <c r="K225" s="55" t="str">
        <f t="shared" ca="1" si="34"/>
        <v/>
      </c>
      <c r="L225" s="64" t="str">
        <f>IF(B225="","",D225+F225+H225+J225+#REF!+#REF!+#REF!+#REF!+#REF!)</f>
        <v/>
      </c>
      <c r="M225" s="55" t="str">
        <f t="shared" ca="1" si="35"/>
        <v/>
      </c>
    </row>
    <row r="226" spans="1:13" ht="19.95" customHeight="1" x14ac:dyDescent="0.25">
      <c r="A226" s="52"/>
      <c r="B226" s="51"/>
      <c r="C226" s="54" t="str">
        <f>IF(B226="","",VLOOKUP(B226,学生信息汇总!A:E,2,0))</f>
        <v/>
      </c>
      <c r="D226" s="50"/>
      <c r="E226" s="55" t="str">
        <f t="shared" ca="1" si="31"/>
        <v/>
      </c>
      <c r="F226" s="51"/>
      <c r="G226" s="55" t="str">
        <f t="shared" ca="1" si="32"/>
        <v/>
      </c>
      <c r="H226" s="50"/>
      <c r="I226" s="55" t="str">
        <f t="shared" ca="1" si="33"/>
        <v/>
      </c>
      <c r="J226" s="50"/>
      <c r="K226" s="55" t="str">
        <f t="shared" ca="1" si="34"/>
        <v/>
      </c>
      <c r="L226" s="64" t="str">
        <f>IF(B226="","",D226+F226+H226+J226+#REF!+#REF!+#REF!+#REF!+#REF!)</f>
        <v/>
      </c>
      <c r="M226" s="55" t="str">
        <f t="shared" ca="1" si="35"/>
        <v/>
      </c>
    </row>
    <row r="227" spans="1:13" ht="19.95" customHeight="1" x14ac:dyDescent="0.25">
      <c r="A227" s="52"/>
      <c r="B227" s="51"/>
      <c r="C227" s="54" t="str">
        <f>IF(B227="","",VLOOKUP(B227,学生信息汇总!A:E,2,0))</f>
        <v/>
      </c>
      <c r="D227" s="50"/>
      <c r="E227" s="55" t="str">
        <f t="shared" ca="1" si="31"/>
        <v/>
      </c>
      <c r="F227" s="51"/>
      <c r="G227" s="55" t="str">
        <f t="shared" ca="1" si="32"/>
        <v/>
      </c>
      <c r="H227" s="50"/>
      <c r="I227" s="55" t="str">
        <f t="shared" ca="1" si="33"/>
        <v/>
      </c>
      <c r="J227" s="50"/>
      <c r="K227" s="55" t="str">
        <f t="shared" ca="1" si="34"/>
        <v/>
      </c>
      <c r="L227" s="64" t="str">
        <f>IF(B227="","",D227+F227+H227+J227+#REF!+#REF!+#REF!+#REF!+#REF!)</f>
        <v/>
      </c>
      <c r="M227" s="55" t="str">
        <f t="shared" ca="1" si="35"/>
        <v/>
      </c>
    </row>
    <row r="228" spans="1:13" ht="19.95" customHeight="1" x14ac:dyDescent="0.25">
      <c r="A228" s="52"/>
      <c r="B228" s="51"/>
      <c r="C228" s="54" t="str">
        <f>IF(B228="","",VLOOKUP(B228,学生信息汇总!A:E,2,0))</f>
        <v/>
      </c>
      <c r="D228" s="50"/>
      <c r="E228" s="55" t="str">
        <f t="shared" ca="1" si="31"/>
        <v/>
      </c>
      <c r="F228" s="51"/>
      <c r="G228" s="55" t="str">
        <f t="shared" ca="1" si="32"/>
        <v/>
      </c>
      <c r="H228" s="50"/>
      <c r="I228" s="55" t="str">
        <f t="shared" ca="1" si="33"/>
        <v/>
      </c>
      <c r="J228" s="50"/>
      <c r="K228" s="55" t="str">
        <f t="shared" ca="1" si="34"/>
        <v/>
      </c>
      <c r="L228" s="64" t="str">
        <f>IF(B228="","",D228+F228+H228+J228+#REF!+#REF!+#REF!+#REF!+#REF!)</f>
        <v/>
      </c>
      <c r="M228" s="55" t="str">
        <f t="shared" ca="1" si="35"/>
        <v/>
      </c>
    </row>
    <row r="229" spans="1:13" ht="19.95" customHeight="1" x14ac:dyDescent="0.25">
      <c r="A229" s="52"/>
      <c r="B229" s="51"/>
      <c r="C229" s="54" t="str">
        <f>IF(B229="","",VLOOKUP(B229,学生信息汇总!A:E,2,0))</f>
        <v/>
      </c>
      <c r="D229" s="50"/>
      <c r="E229" s="55" t="str">
        <f t="shared" ca="1" si="31"/>
        <v/>
      </c>
      <c r="F229" s="51"/>
      <c r="G229" s="55" t="str">
        <f t="shared" ca="1" si="32"/>
        <v/>
      </c>
      <c r="H229" s="50"/>
      <c r="I229" s="55" t="str">
        <f t="shared" ca="1" si="33"/>
        <v/>
      </c>
      <c r="J229" s="50"/>
      <c r="K229" s="55" t="str">
        <f t="shared" ca="1" si="34"/>
        <v/>
      </c>
      <c r="L229" s="64" t="str">
        <f>IF(B229="","",D229+F229+H229+J229+#REF!+#REF!+#REF!+#REF!+#REF!)</f>
        <v/>
      </c>
      <c r="M229" s="55" t="str">
        <f t="shared" ca="1" si="35"/>
        <v/>
      </c>
    </row>
    <row r="230" spans="1:13" ht="19.95" customHeight="1" x14ac:dyDescent="0.25">
      <c r="A230" s="52"/>
      <c r="B230" s="51"/>
      <c r="C230" s="54" t="str">
        <f>IF(B230="","",VLOOKUP(B230,学生信息汇总!A:E,2,0))</f>
        <v/>
      </c>
      <c r="D230" s="50"/>
      <c r="E230" s="55" t="str">
        <f t="shared" ca="1" si="31"/>
        <v/>
      </c>
      <c r="F230" s="51"/>
      <c r="G230" s="55" t="str">
        <f t="shared" ca="1" si="32"/>
        <v/>
      </c>
      <c r="H230" s="50"/>
      <c r="I230" s="55" t="str">
        <f t="shared" ca="1" si="33"/>
        <v/>
      </c>
      <c r="J230" s="50"/>
      <c r="K230" s="55" t="str">
        <f t="shared" ca="1" si="34"/>
        <v/>
      </c>
      <c r="L230" s="64" t="str">
        <f>IF(B230="","",D230+F230+H230+J230+#REF!+#REF!+#REF!+#REF!+#REF!)</f>
        <v/>
      </c>
      <c r="M230" s="55" t="str">
        <f t="shared" ca="1" si="35"/>
        <v/>
      </c>
    </row>
    <row r="231" spans="1:13" ht="19.95" customHeight="1" x14ac:dyDescent="0.25">
      <c r="A231" s="52"/>
      <c r="B231" s="51"/>
      <c r="C231" s="54" t="str">
        <f>IF(B231="","",VLOOKUP(B231,学生信息汇总!A:E,2,0))</f>
        <v/>
      </c>
      <c r="D231" s="50"/>
      <c r="E231" s="55" t="str">
        <f t="shared" ca="1" si="31"/>
        <v/>
      </c>
      <c r="F231" s="51"/>
      <c r="G231" s="55" t="str">
        <f t="shared" ca="1" si="32"/>
        <v/>
      </c>
      <c r="H231" s="50"/>
      <c r="I231" s="55" t="str">
        <f t="shared" ca="1" si="33"/>
        <v/>
      </c>
      <c r="J231" s="50"/>
      <c r="K231" s="55" t="str">
        <f t="shared" ca="1" si="34"/>
        <v/>
      </c>
      <c r="L231" s="64" t="str">
        <f>IF(B231="","",D231+F231+H231+J231+#REF!+#REF!+#REF!+#REF!+#REF!)</f>
        <v/>
      </c>
      <c r="M231" s="55" t="str">
        <f t="shared" ca="1" si="35"/>
        <v/>
      </c>
    </row>
    <row r="232" spans="1:13" ht="19.95" customHeight="1" x14ac:dyDescent="0.25">
      <c r="A232" s="52"/>
      <c r="B232" s="51"/>
      <c r="C232" s="54" t="str">
        <f>IF(B232="","",VLOOKUP(B232,学生信息汇总!A:E,2,0))</f>
        <v/>
      </c>
      <c r="D232" s="50"/>
      <c r="E232" s="55" t="str">
        <f t="shared" ca="1" si="31"/>
        <v/>
      </c>
      <c r="F232" s="51"/>
      <c r="G232" s="55" t="str">
        <f t="shared" ca="1" si="32"/>
        <v/>
      </c>
      <c r="H232" s="50"/>
      <c r="I232" s="55" t="str">
        <f t="shared" ca="1" si="33"/>
        <v/>
      </c>
      <c r="J232" s="50"/>
      <c r="K232" s="55" t="str">
        <f t="shared" ca="1" si="34"/>
        <v/>
      </c>
      <c r="L232" s="64" t="str">
        <f>IF(B232="","",D232+F232+H232+J232+#REF!+#REF!+#REF!+#REF!+#REF!)</f>
        <v/>
      </c>
      <c r="M232" s="55" t="str">
        <f t="shared" ca="1" si="35"/>
        <v/>
      </c>
    </row>
    <row r="233" spans="1:13" ht="19.95" customHeight="1" x14ac:dyDescent="0.25">
      <c r="A233" s="52"/>
      <c r="B233" s="51"/>
      <c r="C233" s="54" t="str">
        <f>IF(B233="","",VLOOKUP(B233,学生信息汇总!A:E,2,0))</f>
        <v/>
      </c>
      <c r="D233" s="50"/>
      <c r="E233" s="55" t="str">
        <f t="shared" ca="1" si="31"/>
        <v/>
      </c>
      <c r="F233" s="51"/>
      <c r="G233" s="55" t="str">
        <f t="shared" ca="1" si="32"/>
        <v/>
      </c>
      <c r="H233" s="50"/>
      <c r="I233" s="55" t="str">
        <f t="shared" ca="1" si="33"/>
        <v/>
      </c>
      <c r="J233" s="50"/>
      <c r="K233" s="55" t="str">
        <f t="shared" ca="1" si="34"/>
        <v/>
      </c>
      <c r="L233" s="64" t="str">
        <f>IF(B233="","",D233+F233+H233+J233+#REF!+#REF!+#REF!+#REF!+#REF!)</f>
        <v/>
      </c>
      <c r="M233" s="55" t="str">
        <f t="shared" ca="1" si="35"/>
        <v/>
      </c>
    </row>
    <row r="234" spans="1:13" ht="19.95" customHeight="1" x14ac:dyDescent="0.25">
      <c r="A234" s="52"/>
      <c r="B234" s="51"/>
      <c r="C234" s="54" t="str">
        <f>IF(B234="","",VLOOKUP(B234,学生信息汇总!A:E,2,0))</f>
        <v/>
      </c>
      <c r="D234" s="50"/>
      <c r="E234" s="55" t="str">
        <f t="shared" ca="1" si="31"/>
        <v/>
      </c>
      <c r="F234" s="51"/>
      <c r="G234" s="55" t="str">
        <f t="shared" ca="1" si="32"/>
        <v/>
      </c>
      <c r="H234" s="50"/>
      <c r="I234" s="55" t="str">
        <f t="shared" ca="1" si="33"/>
        <v/>
      </c>
      <c r="J234" s="50"/>
      <c r="K234" s="55" t="str">
        <f t="shared" ca="1" si="34"/>
        <v/>
      </c>
      <c r="L234" s="64" t="str">
        <f>IF(B234="","",D234+F234+H234+J234+#REF!+#REF!+#REF!+#REF!+#REF!)</f>
        <v/>
      </c>
      <c r="M234" s="55" t="str">
        <f t="shared" ca="1" si="35"/>
        <v/>
      </c>
    </row>
    <row r="235" spans="1:13" ht="19.95" customHeight="1" x14ac:dyDescent="0.25">
      <c r="A235" s="52"/>
      <c r="B235" s="51"/>
      <c r="C235" s="54" t="str">
        <f>IF(B235="","",VLOOKUP(B235,学生信息汇总!A:E,2,0))</f>
        <v/>
      </c>
      <c r="D235" s="50"/>
      <c r="E235" s="55" t="str">
        <f t="shared" ca="1" si="31"/>
        <v/>
      </c>
      <c r="F235" s="51"/>
      <c r="G235" s="55" t="str">
        <f t="shared" ca="1" si="32"/>
        <v/>
      </c>
      <c r="H235" s="50"/>
      <c r="I235" s="55" t="str">
        <f t="shared" ca="1" si="33"/>
        <v/>
      </c>
      <c r="J235" s="50"/>
      <c r="K235" s="55" t="str">
        <f t="shared" ca="1" si="34"/>
        <v/>
      </c>
      <c r="L235" s="64" t="str">
        <f>IF(B235="","",D235+F235+H235+J235+#REF!+#REF!+#REF!+#REF!+#REF!)</f>
        <v/>
      </c>
      <c r="M235" s="55" t="str">
        <f t="shared" ca="1" si="35"/>
        <v/>
      </c>
    </row>
    <row r="236" spans="1:13" ht="19.95" customHeight="1" x14ac:dyDescent="0.25">
      <c r="A236" s="52"/>
      <c r="B236" s="51"/>
      <c r="C236" s="54" t="str">
        <f>IF(B236="","",VLOOKUP(B236,学生信息汇总!A:E,2,0))</f>
        <v/>
      </c>
      <c r="D236" s="50"/>
      <c r="E236" s="55" t="str">
        <f t="shared" ref="E236:E299" ca="1" si="36">IF(D236="","",RANK(D236,INDIRECT(ADDRESS(MATCH(VLOOKUP(A236,A:A,1,0),A:A,0),6)&amp;":"&amp;ADDRESS((MATCH(VLOOKUP(A236,A:A,1,0),A:A,0)+COUNTIF(A:A,A236)-1),6))))</f>
        <v/>
      </c>
      <c r="F236" s="51"/>
      <c r="G236" s="55" t="str">
        <f t="shared" ref="G236:G299" ca="1" si="37">IF(F236="","",RANK(F236,INDIRECT(ADDRESS(MATCH(VLOOKUP(A236,A:A,1,0),A:A,0),8)&amp;":"&amp;ADDRESS((MATCH(VLOOKUP(A236,A:A,1,0),A:A,0)+COUNTIF(A:A,A236)-1),8))))</f>
        <v/>
      </c>
      <c r="H236" s="50"/>
      <c r="I236" s="55" t="str">
        <f t="shared" ref="I236:I299" ca="1" si="38">IF(H236="","",RANK(H236,INDIRECT(ADDRESS(MATCH(VLOOKUP(A236,A:A,1,0),A:A,0),10)&amp;":"&amp;ADDRESS((MATCH(VLOOKUP(A236,A:A,1,0),A:A,0)+COUNTIF(A:A,A236)-1),10))))</f>
        <v/>
      </c>
      <c r="J236" s="50"/>
      <c r="K236" s="55" t="str">
        <f t="shared" ref="K236:K299" ca="1" si="39">IF(J236="","",RANK(J236,INDIRECT(ADDRESS(MATCH(VLOOKUP(A236,A:A,1,0),A:A,0),12)&amp;":"&amp;ADDRESS((MATCH(VLOOKUP(A236,A:A,1,0),A:A,0)+COUNTIF(A:A,A236)-1),12))))</f>
        <v/>
      </c>
      <c r="L236" s="64" t="str">
        <f>IF(B236="","",D236+F236+H236+J236+#REF!+#REF!+#REF!+#REF!+#REF!)</f>
        <v/>
      </c>
      <c r="M236" s="55" t="str">
        <f t="shared" ref="M236:M299" ca="1" si="40">IF(L236="","",RANK(L236,INDIRECT(ADDRESS(MATCH(VLOOKUP(A236,A:A,1,0),A:A,0),26)&amp;":"&amp;ADDRESS((MATCH(VLOOKUP(A236,A:A,1,0),A:A,0)+COUNTIF(A:A,A236)-1),26))))</f>
        <v/>
      </c>
    </row>
    <row r="237" spans="1:13" ht="19.95" customHeight="1" x14ac:dyDescent="0.25">
      <c r="A237" s="52"/>
      <c r="B237" s="51"/>
      <c r="C237" s="54" t="str">
        <f>IF(B237="","",VLOOKUP(B237,学生信息汇总!A:E,2,0))</f>
        <v/>
      </c>
      <c r="D237" s="50"/>
      <c r="E237" s="55" t="str">
        <f t="shared" ca="1" si="36"/>
        <v/>
      </c>
      <c r="F237" s="51"/>
      <c r="G237" s="55" t="str">
        <f t="shared" ca="1" si="37"/>
        <v/>
      </c>
      <c r="H237" s="50"/>
      <c r="I237" s="55" t="str">
        <f t="shared" ca="1" si="38"/>
        <v/>
      </c>
      <c r="J237" s="50"/>
      <c r="K237" s="55" t="str">
        <f t="shared" ca="1" si="39"/>
        <v/>
      </c>
      <c r="L237" s="64" t="str">
        <f>IF(B237="","",D237+F237+H237+J237+#REF!+#REF!+#REF!+#REF!+#REF!)</f>
        <v/>
      </c>
      <c r="M237" s="55" t="str">
        <f t="shared" ca="1" si="40"/>
        <v/>
      </c>
    </row>
    <row r="238" spans="1:13" ht="19.95" customHeight="1" x14ac:dyDescent="0.25">
      <c r="A238" s="52"/>
      <c r="B238" s="51"/>
      <c r="C238" s="54" t="str">
        <f>IF(B238="","",VLOOKUP(B238,学生信息汇总!A:E,2,0))</f>
        <v/>
      </c>
      <c r="D238" s="50"/>
      <c r="E238" s="55" t="str">
        <f t="shared" ca="1" si="36"/>
        <v/>
      </c>
      <c r="F238" s="51"/>
      <c r="G238" s="55" t="str">
        <f t="shared" ca="1" si="37"/>
        <v/>
      </c>
      <c r="H238" s="50"/>
      <c r="I238" s="55" t="str">
        <f t="shared" ca="1" si="38"/>
        <v/>
      </c>
      <c r="J238" s="50"/>
      <c r="K238" s="55" t="str">
        <f t="shared" ca="1" si="39"/>
        <v/>
      </c>
      <c r="L238" s="64" t="str">
        <f>IF(B238="","",D238+F238+H238+J238+#REF!+#REF!+#REF!+#REF!+#REF!)</f>
        <v/>
      </c>
      <c r="M238" s="55" t="str">
        <f t="shared" ca="1" si="40"/>
        <v/>
      </c>
    </row>
    <row r="239" spans="1:13" ht="19.95" customHeight="1" x14ac:dyDescent="0.25">
      <c r="A239" s="52"/>
      <c r="B239" s="51"/>
      <c r="C239" s="54" t="str">
        <f>IF(B239="","",VLOOKUP(B239,学生信息汇总!A:E,2,0))</f>
        <v/>
      </c>
      <c r="D239" s="50"/>
      <c r="E239" s="55" t="str">
        <f t="shared" ca="1" si="36"/>
        <v/>
      </c>
      <c r="F239" s="51"/>
      <c r="G239" s="55" t="str">
        <f t="shared" ca="1" si="37"/>
        <v/>
      </c>
      <c r="H239" s="50"/>
      <c r="I239" s="55" t="str">
        <f t="shared" ca="1" si="38"/>
        <v/>
      </c>
      <c r="J239" s="50"/>
      <c r="K239" s="55" t="str">
        <f t="shared" ca="1" si="39"/>
        <v/>
      </c>
      <c r="L239" s="64" t="str">
        <f>IF(B239="","",D239+F239+H239+J239+#REF!+#REF!+#REF!+#REF!+#REF!)</f>
        <v/>
      </c>
      <c r="M239" s="55" t="str">
        <f t="shared" ca="1" si="40"/>
        <v/>
      </c>
    </row>
    <row r="240" spans="1:13" ht="19.95" customHeight="1" x14ac:dyDescent="0.25">
      <c r="A240" s="52"/>
      <c r="B240" s="51"/>
      <c r="C240" s="54" t="str">
        <f>IF(B240="","",VLOOKUP(B240,学生信息汇总!A:E,2,0))</f>
        <v/>
      </c>
      <c r="D240" s="50"/>
      <c r="E240" s="55" t="str">
        <f t="shared" ca="1" si="36"/>
        <v/>
      </c>
      <c r="F240" s="51"/>
      <c r="G240" s="55" t="str">
        <f t="shared" ca="1" si="37"/>
        <v/>
      </c>
      <c r="H240" s="50"/>
      <c r="I240" s="55" t="str">
        <f t="shared" ca="1" si="38"/>
        <v/>
      </c>
      <c r="J240" s="50"/>
      <c r="K240" s="55" t="str">
        <f t="shared" ca="1" si="39"/>
        <v/>
      </c>
      <c r="L240" s="64" t="str">
        <f>IF(B240="","",D240+F240+H240+J240+#REF!+#REF!+#REF!+#REF!+#REF!)</f>
        <v/>
      </c>
      <c r="M240" s="55" t="str">
        <f t="shared" ca="1" si="40"/>
        <v/>
      </c>
    </row>
    <row r="241" spans="1:13" ht="19.95" customHeight="1" x14ac:dyDescent="0.25">
      <c r="A241" s="52"/>
      <c r="B241" s="51"/>
      <c r="C241" s="54" t="str">
        <f>IF(B241="","",VLOOKUP(B241,学生信息汇总!A:E,2,0))</f>
        <v/>
      </c>
      <c r="D241" s="50"/>
      <c r="E241" s="55" t="str">
        <f t="shared" ca="1" si="36"/>
        <v/>
      </c>
      <c r="F241" s="51"/>
      <c r="G241" s="55" t="str">
        <f t="shared" ca="1" si="37"/>
        <v/>
      </c>
      <c r="H241" s="50"/>
      <c r="I241" s="55" t="str">
        <f t="shared" ca="1" si="38"/>
        <v/>
      </c>
      <c r="J241" s="50"/>
      <c r="K241" s="55" t="str">
        <f t="shared" ca="1" si="39"/>
        <v/>
      </c>
      <c r="L241" s="64" t="str">
        <f>IF(B241="","",D241+F241+H241+J241+#REF!+#REF!+#REF!+#REF!+#REF!)</f>
        <v/>
      </c>
      <c r="M241" s="55" t="str">
        <f t="shared" ca="1" si="40"/>
        <v/>
      </c>
    </row>
    <row r="242" spans="1:13" ht="19.95" customHeight="1" x14ac:dyDescent="0.25">
      <c r="A242" s="52"/>
      <c r="B242" s="51"/>
      <c r="C242" s="54" t="str">
        <f>IF(B242="","",VLOOKUP(B242,学生信息汇总!A:E,2,0))</f>
        <v/>
      </c>
      <c r="D242" s="50"/>
      <c r="E242" s="55" t="str">
        <f t="shared" ca="1" si="36"/>
        <v/>
      </c>
      <c r="F242" s="51"/>
      <c r="G242" s="55" t="str">
        <f t="shared" ca="1" si="37"/>
        <v/>
      </c>
      <c r="H242" s="50"/>
      <c r="I242" s="55" t="str">
        <f t="shared" ca="1" si="38"/>
        <v/>
      </c>
      <c r="J242" s="50"/>
      <c r="K242" s="55" t="str">
        <f t="shared" ca="1" si="39"/>
        <v/>
      </c>
      <c r="L242" s="64" t="str">
        <f>IF(B242="","",D242+F242+H242+J242+#REF!+#REF!+#REF!+#REF!+#REF!)</f>
        <v/>
      </c>
      <c r="M242" s="55" t="str">
        <f t="shared" ca="1" si="40"/>
        <v/>
      </c>
    </row>
    <row r="243" spans="1:13" ht="19.95" customHeight="1" x14ac:dyDescent="0.25">
      <c r="A243" s="52"/>
      <c r="B243" s="51"/>
      <c r="C243" s="54" t="str">
        <f>IF(B243="","",VLOOKUP(B243,学生信息汇总!A:E,2,0))</f>
        <v/>
      </c>
      <c r="D243" s="50"/>
      <c r="E243" s="55" t="str">
        <f t="shared" ca="1" si="36"/>
        <v/>
      </c>
      <c r="F243" s="51"/>
      <c r="G243" s="55" t="str">
        <f t="shared" ca="1" si="37"/>
        <v/>
      </c>
      <c r="H243" s="50"/>
      <c r="I243" s="55" t="str">
        <f t="shared" ca="1" si="38"/>
        <v/>
      </c>
      <c r="J243" s="50"/>
      <c r="K243" s="55" t="str">
        <f t="shared" ca="1" si="39"/>
        <v/>
      </c>
      <c r="L243" s="64" t="str">
        <f>IF(B243="","",D243+F243+H243+J243+#REF!+#REF!+#REF!+#REF!+#REF!)</f>
        <v/>
      </c>
      <c r="M243" s="55" t="str">
        <f t="shared" ca="1" si="40"/>
        <v/>
      </c>
    </row>
    <row r="244" spans="1:13" ht="19.95" customHeight="1" x14ac:dyDescent="0.25">
      <c r="A244" s="52"/>
      <c r="B244" s="51"/>
      <c r="C244" s="54" t="str">
        <f>IF(B244="","",VLOOKUP(B244,学生信息汇总!A:E,2,0))</f>
        <v/>
      </c>
      <c r="D244" s="50"/>
      <c r="E244" s="55" t="str">
        <f t="shared" ca="1" si="36"/>
        <v/>
      </c>
      <c r="F244" s="51"/>
      <c r="G244" s="55" t="str">
        <f t="shared" ca="1" si="37"/>
        <v/>
      </c>
      <c r="H244" s="50"/>
      <c r="I244" s="55" t="str">
        <f t="shared" ca="1" si="38"/>
        <v/>
      </c>
      <c r="J244" s="50"/>
      <c r="K244" s="55" t="str">
        <f t="shared" ca="1" si="39"/>
        <v/>
      </c>
      <c r="L244" s="64" t="str">
        <f>IF(B244="","",D244+F244+H244+J244+#REF!+#REF!+#REF!+#REF!+#REF!)</f>
        <v/>
      </c>
      <c r="M244" s="55" t="str">
        <f t="shared" ca="1" si="40"/>
        <v/>
      </c>
    </row>
    <row r="245" spans="1:13" ht="19.95" customHeight="1" x14ac:dyDescent="0.25">
      <c r="A245" s="52"/>
      <c r="B245" s="51"/>
      <c r="C245" s="54" t="str">
        <f>IF(B245="","",VLOOKUP(B245,学生信息汇总!A:E,2,0))</f>
        <v/>
      </c>
      <c r="D245" s="50"/>
      <c r="E245" s="55" t="str">
        <f t="shared" ca="1" si="36"/>
        <v/>
      </c>
      <c r="F245" s="51"/>
      <c r="G245" s="55" t="str">
        <f t="shared" ca="1" si="37"/>
        <v/>
      </c>
      <c r="H245" s="50"/>
      <c r="I245" s="55" t="str">
        <f t="shared" ca="1" si="38"/>
        <v/>
      </c>
      <c r="J245" s="50"/>
      <c r="K245" s="55" t="str">
        <f t="shared" ca="1" si="39"/>
        <v/>
      </c>
      <c r="L245" s="64" t="str">
        <f>IF(B245="","",D245+F245+H245+J245+#REF!+#REF!+#REF!+#REF!+#REF!)</f>
        <v/>
      </c>
      <c r="M245" s="55" t="str">
        <f t="shared" ca="1" si="40"/>
        <v/>
      </c>
    </row>
    <row r="246" spans="1:13" ht="19.95" customHeight="1" x14ac:dyDescent="0.25">
      <c r="A246" s="52"/>
      <c r="B246" s="51"/>
      <c r="C246" s="54" t="str">
        <f>IF(B246="","",VLOOKUP(B246,学生信息汇总!A:E,2,0))</f>
        <v/>
      </c>
      <c r="D246" s="50"/>
      <c r="E246" s="55" t="str">
        <f t="shared" ca="1" si="36"/>
        <v/>
      </c>
      <c r="F246" s="51"/>
      <c r="G246" s="55" t="str">
        <f t="shared" ca="1" si="37"/>
        <v/>
      </c>
      <c r="H246" s="50"/>
      <c r="I246" s="55" t="str">
        <f t="shared" ca="1" si="38"/>
        <v/>
      </c>
      <c r="J246" s="50"/>
      <c r="K246" s="55" t="str">
        <f t="shared" ca="1" si="39"/>
        <v/>
      </c>
      <c r="L246" s="64" t="str">
        <f>IF(B246="","",D246+F246+H246+J246+#REF!+#REF!+#REF!+#REF!+#REF!)</f>
        <v/>
      </c>
      <c r="M246" s="55" t="str">
        <f t="shared" ca="1" si="40"/>
        <v/>
      </c>
    </row>
    <row r="247" spans="1:13" ht="19.95" customHeight="1" x14ac:dyDescent="0.25">
      <c r="A247" s="52"/>
      <c r="B247" s="51"/>
      <c r="C247" s="54" t="str">
        <f>IF(B247="","",VLOOKUP(B247,学生信息汇总!A:E,2,0))</f>
        <v/>
      </c>
      <c r="D247" s="50"/>
      <c r="E247" s="55" t="str">
        <f t="shared" ca="1" si="36"/>
        <v/>
      </c>
      <c r="F247" s="51"/>
      <c r="G247" s="55" t="str">
        <f t="shared" ca="1" si="37"/>
        <v/>
      </c>
      <c r="H247" s="50"/>
      <c r="I247" s="55" t="str">
        <f t="shared" ca="1" si="38"/>
        <v/>
      </c>
      <c r="J247" s="50"/>
      <c r="K247" s="55" t="str">
        <f t="shared" ca="1" si="39"/>
        <v/>
      </c>
      <c r="L247" s="64" t="str">
        <f>IF(B247="","",D247+F247+H247+J247+#REF!+#REF!+#REF!+#REF!+#REF!)</f>
        <v/>
      </c>
      <c r="M247" s="55" t="str">
        <f t="shared" ca="1" si="40"/>
        <v/>
      </c>
    </row>
    <row r="248" spans="1:13" ht="19.95" customHeight="1" x14ac:dyDescent="0.25">
      <c r="A248" s="52"/>
      <c r="B248" s="51"/>
      <c r="C248" s="54" t="str">
        <f>IF(B248="","",VLOOKUP(B248,学生信息汇总!A:E,2,0))</f>
        <v/>
      </c>
      <c r="D248" s="50"/>
      <c r="E248" s="55" t="str">
        <f t="shared" ca="1" si="36"/>
        <v/>
      </c>
      <c r="F248" s="51"/>
      <c r="G248" s="55" t="str">
        <f t="shared" ca="1" si="37"/>
        <v/>
      </c>
      <c r="H248" s="50"/>
      <c r="I248" s="55" t="str">
        <f t="shared" ca="1" si="38"/>
        <v/>
      </c>
      <c r="J248" s="50"/>
      <c r="K248" s="55" t="str">
        <f t="shared" ca="1" si="39"/>
        <v/>
      </c>
      <c r="L248" s="64" t="str">
        <f>IF(B248="","",D248+F248+H248+J248+#REF!+#REF!+#REF!+#REF!+#REF!)</f>
        <v/>
      </c>
      <c r="M248" s="55" t="str">
        <f t="shared" ca="1" si="40"/>
        <v/>
      </c>
    </row>
    <row r="249" spans="1:13" ht="19.95" customHeight="1" x14ac:dyDescent="0.25">
      <c r="A249" s="52"/>
      <c r="B249" s="51"/>
      <c r="C249" s="54" t="str">
        <f>IF(B249="","",VLOOKUP(B249,学生信息汇总!A:E,2,0))</f>
        <v/>
      </c>
      <c r="D249" s="50"/>
      <c r="E249" s="55" t="str">
        <f t="shared" ca="1" si="36"/>
        <v/>
      </c>
      <c r="F249" s="51"/>
      <c r="G249" s="55" t="str">
        <f t="shared" ca="1" si="37"/>
        <v/>
      </c>
      <c r="H249" s="50"/>
      <c r="I249" s="55" t="str">
        <f t="shared" ca="1" si="38"/>
        <v/>
      </c>
      <c r="J249" s="50"/>
      <c r="K249" s="55" t="str">
        <f t="shared" ca="1" si="39"/>
        <v/>
      </c>
      <c r="L249" s="64" t="str">
        <f>IF(B249="","",D249+F249+H249+J249+#REF!+#REF!+#REF!+#REF!+#REF!)</f>
        <v/>
      </c>
      <c r="M249" s="55" t="str">
        <f t="shared" ca="1" si="40"/>
        <v/>
      </c>
    </row>
    <row r="250" spans="1:13" ht="19.95" customHeight="1" x14ac:dyDescent="0.25">
      <c r="A250" s="52"/>
      <c r="B250" s="51"/>
      <c r="C250" s="54" t="str">
        <f>IF(B250="","",VLOOKUP(B250,学生信息汇总!A:E,2,0))</f>
        <v/>
      </c>
      <c r="D250" s="50"/>
      <c r="E250" s="55" t="str">
        <f t="shared" ca="1" si="36"/>
        <v/>
      </c>
      <c r="F250" s="51"/>
      <c r="G250" s="55" t="str">
        <f t="shared" ca="1" si="37"/>
        <v/>
      </c>
      <c r="H250" s="50"/>
      <c r="I250" s="55" t="str">
        <f t="shared" ca="1" si="38"/>
        <v/>
      </c>
      <c r="J250" s="50"/>
      <c r="K250" s="55" t="str">
        <f t="shared" ca="1" si="39"/>
        <v/>
      </c>
      <c r="L250" s="64" t="str">
        <f>IF(B250="","",D250+F250+H250+J250+#REF!+#REF!+#REF!+#REF!+#REF!)</f>
        <v/>
      </c>
      <c r="M250" s="55" t="str">
        <f t="shared" ca="1" si="40"/>
        <v/>
      </c>
    </row>
    <row r="251" spans="1:13" ht="19.95" customHeight="1" x14ac:dyDescent="0.25">
      <c r="A251" s="52"/>
      <c r="B251" s="51"/>
      <c r="C251" s="54" t="str">
        <f>IF(B251="","",VLOOKUP(B251,学生信息汇总!A:E,2,0))</f>
        <v/>
      </c>
      <c r="D251" s="50"/>
      <c r="E251" s="55" t="str">
        <f t="shared" ca="1" si="36"/>
        <v/>
      </c>
      <c r="F251" s="51"/>
      <c r="G251" s="55" t="str">
        <f t="shared" ca="1" si="37"/>
        <v/>
      </c>
      <c r="H251" s="50"/>
      <c r="I251" s="55" t="str">
        <f t="shared" ca="1" si="38"/>
        <v/>
      </c>
      <c r="J251" s="50"/>
      <c r="K251" s="55" t="str">
        <f t="shared" ca="1" si="39"/>
        <v/>
      </c>
      <c r="L251" s="64" t="str">
        <f>IF(B251="","",D251+F251+H251+J251+#REF!+#REF!+#REF!+#REF!+#REF!)</f>
        <v/>
      </c>
      <c r="M251" s="55" t="str">
        <f t="shared" ca="1" si="40"/>
        <v/>
      </c>
    </row>
    <row r="252" spans="1:13" ht="19.95" customHeight="1" x14ac:dyDescent="0.25">
      <c r="A252" s="52"/>
      <c r="B252" s="51"/>
      <c r="C252" s="54" t="str">
        <f>IF(B252="","",VLOOKUP(B252,学生信息汇总!A:E,2,0))</f>
        <v/>
      </c>
      <c r="D252" s="50"/>
      <c r="E252" s="55" t="str">
        <f t="shared" ca="1" si="36"/>
        <v/>
      </c>
      <c r="F252" s="51"/>
      <c r="G252" s="55" t="str">
        <f t="shared" ca="1" si="37"/>
        <v/>
      </c>
      <c r="H252" s="50"/>
      <c r="I252" s="55" t="str">
        <f t="shared" ca="1" si="38"/>
        <v/>
      </c>
      <c r="J252" s="50"/>
      <c r="K252" s="55" t="str">
        <f t="shared" ca="1" si="39"/>
        <v/>
      </c>
      <c r="L252" s="64" t="str">
        <f>IF(B252="","",D252+F252+H252+J252+#REF!+#REF!+#REF!+#REF!+#REF!)</f>
        <v/>
      </c>
      <c r="M252" s="55" t="str">
        <f t="shared" ca="1" si="40"/>
        <v/>
      </c>
    </row>
    <row r="253" spans="1:13" ht="19.95" customHeight="1" x14ac:dyDescent="0.25">
      <c r="A253" s="52"/>
      <c r="B253" s="51"/>
      <c r="C253" s="54" t="str">
        <f>IF(B253="","",VLOOKUP(B253,学生信息汇总!A:E,2,0))</f>
        <v/>
      </c>
      <c r="D253" s="50"/>
      <c r="E253" s="55" t="str">
        <f t="shared" ca="1" si="36"/>
        <v/>
      </c>
      <c r="F253" s="51"/>
      <c r="G253" s="55" t="str">
        <f t="shared" ca="1" si="37"/>
        <v/>
      </c>
      <c r="H253" s="50"/>
      <c r="I253" s="55" t="str">
        <f t="shared" ca="1" si="38"/>
        <v/>
      </c>
      <c r="J253" s="50"/>
      <c r="K253" s="55" t="str">
        <f t="shared" ca="1" si="39"/>
        <v/>
      </c>
      <c r="L253" s="64" t="str">
        <f>IF(B253="","",D253+F253+H253+J253+#REF!+#REF!+#REF!+#REF!+#REF!)</f>
        <v/>
      </c>
      <c r="M253" s="55" t="str">
        <f t="shared" ca="1" si="40"/>
        <v/>
      </c>
    </row>
    <row r="254" spans="1:13" ht="19.95" customHeight="1" x14ac:dyDescent="0.25">
      <c r="A254" s="52"/>
      <c r="B254" s="51"/>
      <c r="C254" s="54" t="str">
        <f>IF(B254="","",VLOOKUP(B254,学生信息汇总!A:E,2,0))</f>
        <v/>
      </c>
      <c r="D254" s="50"/>
      <c r="E254" s="55" t="str">
        <f t="shared" ca="1" si="36"/>
        <v/>
      </c>
      <c r="F254" s="51"/>
      <c r="G254" s="55" t="str">
        <f t="shared" ca="1" si="37"/>
        <v/>
      </c>
      <c r="H254" s="50"/>
      <c r="I254" s="55" t="str">
        <f t="shared" ca="1" si="38"/>
        <v/>
      </c>
      <c r="J254" s="50"/>
      <c r="K254" s="55" t="str">
        <f t="shared" ca="1" si="39"/>
        <v/>
      </c>
      <c r="L254" s="64" t="str">
        <f>IF(B254="","",D254+F254+H254+J254+#REF!+#REF!+#REF!+#REF!+#REF!)</f>
        <v/>
      </c>
      <c r="M254" s="55" t="str">
        <f t="shared" ca="1" si="40"/>
        <v/>
      </c>
    </row>
    <row r="255" spans="1:13" ht="19.95" customHeight="1" x14ac:dyDescent="0.25">
      <c r="A255" s="52"/>
      <c r="B255" s="51"/>
      <c r="C255" s="54" t="str">
        <f>IF(B255="","",VLOOKUP(B255,学生信息汇总!A:E,2,0))</f>
        <v/>
      </c>
      <c r="D255" s="50"/>
      <c r="E255" s="55" t="str">
        <f t="shared" ca="1" si="36"/>
        <v/>
      </c>
      <c r="F255" s="51"/>
      <c r="G255" s="55" t="str">
        <f t="shared" ca="1" si="37"/>
        <v/>
      </c>
      <c r="H255" s="50"/>
      <c r="I255" s="55" t="str">
        <f t="shared" ca="1" si="38"/>
        <v/>
      </c>
      <c r="J255" s="50"/>
      <c r="K255" s="55" t="str">
        <f t="shared" ca="1" si="39"/>
        <v/>
      </c>
      <c r="L255" s="64" t="str">
        <f>IF(B255="","",D255+F255+H255+J255+#REF!+#REF!+#REF!+#REF!+#REF!)</f>
        <v/>
      </c>
      <c r="M255" s="55" t="str">
        <f t="shared" ca="1" si="40"/>
        <v/>
      </c>
    </row>
    <row r="256" spans="1:13" ht="19.95" customHeight="1" x14ac:dyDescent="0.25">
      <c r="A256" s="52"/>
      <c r="B256" s="51"/>
      <c r="C256" s="54" t="str">
        <f>IF(B256="","",VLOOKUP(B256,学生信息汇总!A:E,2,0))</f>
        <v/>
      </c>
      <c r="D256" s="50"/>
      <c r="E256" s="55" t="str">
        <f t="shared" ca="1" si="36"/>
        <v/>
      </c>
      <c r="F256" s="51"/>
      <c r="G256" s="55" t="str">
        <f t="shared" ca="1" si="37"/>
        <v/>
      </c>
      <c r="H256" s="50"/>
      <c r="I256" s="55" t="str">
        <f t="shared" ca="1" si="38"/>
        <v/>
      </c>
      <c r="J256" s="50"/>
      <c r="K256" s="55" t="str">
        <f t="shared" ca="1" si="39"/>
        <v/>
      </c>
      <c r="L256" s="64" t="str">
        <f>IF(B256="","",D256+F256+H256+J256+#REF!+#REF!+#REF!+#REF!+#REF!)</f>
        <v/>
      </c>
      <c r="M256" s="55" t="str">
        <f t="shared" ca="1" si="40"/>
        <v/>
      </c>
    </row>
    <row r="257" spans="1:13" ht="19.95" customHeight="1" x14ac:dyDescent="0.25">
      <c r="A257" s="52"/>
      <c r="B257" s="51"/>
      <c r="C257" s="54" t="str">
        <f>IF(B257="","",VLOOKUP(B257,学生信息汇总!A:E,2,0))</f>
        <v/>
      </c>
      <c r="D257" s="50"/>
      <c r="E257" s="55" t="str">
        <f t="shared" ca="1" si="36"/>
        <v/>
      </c>
      <c r="F257" s="51"/>
      <c r="G257" s="55" t="str">
        <f t="shared" ca="1" si="37"/>
        <v/>
      </c>
      <c r="H257" s="50"/>
      <c r="I257" s="55" t="str">
        <f t="shared" ca="1" si="38"/>
        <v/>
      </c>
      <c r="J257" s="50"/>
      <c r="K257" s="55" t="str">
        <f t="shared" ca="1" si="39"/>
        <v/>
      </c>
      <c r="L257" s="64" t="str">
        <f>IF(B257="","",D257+F257+H257+J257+#REF!+#REF!+#REF!+#REF!+#REF!)</f>
        <v/>
      </c>
      <c r="M257" s="55" t="str">
        <f t="shared" ca="1" si="40"/>
        <v/>
      </c>
    </row>
    <row r="258" spans="1:13" ht="19.95" customHeight="1" x14ac:dyDescent="0.25">
      <c r="A258" s="52"/>
      <c r="B258" s="51"/>
      <c r="C258" s="54" t="str">
        <f>IF(B258="","",VLOOKUP(B258,学生信息汇总!A:E,2,0))</f>
        <v/>
      </c>
      <c r="D258" s="50"/>
      <c r="E258" s="55" t="str">
        <f t="shared" ca="1" si="36"/>
        <v/>
      </c>
      <c r="F258" s="51"/>
      <c r="G258" s="55" t="str">
        <f t="shared" ca="1" si="37"/>
        <v/>
      </c>
      <c r="H258" s="50"/>
      <c r="I258" s="55" t="str">
        <f t="shared" ca="1" si="38"/>
        <v/>
      </c>
      <c r="J258" s="50"/>
      <c r="K258" s="55" t="str">
        <f t="shared" ca="1" si="39"/>
        <v/>
      </c>
      <c r="L258" s="64" t="str">
        <f>IF(B258="","",D258+F258+H258+J258+#REF!+#REF!+#REF!+#REF!+#REF!)</f>
        <v/>
      </c>
      <c r="M258" s="55" t="str">
        <f t="shared" ca="1" si="40"/>
        <v/>
      </c>
    </row>
    <row r="259" spans="1:13" ht="19.95" customHeight="1" x14ac:dyDescent="0.25">
      <c r="A259" s="52"/>
      <c r="B259" s="51"/>
      <c r="C259" s="54" t="str">
        <f>IF(B259="","",VLOOKUP(B259,学生信息汇总!A:E,2,0))</f>
        <v/>
      </c>
      <c r="D259" s="50"/>
      <c r="E259" s="55" t="str">
        <f t="shared" ca="1" si="36"/>
        <v/>
      </c>
      <c r="F259" s="51"/>
      <c r="G259" s="55" t="str">
        <f t="shared" ca="1" si="37"/>
        <v/>
      </c>
      <c r="H259" s="50"/>
      <c r="I259" s="55" t="str">
        <f t="shared" ca="1" si="38"/>
        <v/>
      </c>
      <c r="J259" s="50"/>
      <c r="K259" s="55" t="str">
        <f t="shared" ca="1" si="39"/>
        <v/>
      </c>
      <c r="L259" s="64" t="str">
        <f>IF(B259="","",D259+F259+H259+J259+#REF!+#REF!+#REF!+#REF!+#REF!)</f>
        <v/>
      </c>
      <c r="M259" s="55" t="str">
        <f t="shared" ca="1" si="40"/>
        <v/>
      </c>
    </row>
    <row r="260" spans="1:13" ht="19.95" customHeight="1" x14ac:dyDescent="0.25">
      <c r="A260" s="52"/>
      <c r="B260" s="51"/>
      <c r="C260" s="54" t="str">
        <f>IF(B260="","",VLOOKUP(B260,学生信息汇总!A:E,2,0))</f>
        <v/>
      </c>
      <c r="D260" s="50"/>
      <c r="E260" s="55" t="str">
        <f t="shared" ca="1" si="36"/>
        <v/>
      </c>
      <c r="F260" s="51"/>
      <c r="G260" s="55" t="str">
        <f t="shared" ca="1" si="37"/>
        <v/>
      </c>
      <c r="H260" s="50"/>
      <c r="I260" s="55" t="str">
        <f t="shared" ca="1" si="38"/>
        <v/>
      </c>
      <c r="J260" s="50"/>
      <c r="K260" s="55" t="str">
        <f t="shared" ca="1" si="39"/>
        <v/>
      </c>
      <c r="L260" s="64" t="str">
        <f>IF(B260="","",D260+F260+H260+J260+#REF!+#REF!+#REF!+#REF!+#REF!)</f>
        <v/>
      </c>
      <c r="M260" s="55" t="str">
        <f t="shared" ca="1" si="40"/>
        <v/>
      </c>
    </row>
    <row r="261" spans="1:13" ht="19.95" customHeight="1" x14ac:dyDescent="0.25">
      <c r="A261" s="52"/>
      <c r="B261" s="51"/>
      <c r="C261" s="54" t="str">
        <f>IF(B261="","",VLOOKUP(B261,学生信息汇总!A:E,2,0))</f>
        <v/>
      </c>
      <c r="D261" s="50"/>
      <c r="E261" s="55" t="str">
        <f t="shared" ca="1" si="36"/>
        <v/>
      </c>
      <c r="F261" s="51"/>
      <c r="G261" s="55" t="str">
        <f t="shared" ca="1" si="37"/>
        <v/>
      </c>
      <c r="H261" s="50"/>
      <c r="I261" s="55" t="str">
        <f t="shared" ca="1" si="38"/>
        <v/>
      </c>
      <c r="J261" s="50"/>
      <c r="K261" s="55" t="str">
        <f t="shared" ca="1" si="39"/>
        <v/>
      </c>
      <c r="L261" s="64" t="str">
        <f>IF(B261="","",D261+F261+H261+J261+#REF!+#REF!+#REF!+#REF!+#REF!)</f>
        <v/>
      </c>
      <c r="M261" s="55" t="str">
        <f t="shared" ca="1" si="40"/>
        <v/>
      </c>
    </row>
    <row r="262" spans="1:13" ht="19.95" customHeight="1" x14ac:dyDescent="0.25">
      <c r="A262" s="52"/>
      <c r="B262" s="51"/>
      <c r="C262" s="54" t="str">
        <f>IF(B262="","",VLOOKUP(B262,学生信息汇总!A:E,2,0))</f>
        <v/>
      </c>
      <c r="D262" s="50"/>
      <c r="E262" s="55" t="str">
        <f t="shared" ca="1" si="36"/>
        <v/>
      </c>
      <c r="F262" s="51"/>
      <c r="G262" s="55" t="str">
        <f t="shared" ca="1" si="37"/>
        <v/>
      </c>
      <c r="H262" s="50"/>
      <c r="I262" s="55" t="str">
        <f t="shared" ca="1" si="38"/>
        <v/>
      </c>
      <c r="J262" s="50"/>
      <c r="K262" s="55" t="str">
        <f t="shared" ca="1" si="39"/>
        <v/>
      </c>
      <c r="L262" s="64" t="str">
        <f>IF(B262="","",D262+F262+H262+J262+#REF!+#REF!+#REF!+#REF!+#REF!)</f>
        <v/>
      </c>
      <c r="M262" s="55" t="str">
        <f t="shared" ca="1" si="40"/>
        <v/>
      </c>
    </row>
    <row r="263" spans="1:13" ht="19.95" customHeight="1" x14ac:dyDescent="0.25">
      <c r="A263" s="52"/>
      <c r="B263" s="51"/>
      <c r="C263" s="54" t="str">
        <f>IF(B263="","",VLOOKUP(B263,学生信息汇总!A:E,2,0))</f>
        <v/>
      </c>
      <c r="D263" s="50"/>
      <c r="E263" s="55" t="str">
        <f t="shared" ca="1" si="36"/>
        <v/>
      </c>
      <c r="F263" s="51"/>
      <c r="G263" s="55" t="str">
        <f t="shared" ca="1" si="37"/>
        <v/>
      </c>
      <c r="H263" s="50"/>
      <c r="I263" s="55" t="str">
        <f t="shared" ca="1" si="38"/>
        <v/>
      </c>
      <c r="J263" s="50"/>
      <c r="K263" s="55" t="str">
        <f t="shared" ca="1" si="39"/>
        <v/>
      </c>
      <c r="L263" s="64" t="str">
        <f>IF(B263="","",D263+F263+H263+J263+#REF!+#REF!+#REF!+#REF!+#REF!)</f>
        <v/>
      </c>
      <c r="M263" s="55" t="str">
        <f t="shared" ca="1" si="40"/>
        <v/>
      </c>
    </row>
    <row r="264" spans="1:13" ht="19.95" customHeight="1" x14ac:dyDescent="0.25">
      <c r="A264" s="52"/>
      <c r="B264" s="51"/>
      <c r="C264" s="54" t="str">
        <f>IF(B264="","",VLOOKUP(B264,学生信息汇总!A:E,2,0))</f>
        <v/>
      </c>
      <c r="D264" s="50"/>
      <c r="E264" s="55" t="str">
        <f t="shared" ca="1" si="36"/>
        <v/>
      </c>
      <c r="F264" s="51"/>
      <c r="G264" s="55" t="str">
        <f t="shared" ca="1" si="37"/>
        <v/>
      </c>
      <c r="H264" s="50"/>
      <c r="I264" s="55" t="str">
        <f t="shared" ca="1" si="38"/>
        <v/>
      </c>
      <c r="J264" s="50"/>
      <c r="K264" s="55" t="str">
        <f t="shared" ca="1" si="39"/>
        <v/>
      </c>
      <c r="L264" s="64" t="str">
        <f>IF(B264="","",D264+F264+H264+J264+#REF!+#REF!+#REF!+#REF!+#REF!)</f>
        <v/>
      </c>
      <c r="M264" s="55" t="str">
        <f t="shared" ca="1" si="40"/>
        <v/>
      </c>
    </row>
    <row r="265" spans="1:13" ht="19.95" customHeight="1" x14ac:dyDescent="0.25">
      <c r="A265" s="52"/>
      <c r="B265" s="51"/>
      <c r="C265" s="54" t="str">
        <f>IF(B265="","",VLOOKUP(B265,学生信息汇总!A:E,2,0))</f>
        <v/>
      </c>
      <c r="D265" s="50"/>
      <c r="E265" s="55" t="str">
        <f t="shared" ca="1" si="36"/>
        <v/>
      </c>
      <c r="F265" s="51"/>
      <c r="G265" s="55" t="str">
        <f t="shared" ca="1" si="37"/>
        <v/>
      </c>
      <c r="H265" s="50"/>
      <c r="I265" s="55" t="str">
        <f t="shared" ca="1" si="38"/>
        <v/>
      </c>
      <c r="J265" s="50"/>
      <c r="K265" s="55" t="str">
        <f t="shared" ca="1" si="39"/>
        <v/>
      </c>
      <c r="L265" s="64" t="str">
        <f>IF(B265="","",D265+F265+H265+J265+#REF!+#REF!+#REF!+#REF!+#REF!)</f>
        <v/>
      </c>
      <c r="M265" s="55" t="str">
        <f t="shared" ca="1" si="40"/>
        <v/>
      </c>
    </row>
    <row r="266" spans="1:13" ht="19.95" customHeight="1" x14ac:dyDescent="0.25">
      <c r="A266" s="52"/>
      <c r="B266" s="51"/>
      <c r="C266" s="54" t="str">
        <f>IF(B266="","",VLOOKUP(B266,学生信息汇总!A:E,2,0))</f>
        <v/>
      </c>
      <c r="D266" s="50"/>
      <c r="E266" s="55" t="str">
        <f t="shared" ca="1" si="36"/>
        <v/>
      </c>
      <c r="F266" s="51"/>
      <c r="G266" s="55" t="str">
        <f t="shared" ca="1" si="37"/>
        <v/>
      </c>
      <c r="H266" s="50"/>
      <c r="I266" s="55" t="str">
        <f t="shared" ca="1" si="38"/>
        <v/>
      </c>
      <c r="J266" s="50"/>
      <c r="K266" s="55" t="str">
        <f t="shared" ca="1" si="39"/>
        <v/>
      </c>
      <c r="L266" s="64" t="str">
        <f>IF(B266="","",D266+F266+H266+J266+#REF!+#REF!+#REF!+#REF!+#REF!)</f>
        <v/>
      </c>
      <c r="M266" s="55" t="str">
        <f t="shared" ca="1" si="40"/>
        <v/>
      </c>
    </row>
    <row r="267" spans="1:13" ht="19.95" customHeight="1" x14ac:dyDescent="0.25">
      <c r="A267" s="52"/>
      <c r="B267" s="51"/>
      <c r="C267" s="54" t="str">
        <f>IF(B267="","",VLOOKUP(B267,学生信息汇总!A:E,2,0))</f>
        <v/>
      </c>
      <c r="D267" s="50"/>
      <c r="E267" s="55" t="str">
        <f t="shared" ca="1" si="36"/>
        <v/>
      </c>
      <c r="F267" s="51"/>
      <c r="G267" s="55" t="str">
        <f t="shared" ca="1" si="37"/>
        <v/>
      </c>
      <c r="H267" s="50"/>
      <c r="I267" s="55" t="str">
        <f t="shared" ca="1" si="38"/>
        <v/>
      </c>
      <c r="J267" s="50"/>
      <c r="K267" s="55" t="str">
        <f t="shared" ca="1" si="39"/>
        <v/>
      </c>
      <c r="L267" s="64" t="str">
        <f>IF(B267="","",D267+F267+H267+J267+#REF!+#REF!+#REF!+#REF!+#REF!)</f>
        <v/>
      </c>
      <c r="M267" s="55" t="str">
        <f t="shared" ca="1" si="40"/>
        <v/>
      </c>
    </row>
    <row r="268" spans="1:13" ht="19.95" customHeight="1" x14ac:dyDescent="0.25">
      <c r="A268" s="52"/>
      <c r="B268" s="51"/>
      <c r="C268" s="54" t="str">
        <f>IF(B268="","",VLOOKUP(B268,学生信息汇总!A:E,2,0))</f>
        <v/>
      </c>
      <c r="D268" s="50"/>
      <c r="E268" s="55" t="str">
        <f t="shared" ca="1" si="36"/>
        <v/>
      </c>
      <c r="F268" s="51"/>
      <c r="G268" s="55" t="str">
        <f t="shared" ca="1" si="37"/>
        <v/>
      </c>
      <c r="H268" s="50"/>
      <c r="I268" s="55" t="str">
        <f t="shared" ca="1" si="38"/>
        <v/>
      </c>
      <c r="J268" s="50"/>
      <c r="K268" s="55" t="str">
        <f t="shared" ca="1" si="39"/>
        <v/>
      </c>
      <c r="L268" s="64" t="str">
        <f>IF(B268="","",D268+F268+H268+J268+#REF!+#REF!+#REF!+#REF!+#REF!)</f>
        <v/>
      </c>
      <c r="M268" s="55" t="str">
        <f t="shared" ca="1" si="40"/>
        <v/>
      </c>
    </row>
    <row r="269" spans="1:13" ht="19.95" customHeight="1" x14ac:dyDescent="0.25">
      <c r="A269" s="52"/>
      <c r="B269" s="51"/>
      <c r="C269" s="54" t="str">
        <f>IF(B269="","",VLOOKUP(B269,学生信息汇总!A:E,2,0))</f>
        <v/>
      </c>
      <c r="D269" s="50"/>
      <c r="E269" s="55" t="str">
        <f t="shared" ca="1" si="36"/>
        <v/>
      </c>
      <c r="F269" s="51"/>
      <c r="G269" s="55" t="str">
        <f t="shared" ca="1" si="37"/>
        <v/>
      </c>
      <c r="H269" s="50"/>
      <c r="I269" s="55" t="str">
        <f t="shared" ca="1" si="38"/>
        <v/>
      </c>
      <c r="J269" s="50"/>
      <c r="K269" s="55" t="str">
        <f t="shared" ca="1" si="39"/>
        <v/>
      </c>
      <c r="L269" s="64" t="str">
        <f>IF(B269="","",D269+F269+H269+J269+#REF!+#REF!+#REF!+#REF!+#REF!)</f>
        <v/>
      </c>
      <c r="M269" s="55" t="str">
        <f t="shared" ca="1" si="40"/>
        <v/>
      </c>
    </row>
    <row r="270" spans="1:13" ht="19.95" customHeight="1" x14ac:dyDescent="0.25">
      <c r="A270" s="52"/>
      <c r="B270" s="51"/>
      <c r="C270" s="54" t="str">
        <f>IF(B270="","",VLOOKUP(B270,学生信息汇总!A:E,2,0))</f>
        <v/>
      </c>
      <c r="D270" s="50"/>
      <c r="E270" s="55" t="str">
        <f t="shared" ca="1" si="36"/>
        <v/>
      </c>
      <c r="F270" s="51"/>
      <c r="G270" s="55" t="str">
        <f t="shared" ca="1" si="37"/>
        <v/>
      </c>
      <c r="H270" s="50"/>
      <c r="I270" s="55" t="str">
        <f t="shared" ca="1" si="38"/>
        <v/>
      </c>
      <c r="J270" s="50"/>
      <c r="K270" s="55" t="str">
        <f t="shared" ca="1" si="39"/>
        <v/>
      </c>
      <c r="L270" s="64" t="str">
        <f>IF(B270="","",D270+F270+H270+J270+#REF!+#REF!+#REF!+#REF!+#REF!)</f>
        <v/>
      </c>
      <c r="M270" s="55" t="str">
        <f t="shared" ca="1" si="40"/>
        <v/>
      </c>
    </row>
    <row r="271" spans="1:13" ht="19.95" customHeight="1" x14ac:dyDescent="0.25">
      <c r="A271" s="52"/>
      <c r="B271" s="51"/>
      <c r="C271" s="54" t="str">
        <f>IF(B271="","",VLOOKUP(B271,学生信息汇总!A:E,2,0))</f>
        <v/>
      </c>
      <c r="D271" s="50"/>
      <c r="E271" s="55" t="str">
        <f t="shared" ca="1" si="36"/>
        <v/>
      </c>
      <c r="F271" s="51"/>
      <c r="G271" s="55" t="str">
        <f t="shared" ca="1" si="37"/>
        <v/>
      </c>
      <c r="H271" s="50"/>
      <c r="I271" s="55" t="str">
        <f t="shared" ca="1" si="38"/>
        <v/>
      </c>
      <c r="J271" s="50"/>
      <c r="K271" s="55" t="str">
        <f t="shared" ca="1" si="39"/>
        <v/>
      </c>
      <c r="L271" s="64" t="str">
        <f>IF(B271="","",D271+F271+H271+J271+#REF!+#REF!+#REF!+#REF!+#REF!)</f>
        <v/>
      </c>
      <c r="M271" s="55" t="str">
        <f t="shared" ca="1" si="40"/>
        <v/>
      </c>
    </row>
    <row r="272" spans="1:13" ht="19.95" customHeight="1" x14ac:dyDescent="0.25">
      <c r="A272" s="52"/>
      <c r="B272" s="51"/>
      <c r="C272" s="54" t="str">
        <f>IF(B272="","",VLOOKUP(B272,学生信息汇总!A:E,2,0))</f>
        <v/>
      </c>
      <c r="D272" s="50"/>
      <c r="E272" s="55" t="str">
        <f t="shared" ca="1" si="36"/>
        <v/>
      </c>
      <c r="F272" s="51"/>
      <c r="G272" s="55" t="str">
        <f t="shared" ca="1" si="37"/>
        <v/>
      </c>
      <c r="H272" s="50"/>
      <c r="I272" s="55" t="str">
        <f t="shared" ca="1" si="38"/>
        <v/>
      </c>
      <c r="J272" s="50"/>
      <c r="K272" s="55" t="str">
        <f t="shared" ca="1" si="39"/>
        <v/>
      </c>
      <c r="L272" s="64" t="str">
        <f>IF(B272="","",D272+F272+H272+J272+#REF!+#REF!+#REF!+#REF!+#REF!)</f>
        <v/>
      </c>
      <c r="M272" s="55" t="str">
        <f t="shared" ca="1" si="40"/>
        <v/>
      </c>
    </row>
    <row r="273" spans="1:13" ht="19.95" customHeight="1" x14ac:dyDescent="0.25">
      <c r="A273" s="52"/>
      <c r="B273" s="51"/>
      <c r="C273" s="54" t="str">
        <f>IF(B273="","",VLOOKUP(B273,学生信息汇总!A:E,2,0))</f>
        <v/>
      </c>
      <c r="D273" s="50"/>
      <c r="E273" s="55" t="str">
        <f t="shared" ca="1" si="36"/>
        <v/>
      </c>
      <c r="F273" s="51"/>
      <c r="G273" s="55" t="str">
        <f t="shared" ca="1" si="37"/>
        <v/>
      </c>
      <c r="H273" s="50"/>
      <c r="I273" s="55" t="str">
        <f t="shared" ca="1" si="38"/>
        <v/>
      </c>
      <c r="J273" s="50"/>
      <c r="K273" s="55" t="str">
        <f t="shared" ca="1" si="39"/>
        <v/>
      </c>
      <c r="L273" s="64" t="str">
        <f>IF(B273="","",D273+F273+H273+J273+#REF!+#REF!+#REF!+#REF!+#REF!)</f>
        <v/>
      </c>
      <c r="M273" s="55" t="str">
        <f t="shared" ca="1" si="40"/>
        <v/>
      </c>
    </row>
    <row r="274" spans="1:13" ht="19.95" customHeight="1" x14ac:dyDescent="0.25">
      <c r="A274" s="52"/>
      <c r="B274" s="51"/>
      <c r="C274" s="54" t="str">
        <f>IF(B274="","",VLOOKUP(B274,学生信息汇总!A:E,2,0))</f>
        <v/>
      </c>
      <c r="D274" s="50"/>
      <c r="E274" s="55" t="str">
        <f t="shared" ca="1" si="36"/>
        <v/>
      </c>
      <c r="F274" s="51"/>
      <c r="G274" s="55" t="str">
        <f t="shared" ca="1" si="37"/>
        <v/>
      </c>
      <c r="H274" s="50"/>
      <c r="I274" s="55" t="str">
        <f t="shared" ca="1" si="38"/>
        <v/>
      </c>
      <c r="J274" s="50"/>
      <c r="K274" s="55" t="str">
        <f t="shared" ca="1" si="39"/>
        <v/>
      </c>
      <c r="L274" s="64" t="str">
        <f>IF(B274="","",D274+F274+H274+J274+#REF!+#REF!+#REF!+#REF!+#REF!)</f>
        <v/>
      </c>
      <c r="M274" s="55" t="str">
        <f t="shared" ca="1" si="40"/>
        <v/>
      </c>
    </row>
    <row r="275" spans="1:13" ht="19.95" customHeight="1" x14ac:dyDescent="0.25">
      <c r="A275" s="52"/>
      <c r="B275" s="51"/>
      <c r="C275" s="54" t="str">
        <f>IF(B275="","",VLOOKUP(B275,学生信息汇总!A:E,2,0))</f>
        <v/>
      </c>
      <c r="D275" s="50"/>
      <c r="E275" s="55" t="str">
        <f t="shared" ca="1" si="36"/>
        <v/>
      </c>
      <c r="F275" s="51"/>
      <c r="G275" s="55" t="str">
        <f t="shared" ca="1" si="37"/>
        <v/>
      </c>
      <c r="H275" s="50"/>
      <c r="I275" s="55" t="str">
        <f t="shared" ca="1" si="38"/>
        <v/>
      </c>
      <c r="J275" s="50"/>
      <c r="K275" s="55" t="str">
        <f t="shared" ca="1" si="39"/>
        <v/>
      </c>
      <c r="L275" s="64" t="str">
        <f>IF(B275="","",D275+F275+H275+J275+#REF!+#REF!+#REF!+#REF!+#REF!)</f>
        <v/>
      </c>
      <c r="M275" s="55" t="str">
        <f t="shared" ca="1" si="40"/>
        <v/>
      </c>
    </row>
    <row r="276" spans="1:13" ht="19.95" customHeight="1" x14ac:dyDescent="0.25">
      <c r="A276" s="52"/>
      <c r="B276" s="51"/>
      <c r="C276" s="54" t="str">
        <f>IF(B276="","",VLOOKUP(B276,学生信息汇总!A:E,2,0))</f>
        <v/>
      </c>
      <c r="D276" s="50"/>
      <c r="E276" s="55" t="str">
        <f t="shared" ca="1" si="36"/>
        <v/>
      </c>
      <c r="F276" s="51"/>
      <c r="G276" s="55" t="str">
        <f t="shared" ca="1" si="37"/>
        <v/>
      </c>
      <c r="H276" s="50"/>
      <c r="I276" s="55" t="str">
        <f t="shared" ca="1" si="38"/>
        <v/>
      </c>
      <c r="J276" s="50"/>
      <c r="K276" s="55" t="str">
        <f t="shared" ca="1" si="39"/>
        <v/>
      </c>
      <c r="L276" s="64" t="str">
        <f>IF(B276="","",D276+F276+H276+J276+#REF!+#REF!+#REF!+#REF!+#REF!)</f>
        <v/>
      </c>
      <c r="M276" s="55" t="str">
        <f t="shared" ca="1" si="40"/>
        <v/>
      </c>
    </row>
    <row r="277" spans="1:13" ht="19.95" customHeight="1" x14ac:dyDescent="0.25">
      <c r="A277" s="52"/>
      <c r="B277" s="51"/>
      <c r="C277" s="54" t="str">
        <f>IF(B277="","",VLOOKUP(B277,学生信息汇总!A:E,2,0))</f>
        <v/>
      </c>
      <c r="D277" s="50"/>
      <c r="E277" s="55" t="str">
        <f t="shared" ca="1" si="36"/>
        <v/>
      </c>
      <c r="F277" s="51"/>
      <c r="G277" s="55" t="str">
        <f t="shared" ca="1" si="37"/>
        <v/>
      </c>
      <c r="H277" s="50"/>
      <c r="I277" s="55" t="str">
        <f t="shared" ca="1" si="38"/>
        <v/>
      </c>
      <c r="J277" s="50"/>
      <c r="K277" s="55" t="str">
        <f t="shared" ca="1" si="39"/>
        <v/>
      </c>
      <c r="L277" s="64" t="str">
        <f>IF(B277="","",D277+F277+H277+J277+#REF!+#REF!+#REF!+#REF!+#REF!)</f>
        <v/>
      </c>
      <c r="M277" s="55" t="str">
        <f t="shared" ca="1" si="40"/>
        <v/>
      </c>
    </row>
    <row r="278" spans="1:13" ht="19.95" customHeight="1" x14ac:dyDescent="0.25">
      <c r="A278" s="52"/>
      <c r="B278" s="51"/>
      <c r="C278" s="54" t="str">
        <f>IF(B278="","",VLOOKUP(B278,学生信息汇总!A:E,2,0))</f>
        <v/>
      </c>
      <c r="D278" s="50"/>
      <c r="E278" s="55" t="str">
        <f t="shared" ca="1" si="36"/>
        <v/>
      </c>
      <c r="F278" s="51"/>
      <c r="G278" s="55" t="str">
        <f t="shared" ca="1" si="37"/>
        <v/>
      </c>
      <c r="H278" s="50"/>
      <c r="I278" s="55" t="str">
        <f t="shared" ca="1" si="38"/>
        <v/>
      </c>
      <c r="J278" s="50"/>
      <c r="K278" s="55" t="str">
        <f t="shared" ca="1" si="39"/>
        <v/>
      </c>
      <c r="L278" s="64" t="str">
        <f>IF(B278="","",D278+F278+H278+J278+#REF!+#REF!+#REF!+#REF!+#REF!)</f>
        <v/>
      </c>
      <c r="M278" s="55" t="str">
        <f t="shared" ca="1" si="40"/>
        <v/>
      </c>
    </row>
    <row r="279" spans="1:13" ht="19.95" customHeight="1" x14ac:dyDescent="0.25">
      <c r="A279" s="52"/>
      <c r="B279" s="51"/>
      <c r="C279" s="54" t="str">
        <f>IF(B279="","",VLOOKUP(B279,学生信息汇总!A:E,2,0))</f>
        <v/>
      </c>
      <c r="D279" s="50"/>
      <c r="E279" s="55" t="str">
        <f t="shared" ca="1" si="36"/>
        <v/>
      </c>
      <c r="F279" s="51"/>
      <c r="G279" s="55" t="str">
        <f t="shared" ca="1" si="37"/>
        <v/>
      </c>
      <c r="H279" s="50"/>
      <c r="I279" s="55" t="str">
        <f t="shared" ca="1" si="38"/>
        <v/>
      </c>
      <c r="J279" s="50"/>
      <c r="K279" s="55" t="str">
        <f t="shared" ca="1" si="39"/>
        <v/>
      </c>
      <c r="L279" s="64" t="str">
        <f>IF(B279="","",D279+F279+H279+J279+#REF!+#REF!+#REF!+#REF!+#REF!)</f>
        <v/>
      </c>
      <c r="M279" s="55" t="str">
        <f t="shared" ca="1" si="40"/>
        <v/>
      </c>
    </row>
    <row r="280" spans="1:13" ht="19.95" customHeight="1" x14ac:dyDescent="0.25">
      <c r="A280" s="52"/>
      <c r="B280" s="51"/>
      <c r="C280" s="54" t="str">
        <f>IF(B280="","",VLOOKUP(B280,学生信息汇总!A:E,2,0))</f>
        <v/>
      </c>
      <c r="D280" s="50"/>
      <c r="E280" s="55" t="str">
        <f t="shared" ca="1" si="36"/>
        <v/>
      </c>
      <c r="F280" s="51"/>
      <c r="G280" s="55" t="str">
        <f t="shared" ca="1" si="37"/>
        <v/>
      </c>
      <c r="H280" s="50"/>
      <c r="I280" s="55" t="str">
        <f t="shared" ca="1" si="38"/>
        <v/>
      </c>
      <c r="J280" s="50"/>
      <c r="K280" s="55" t="str">
        <f t="shared" ca="1" si="39"/>
        <v/>
      </c>
      <c r="L280" s="64" t="str">
        <f>IF(B280="","",D280+F280+H280+J280+#REF!+#REF!+#REF!+#REF!+#REF!)</f>
        <v/>
      </c>
      <c r="M280" s="55" t="str">
        <f t="shared" ca="1" si="40"/>
        <v/>
      </c>
    </row>
    <row r="281" spans="1:13" ht="19.95" customHeight="1" x14ac:dyDescent="0.25">
      <c r="A281" s="52"/>
      <c r="B281" s="51"/>
      <c r="C281" s="54" t="str">
        <f>IF(B281="","",VLOOKUP(B281,学生信息汇总!A:E,2,0))</f>
        <v/>
      </c>
      <c r="D281" s="50"/>
      <c r="E281" s="55" t="str">
        <f t="shared" ca="1" si="36"/>
        <v/>
      </c>
      <c r="F281" s="51"/>
      <c r="G281" s="55" t="str">
        <f t="shared" ca="1" si="37"/>
        <v/>
      </c>
      <c r="H281" s="50"/>
      <c r="I281" s="55" t="str">
        <f t="shared" ca="1" si="38"/>
        <v/>
      </c>
      <c r="J281" s="50"/>
      <c r="K281" s="55" t="str">
        <f t="shared" ca="1" si="39"/>
        <v/>
      </c>
      <c r="L281" s="64" t="str">
        <f>IF(B281="","",D281+F281+H281+J281+#REF!+#REF!+#REF!+#REF!+#REF!)</f>
        <v/>
      </c>
      <c r="M281" s="55" t="str">
        <f t="shared" ca="1" si="40"/>
        <v/>
      </c>
    </row>
    <row r="282" spans="1:13" ht="19.95" customHeight="1" x14ac:dyDescent="0.25">
      <c r="A282" s="52"/>
      <c r="B282" s="51"/>
      <c r="C282" s="54" t="str">
        <f>IF(B282="","",VLOOKUP(B282,学生信息汇总!A:E,2,0))</f>
        <v/>
      </c>
      <c r="D282" s="50"/>
      <c r="E282" s="55" t="str">
        <f t="shared" ca="1" si="36"/>
        <v/>
      </c>
      <c r="F282" s="51"/>
      <c r="G282" s="55" t="str">
        <f t="shared" ca="1" si="37"/>
        <v/>
      </c>
      <c r="H282" s="50"/>
      <c r="I282" s="55" t="str">
        <f t="shared" ca="1" si="38"/>
        <v/>
      </c>
      <c r="J282" s="50"/>
      <c r="K282" s="55" t="str">
        <f t="shared" ca="1" si="39"/>
        <v/>
      </c>
      <c r="L282" s="64" t="str">
        <f>IF(B282="","",D282+F282+H282+J282+#REF!+#REF!+#REF!+#REF!+#REF!)</f>
        <v/>
      </c>
      <c r="M282" s="55" t="str">
        <f t="shared" ca="1" si="40"/>
        <v/>
      </c>
    </row>
    <row r="283" spans="1:13" ht="19.95" customHeight="1" x14ac:dyDescent="0.25">
      <c r="A283" s="52"/>
      <c r="B283" s="51"/>
      <c r="C283" s="54" t="str">
        <f>IF(B283="","",VLOOKUP(B283,学生信息汇总!A:E,2,0))</f>
        <v/>
      </c>
      <c r="D283" s="50"/>
      <c r="E283" s="55" t="str">
        <f t="shared" ca="1" si="36"/>
        <v/>
      </c>
      <c r="F283" s="51"/>
      <c r="G283" s="55" t="str">
        <f t="shared" ca="1" si="37"/>
        <v/>
      </c>
      <c r="H283" s="50"/>
      <c r="I283" s="55" t="str">
        <f t="shared" ca="1" si="38"/>
        <v/>
      </c>
      <c r="J283" s="50"/>
      <c r="K283" s="55" t="str">
        <f t="shared" ca="1" si="39"/>
        <v/>
      </c>
      <c r="L283" s="64" t="str">
        <f>IF(B283="","",D283+F283+H283+J283+#REF!+#REF!+#REF!+#REF!+#REF!)</f>
        <v/>
      </c>
      <c r="M283" s="55" t="str">
        <f t="shared" ca="1" si="40"/>
        <v/>
      </c>
    </row>
    <row r="284" spans="1:13" ht="19.95" customHeight="1" x14ac:dyDescent="0.25">
      <c r="A284" s="52"/>
      <c r="B284" s="51"/>
      <c r="C284" s="54" t="str">
        <f>IF(B284="","",VLOOKUP(B284,学生信息汇总!A:E,2,0))</f>
        <v/>
      </c>
      <c r="D284" s="50"/>
      <c r="E284" s="55" t="str">
        <f t="shared" ca="1" si="36"/>
        <v/>
      </c>
      <c r="F284" s="51"/>
      <c r="G284" s="55" t="str">
        <f t="shared" ca="1" si="37"/>
        <v/>
      </c>
      <c r="H284" s="50"/>
      <c r="I284" s="55" t="str">
        <f t="shared" ca="1" si="38"/>
        <v/>
      </c>
      <c r="J284" s="50"/>
      <c r="K284" s="55" t="str">
        <f t="shared" ca="1" si="39"/>
        <v/>
      </c>
      <c r="L284" s="64" t="str">
        <f>IF(B284="","",D284+F284+H284+J284+#REF!+#REF!+#REF!+#REF!+#REF!)</f>
        <v/>
      </c>
      <c r="M284" s="55" t="str">
        <f t="shared" ca="1" si="40"/>
        <v/>
      </c>
    </row>
    <row r="285" spans="1:13" ht="19.95" customHeight="1" x14ac:dyDescent="0.25">
      <c r="A285" s="52"/>
      <c r="B285" s="51"/>
      <c r="C285" s="54" t="str">
        <f>IF(B285="","",VLOOKUP(B285,学生信息汇总!A:E,2,0))</f>
        <v/>
      </c>
      <c r="D285" s="50"/>
      <c r="E285" s="55" t="str">
        <f t="shared" ca="1" si="36"/>
        <v/>
      </c>
      <c r="F285" s="51"/>
      <c r="G285" s="55" t="str">
        <f t="shared" ca="1" si="37"/>
        <v/>
      </c>
      <c r="H285" s="50"/>
      <c r="I285" s="55" t="str">
        <f t="shared" ca="1" si="38"/>
        <v/>
      </c>
      <c r="J285" s="50"/>
      <c r="K285" s="55" t="str">
        <f t="shared" ca="1" si="39"/>
        <v/>
      </c>
      <c r="L285" s="64" t="str">
        <f>IF(B285="","",D285+F285+H285+J285+#REF!+#REF!+#REF!+#REF!+#REF!)</f>
        <v/>
      </c>
      <c r="M285" s="55" t="str">
        <f t="shared" ca="1" si="40"/>
        <v/>
      </c>
    </row>
    <row r="286" spans="1:13" ht="19.95" customHeight="1" x14ac:dyDescent="0.25">
      <c r="A286" s="52"/>
      <c r="B286" s="51"/>
      <c r="C286" s="54" t="str">
        <f>IF(B286="","",VLOOKUP(B286,学生信息汇总!A:E,2,0))</f>
        <v/>
      </c>
      <c r="D286" s="50"/>
      <c r="E286" s="55" t="str">
        <f t="shared" ca="1" si="36"/>
        <v/>
      </c>
      <c r="F286" s="51"/>
      <c r="G286" s="55" t="str">
        <f t="shared" ca="1" si="37"/>
        <v/>
      </c>
      <c r="H286" s="50"/>
      <c r="I286" s="55" t="str">
        <f t="shared" ca="1" si="38"/>
        <v/>
      </c>
      <c r="J286" s="50"/>
      <c r="K286" s="55" t="str">
        <f t="shared" ca="1" si="39"/>
        <v/>
      </c>
      <c r="L286" s="64" t="str">
        <f>IF(B286="","",D286+F286+H286+J286+#REF!+#REF!+#REF!+#REF!+#REF!)</f>
        <v/>
      </c>
      <c r="M286" s="55" t="str">
        <f t="shared" ca="1" si="40"/>
        <v/>
      </c>
    </row>
    <row r="287" spans="1:13" ht="19.95" customHeight="1" x14ac:dyDescent="0.25">
      <c r="A287" s="52"/>
      <c r="B287" s="51"/>
      <c r="C287" s="54" t="str">
        <f>IF(B287="","",VLOOKUP(B287,学生信息汇总!A:E,2,0))</f>
        <v/>
      </c>
      <c r="D287" s="50"/>
      <c r="E287" s="55" t="str">
        <f t="shared" ca="1" si="36"/>
        <v/>
      </c>
      <c r="F287" s="51"/>
      <c r="G287" s="55" t="str">
        <f t="shared" ca="1" si="37"/>
        <v/>
      </c>
      <c r="H287" s="50"/>
      <c r="I287" s="55" t="str">
        <f t="shared" ca="1" si="38"/>
        <v/>
      </c>
      <c r="J287" s="50"/>
      <c r="K287" s="55" t="str">
        <f t="shared" ca="1" si="39"/>
        <v/>
      </c>
      <c r="L287" s="64" t="str">
        <f>IF(B287="","",D287+F287+H287+J287+#REF!+#REF!+#REF!+#REF!+#REF!)</f>
        <v/>
      </c>
      <c r="M287" s="55" t="str">
        <f t="shared" ca="1" si="40"/>
        <v/>
      </c>
    </row>
    <row r="288" spans="1:13" ht="19.95" customHeight="1" x14ac:dyDescent="0.25">
      <c r="A288" s="52"/>
      <c r="B288" s="51"/>
      <c r="C288" s="54" t="str">
        <f>IF(B288="","",VLOOKUP(B288,学生信息汇总!A:E,2,0))</f>
        <v/>
      </c>
      <c r="D288" s="50"/>
      <c r="E288" s="55" t="str">
        <f t="shared" ca="1" si="36"/>
        <v/>
      </c>
      <c r="F288" s="51"/>
      <c r="G288" s="55" t="str">
        <f t="shared" ca="1" si="37"/>
        <v/>
      </c>
      <c r="H288" s="50"/>
      <c r="I288" s="55" t="str">
        <f t="shared" ca="1" si="38"/>
        <v/>
      </c>
      <c r="J288" s="50"/>
      <c r="K288" s="55" t="str">
        <f t="shared" ca="1" si="39"/>
        <v/>
      </c>
      <c r="L288" s="64" t="str">
        <f>IF(B288="","",D288+F288+H288+J288+#REF!+#REF!+#REF!+#REF!+#REF!)</f>
        <v/>
      </c>
      <c r="M288" s="55" t="str">
        <f t="shared" ca="1" si="40"/>
        <v/>
      </c>
    </row>
    <row r="289" spans="1:13" ht="19.95" customHeight="1" x14ac:dyDescent="0.25">
      <c r="A289" s="52"/>
      <c r="B289" s="51"/>
      <c r="C289" s="54" t="str">
        <f>IF(B289="","",VLOOKUP(B289,学生信息汇总!A:E,2,0))</f>
        <v/>
      </c>
      <c r="D289" s="50"/>
      <c r="E289" s="55" t="str">
        <f t="shared" ca="1" si="36"/>
        <v/>
      </c>
      <c r="F289" s="51"/>
      <c r="G289" s="55" t="str">
        <f t="shared" ca="1" si="37"/>
        <v/>
      </c>
      <c r="H289" s="50"/>
      <c r="I289" s="55" t="str">
        <f t="shared" ca="1" si="38"/>
        <v/>
      </c>
      <c r="J289" s="50"/>
      <c r="K289" s="55" t="str">
        <f t="shared" ca="1" si="39"/>
        <v/>
      </c>
      <c r="L289" s="64" t="str">
        <f>IF(B289="","",D289+F289+H289+J289+#REF!+#REF!+#REF!+#REF!+#REF!)</f>
        <v/>
      </c>
      <c r="M289" s="55" t="str">
        <f t="shared" ca="1" si="40"/>
        <v/>
      </c>
    </row>
    <row r="290" spans="1:13" ht="19.95" customHeight="1" x14ac:dyDescent="0.25">
      <c r="A290" s="52"/>
      <c r="B290" s="51"/>
      <c r="C290" s="54" t="str">
        <f>IF(B290="","",VLOOKUP(B290,学生信息汇总!A:E,2,0))</f>
        <v/>
      </c>
      <c r="D290" s="50"/>
      <c r="E290" s="55" t="str">
        <f t="shared" ca="1" si="36"/>
        <v/>
      </c>
      <c r="F290" s="51"/>
      <c r="G290" s="55" t="str">
        <f t="shared" ca="1" si="37"/>
        <v/>
      </c>
      <c r="H290" s="50"/>
      <c r="I290" s="55" t="str">
        <f t="shared" ca="1" si="38"/>
        <v/>
      </c>
      <c r="J290" s="50"/>
      <c r="K290" s="55" t="str">
        <f t="shared" ca="1" si="39"/>
        <v/>
      </c>
      <c r="L290" s="64" t="str">
        <f>IF(B290="","",D290+F290+H290+J290+#REF!+#REF!+#REF!+#REF!+#REF!)</f>
        <v/>
      </c>
      <c r="M290" s="55" t="str">
        <f t="shared" ca="1" si="40"/>
        <v/>
      </c>
    </row>
    <row r="291" spans="1:13" ht="19.95" customHeight="1" x14ac:dyDescent="0.25">
      <c r="A291" s="52"/>
      <c r="B291" s="51"/>
      <c r="C291" s="54" t="str">
        <f>IF(B291="","",VLOOKUP(B291,学生信息汇总!A:E,2,0))</f>
        <v/>
      </c>
      <c r="D291" s="50"/>
      <c r="E291" s="55" t="str">
        <f t="shared" ca="1" si="36"/>
        <v/>
      </c>
      <c r="F291" s="51"/>
      <c r="G291" s="55" t="str">
        <f t="shared" ca="1" si="37"/>
        <v/>
      </c>
      <c r="H291" s="50"/>
      <c r="I291" s="55" t="str">
        <f t="shared" ca="1" si="38"/>
        <v/>
      </c>
      <c r="J291" s="50"/>
      <c r="K291" s="55" t="str">
        <f t="shared" ca="1" si="39"/>
        <v/>
      </c>
      <c r="L291" s="64" t="str">
        <f>IF(B291="","",D291+F291+H291+J291+#REF!+#REF!+#REF!+#REF!+#REF!)</f>
        <v/>
      </c>
      <c r="M291" s="55" t="str">
        <f t="shared" ca="1" si="40"/>
        <v/>
      </c>
    </row>
    <row r="292" spans="1:13" ht="19.95" customHeight="1" x14ac:dyDescent="0.25">
      <c r="A292" s="52"/>
      <c r="B292" s="51"/>
      <c r="C292" s="54" t="str">
        <f>IF(B292="","",VLOOKUP(B292,学生信息汇总!A:E,2,0))</f>
        <v/>
      </c>
      <c r="D292" s="50"/>
      <c r="E292" s="55" t="str">
        <f t="shared" ca="1" si="36"/>
        <v/>
      </c>
      <c r="F292" s="51"/>
      <c r="G292" s="55" t="str">
        <f t="shared" ca="1" si="37"/>
        <v/>
      </c>
      <c r="H292" s="50"/>
      <c r="I292" s="55" t="str">
        <f t="shared" ca="1" si="38"/>
        <v/>
      </c>
      <c r="J292" s="50"/>
      <c r="K292" s="55" t="str">
        <f t="shared" ca="1" si="39"/>
        <v/>
      </c>
      <c r="L292" s="64" t="str">
        <f>IF(B292="","",D292+F292+H292+J292+#REF!+#REF!+#REF!+#REF!+#REF!)</f>
        <v/>
      </c>
      <c r="M292" s="55" t="str">
        <f t="shared" ca="1" si="40"/>
        <v/>
      </c>
    </row>
    <row r="293" spans="1:13" ht="19.95" customHeight="1" x14ac:dyDescent="0.25">
      <c r="A293" s="52"/>
      <c r="B293" s="51"/>
      <c r="C293" s="54" t="str">
        <f>IF(B293="","",VLOOKUP(B293,学生信息汇总!A:E,2,0))</f>
        <v/>
      </c>
      <c r="D293" s="50"/>
      <c r="E293" s="55" t="str">
        <f t="shared" ca="1" si="36"/>
        <v/>
      </c>
      <c r="F293" s="51"/>
      <c r="G293" s="55" t="str">
        <f t="shared" ca="1" si="37"/>
        <v/>
      </c>
      <c r="H293" s="50"/>
      <c r="I293" s="55" t="str">
        <f t="shared" ca="1" si="38"/>
        <v/>
      </c>
      <c r="J293" s="50"/>
      <c r="K293" s="55" t="str">
        <f t="shared" ca="1" si="39"/>
        <v/>
      </c>
      <c r="L293" s="64" t="str">
        <f>IF(B293="","",D293+F293+H293+J293+#REF!+#REF!+#REF!+#REF!+#REF!)</f>
        <v/>
      </c>
      <c r="M293" s="55" t="str">
        <f t="shared" ca="1" si="40"/>
        <v/>
      </c>
    </row>
    <row r="294" spans="1:13" ht="19.95" customHeight="1" x14ac:dyDescent="0.25">
      <c r="A294" s="52"/>
      <c r="B294" s="51"/>
      <c r="C294" s="54" t="str">
        <f>IF(B294="","",VLOOKUP(B294,学生信息汇总!A:E,2,0))</f>
        <v/>
      </c>
      <c r="D294" s="50"/>
      <c r="E294" s="55" t="str">
        <f t="shared" ca="1" si="36"/>
        <v/>
      </c>
      <c r="F294" s="51"/>
      <c r="G294" s="55" t="str">
        <f t="shared" ca="1" si="37"/>
        <v/>
      </c>
      <c r="H294" s="50"/>
      <c r="I294" s="55" t="str">
        <f t="shared" ca="1" si="38"/>
        <v/>
      </c>
      <c r="J294" s="50"/>
      <c r="K294" s="55" t="str">
        <f t="shared" ca="1" si="39"/>
        <v/>
      </c>
      <c r="L294" s="64" t="str">
        <f>IF(B294="","",D294+F294+H294+J294+#REF!+#REF!+#REF!+#REF!+#REF!)</f>
        <v/>
      </c>
      <c r="M294" s="55" t="str">
        <f t="shared" ca="1" si="40"/>
        <v/>
      </c>
    </row>
    <row r="295" spans="1:13" ht="19.95" customHeight="1" x14ac:dyDescent="0.25">
      <c r="A295" s="52"/>
      <c r="B295" s="51"/>
      <c r="C295" s="54" t="str">
        <f>IF(B295="","",VLOOKUP(B295,学生信息汇总!A:E,2,0))</f>
        <v/>
      </c>
      <c r="D295" s="50"/>
      <c r="E295" s="55" t="str">
        <f t="shared" ca="1" si="36"/>
        <v/>
      </c>
      <c r="F295" s="51"/>
      <c r="G295" s="55" t="str">
        <f t="shared" ca="1" si="37"/>
        <v/>
      </c>
      <c r="H295" s="50"/>
      <c r="I295" s="55" t="str">
        <f t="shared" ca="1" si="38"/>
        <v/>
      </c>
      <c r="J295" s="50"/>
      <c r="K295" s="55" t="str">
        <f t="shared" ca="1" si="39"/>
        <v/>
      </c>
      <c r="L295" s="64" t="str">
        <f>IF(B295="","",D295+F295+H295+J295+#REF!+#REF!+#REF!+#REF!+#REF!)</f>
        <v/>
      </c>
      <c r="M295" s="55" t="str">
        <f t="shared" ca="1" si="40"/>
        <v/>
      </c>
    </row>
    <row r="296" spans="1:13" ht="19.95" customHeight="1" x14ac:dyDescent="0.25">
      <c r="A296" s="52"/>
      <c r="B296" s="51"/>
      <c r="C296" s="54" t="str">
        <f>IF(B296="","",VLOOKUP(B296,学生信息汇总!A:E,2,0))</f>
        <v/>
      </c>
      <c r="D296" s="50"/>
      <c r="E296" s="55" t="str">
        <f t="shared" ca="1" si="36"/>
        <v/>
      </c>
      <c r="F296" s="51"/>
      <c r="G296" s="55" t="str">
        <f t="shared" ca="1" si="37"/>
        <v/>
      </c>
      <c r="H296" s="50"/>
      <c r="I296" s="55" t="str">
        <f t="shared" ca="1" si="38"/>
        <v/>
      </c>
      <c r="J296" s="50"/>
      <c r="K296" s="55" t="str">
        <f t="shared" ca="1" si="39"/>
        <v/>
      </c>
      <c r="L296" s="64" t="str">
        <f>IF(B296="","",D296+F296+H296+J296+#REF!+#REF!+#REF!+#REF!+#REF!)</f>
        <v/>
      </c>
      <c r="M296" s="55" t="str">
        <f t="shared" ca="1" si="40"/>
        <v/>
      </c>
    </row>
    <row r="297" spans="1:13" ht="19.95" customHeight="1" x14ac:dyDescent="0.25">
      <c r="A297" s="52"/>
      <c r="B297" s="51"/>
      <c r="C297" s="54" t="str">
        <f>IF(B297="","",VLOOKUP(B297,学生信息汇总!A:E,2,0))</f>
        <v/>
      </c>
      <c r="D297" s="50"/>
      <c r="E297" s="55" t="str">
        <f t="shared" ca="1" si="36"/>
        <v/>
      </c>
      <c r="F297" s="51"/>
      <c r="G297" s="55" t="str">
        <f t="shared" ca="1" si="37"/>
        <v/>
      </c>
      <c r="H297" s="50"/>
      <c r="I297" s="55" t="str">
        <f t="shared" ca="1" si="38"/>
        <v/>
      </c>
      <c r="J297" s="50"/>
      <c r="K297" s="55" t="str">
        <f t="shared" ca="1" si="39"/>
        <v/>
      </c>
      <c r="L297" s="64" t="str">
        <f>IF(B297="","",D297+F297+H297+J297+#REF!+#REF!+#REF!+#REF!+#REF!)</f>
        <v/>
      </c>
      <c r="M297" s="55" t="str">
        <f t="shared" ca="1" si="40"/>
        <v/>
      </c>
    </row>
    <row r="298" spans="1:13" ht="19.95" customHeight="1" x14ac:dyDescent="0.25">
      <c r="A298" s="52"/>
      <c r="B298" s="51"/>
      <c r="C298" s="54" t="str">
        <f>IF(B298="","",VLOOKUP(B298,学生信息汇总!A:E,2,0))</f>
        <v/>
      </c>
      <c r="D298" s="50"/>
      <c r="E298" s="55" t="str">
        <f t="shared" ca="1" si="36"/>
        <v/>
      </c>
      <c r="F298" s="51"/>
      <c r="G298" s="55" t="str">
        <f t="shared" ca="1" si="37"/>
        <v/>
      </c>
      <c r="H298" s="50"/>
      <c r="I298" s="55" t="str">
        <f t="shared" ca="1" si="38"/>
        <v/>
      </c>
      <c r="J298" s="50"/>
      <c r="K298" s="55" t="str">
        <f t="shared" ca="1" si="39"/>
        <v/>
      </c>
      <c r="L298" s="64" t="str">
        <f>IF(B298="","",D298+F298+H298+J298+#REF!+#REF!+#REF!+#REF!+#REF!)</f>
        <v/>
      </c>
      <c r="M298" s="55" t="str">
        <f t="shared" ca="1" si="40"/>
        <v/>
      </c>
    </row>
    <row r="299" spans="1:13" ht="19.95" customHeight="1" x14ac:dyDescent="0.25">
      <c r="A299" s="52"/>
      <c r="B299" s="51"/>
      <c r="C299" s="54" t="str">
        <f>IF(B299="","",VLOOKUP(B299,学生信息汇总!A:E,2,0))</f>
        <v/>
      </c>
      <c r="D299" s="50"/>
      <c r="E299" s="55" t="str">
        <f t="shared" ca="1" si="36"/>
        <v/>
      </c>
      <c r="F299" s="51"/>
      <c r="G299" s="55" t="str">
        <f t="shared" ca="1" si="37"/>
        <v/>
      </c>
      <c r="H299" s="50"/>
      <c r="I299" s="55" t="str">
        <f t="shared" ca="1" si="38"/>
        <v/>
      </c>
      <c r="J299" s="50"/>
      <c r="K299" s="55" t="str">
        <f t="shared" ca="1" si="39"/>
        <v/>
      </c>
      <c r="L299" s="64" t="str">
        <f>IF(B299="","",D299+F299+H299+J299+#REF!+#REF!+#REF!+#REF!+#REF!)</f>
        <v/>
      </c>
      <c r="M299" s="55" t="str">
        <f t="shared" ca="1" si="40"/>
        <v/>
      </c>
    </row>
    <row r="300" spans="1:13" ht="19.95" customHeight="1" x14ac:dyDescent="0.25">
      <c r="A300" s="52"/>
      <c r="B300" s="51"/>
      <c r="C300" s="54" t="str">
        <f>IF(B300="","",VLOOKUP(B300,学生信息汇总!A:E,2,0))</f>
        <v/>
      </c>
      <c r="D300" s="50"/>
      <c r="E300" s="55" t="str">
        <f t="shared" ref="E300:E363" ca="1" si="41">IF(D300="","",RANK(D300,INDIRECT(ADDRESS(MATCH(VLOOKUP(A300,A:A,1,0),A:A,0),6)&amp;":"&amp;ADDRESS((MATCH(VLOOKUP(A300,A:A,1,0),A:A,0)+COUNTIF(A:A,A300)-1),6))))</f>
        <v/>
      </c>
      <c r="F300" s="51"/>
      <c r="G300" s="55" t="str">
        <f t="shared" ref="G300:G363" ca="1" si="42">IF(F300="","",RANK(F300,INDIRECT(ADDRESS(MATCH(VLOOKUP(A300,A:A,1,0),A:A,0),8)&amp;":"&amp;ADDRESS((MATCH(VLOOKUP(A300,A:A,1,0),A:A,0)+COUNTIF(A:A,A300)-1),8))))</f>
        <v/>
      </c>
      <c r="H300" s="50"/>
      <c r="I300" s="55" t="str">
        <f t="shared" ref="I300:I363" ca="1" si="43">IF(H300="","",RANK(H300,INDIRECT(ADDRESS(MATCH(VLOOKUP(A300,A:A,1,0),A:A,0),10)&amp;":"&amp;ADDRESS((MATCH(VLOOKUP(A300,A:A,1,0),A:A,0)+COUNTIF(A:A,A300)-1),10))))</f>
        <v/>
      </c>
      <c r="J300" s="50"/>
      <c r="K300" s="55" t="str">
        <f t="shared" ref="K300:K363" ca="1" si="44">IF(J300="","",RANK(J300,INDIRECT(ADDRESS(MATCH(VLOOKUP(A300,A:A,1,0),A:A,0),12)&amp;":"&amp;ADDRESS((MATCH(VLOOKUP(A300,A:A,1,0),A:A,0)+COUNTIF(A:A,A300)-1),12))))</f>
        <v/>
      </c>
      <c r="L300" s="64" t="str">
        <f>IF(B300="","",D300+F300+H300+J300+#REF!+#REF!+#REF!+#REF!+#REF!)</f>
        <v/>
      </c>
      <c r="M300" s="55" t="str">
        <f t="shared" ref="M300:M363" ca="1" si="45">IF(L300="","",RANK(L300,INDIRECT(ADDRESS(MATCH(VLOOKUP(A300,A:A,1,0),A:A,0),26)&amp;":"&amp;ADDRESS((MATCH(VLOOKUP(A300,A:A,1,0),A:A,0)+COUNTIF(A:A,A300)-1),26))))</f>
        <v/>
      </c>
    </row>
    <row r="301" spans="1:13" ht="19.95" customHeight="1" x14ac:dyDescent="0.25">
      <c r="A301" s="52"/>
      <c r="B301" s="51"/>
      <c r="C301" s="54" t="str">
        <f>IF(B301="","",VLOOKUP(B301,学生信息汇总!A:E,2,0))</f>
        <v/>
      </c>
      <c r="D301" s="50"/>
      <c r="E301" s="55" t="str">
        <f t="shared" ca="1" si="41"/>
        <v/>
      </c>
      <c r="F301" s="51"/>
      <c r="G301" s="55" t="str">
        <f t="shared" ca="1" si="42"/>
        <v/>
      </c>
      <c r="H301" s="50"/>
      <c r="I301" s="55" t="str">
        <f t="shared" ca="1" si="43"/>
        <v/>
      </c>
      <c r="J301" s="50"/>
      <c r="K301" s="55" t="str">
        <f t="shared" ca="1" si="44"/>
        <v/>
      </c>
      <c r="L301" s="64" t="str">
        <f>IF(B301="","",D301+F301+H301+J301+#REF!+#REF!+#REF!+#REF!+#REF!)</f>
        <v/>
      </c>
      <c r="M301" s="55" t="str">
        <f t="shared" ca="1" si="45"/>
        <v/>
      </c>
    </row>
    <row r="302" spans="1:13" ht="19.95" customHeight="1" x14ac:dyDescent="0.25">
      <c r="A302" s="52"/>
      <c r="B302" s="51"/>
      <c r="C302" s="54" t="str">
        <f>IF(B302="","",VLOOKUP(B302,学生信息汇总!A:E,2,0))</f>
        <v/>
      </c>
      <c r="D302" s="50"/>
      <c r="E302" s="55" t="str">
        <f t="shared" ca="1" si="41"/>
        <v/>
      </c>
      <c r="F302" s="51"/>
      <c r="G302" s="55" t="str">
        <f t="shared" ca="1" si="42"/>
        <v/>
      </c>
      <c r="H302" s="50"/>
      <c r="I302" s="55" t="str">
        <f t="shared" ca="1" si="43"/>
        <v/>
      </c>
      <c r="J302" s="50"/>
      <c r="K302" s="55" t="str">
        <f t="shared" ca="1" si="44"/>
        <v/>
      </c>
      <c r="L302" s="64" t="str">
        <f>IF(B302="","",D302+F302+H302+J302+#REF!+#REF!+#REF!+#REF!+#REF!)</f>
        <v/>
      </c>
      <c r="M302" s="55" t="str">
        <f t="shared" ca="1" si="45"/>
        <v/>
      </c>
    </row>
    <row r="303" spans="1:13" ht="19.95" customHeight="1" x14ac:dyDescent="0.25">
      <c r="A303" s="52"/>
      <c r="B303" s="51"/>
      <c r="C303" s="54" t="str">
        <f>IF(B303="","",VLOOKUP(B303,学生信息汇总!A:E,2,0))</f>
        <v/>
      </c>
      <c r="D303" s="50"/>
      <c r="E303" s="55" t="str">
        <f t="shared" ca="1" si="41"/>
        <v/>
      </c>
      <c r="F303" s="51"/>
      <c r="G303" s="55" t="str">
        <f t="shared" ca="1" si="42"/>
        <v/>
      </c>
      <c r="H303" s="50"/>
      <c r="I303" s="55" t="str">
        <f t="shared" ca="1" si="43"/>
        <v/>
      </c>
      <c r="J303" s="50"/>
      <c r="K303" s="55" t="str">
        <f t="shared" ca="1" si="44"/>
        <v/>
      </c>
      <c r="L303" s="64" t="str">
        <f>IF(B303="","",D303+F303+H303+J303+#REF!+#REF!+#REF!+#REF!+#REF!)</f>
        <v/>
      </c>
      <c r="M303" s="55" t="str">
        <f t="shared" ca="1" si="45"/>
        <v/>
      </c>
    </row>
    <row r="304" spans="1:13" ht="19.95" customHeight="1" x14ac:dyDescent="0.25">
      <c r="A304" s="52"/>
      <c r="B304" s="51"/>
      <c r="C304" s="54" t="str">
        <f>IF(B304="","",VLOOKUP(B304,学生信息汇总!A:E,2,0))</f>
        <v/>
      </c>
      <c r="D304" s="50"/>
      <c r="E304" s="55" t="str">
        <f t="shared" ca="1" si="41"/>
        <v/>
      </c>
      <c r="F304" s="51"/>
      <c r="G304" s="55" t="str">
        <f t="shared" ca="1" si="42"/>
        <v/>
      </c>
      <c r="H304" s="50"/>
      <c r="I304" s="55" t="str">
        <f t="shared" ca="1" si="43"/>
        <v/>
      </c>
      <c r="J304" s="50"/>
      <c r="K304" s="55" t="str">
        <f t="shared" ca="1" si="44"/>
        <v/>
      </c>
      <c r="L304" s="64" t="str">
        <f>IF(B304="","",D304+F304+H304+J304+#REF!+#REF!+#REF!+#REF!+#REF!)</f>
        <v/>
      </c>
      <c r="M304" s="55" t="str">
        <f t="shared" ca="1" si="45"/>
        <v/>
      </c>
    </row>
    <row r="305" spans="1:13" ht="19.95" customHeight="1" x14ac:dyDescent="0.25">
      <c r="A305" s="52"/>
      <c r="B305" s="51"/>
      <c r="C305" s="54" t="str">
        <f>IF(B305="","",VLOOKUP(B305,学生信息汇总!A:E,2,0))</f>
        <v/>
      </c>
      <c r="D305" s="50"/>
      <c r="E305" s="55" t="str">
        <f t="shared" ca="1" si="41"/>
        <v/>
      </c>
      <c r="F305" s="51"/>
      <c r="G305" s="55" t="str">
        <f t="shared" ca="1" si="42"/>
        <v/>
      </c>
      <c r="H305" s="50"/>
      <c r="I305" s="55" t="str">
        <f t="shared" ca="1" si="43"/>
        <v/>
      </c>
      <c r="J305" s="50"/>
      <c r="K305" s="55" t="str">
        <f t="shared" ca="1" si="44"/>
        <v/>
      </c>
      <c r="L305" s="64" t="str">
        <f>IF(B305="","",D305+F305+H305+J305+#REF!+#REF!+#REF!+#REF!+#REF!)</f>
        <v/>
      </c>
      <c r="M305" s="55" t="str">
        <f t="shared" ca="1" si="45"/>
        <v/>
      </c>
    </row>
    <row r="306" spans="1:13" ht="19.95" customHeight="1" x14ac:dyDescent="0.25">
      <c r="A306" s="52"/>
      <c r="B306" s="51"/>
      <c r="C306" s="54" t="str">
        <f>IF(B306="","",VLOOKUP(B306,学生信息汇总!A:E,2,0))</f>
        <v/>
      </c>
      <c r="D306" s="50"/>
      <c r="E306" s="55" t="str">
        <f t="shared" ca="1" si="41"/>
        <v/>
      </c>
      <c r="F306" s="51"/>
      <c r="G306" s="55" t="str">
        <f t="shared" ca="1" si="42"/>
        <v/>
      </c>
      <c r="H306" s="50"/>
      <c r="I306" s="55" t="str">
        <f t="shared" ca="1" si="43"/>
        <v/>
      </c>
      <c r="J306" s="50"/>
      <c r="K306" s="55" t="str">
        <f t="shared" ca="1" si="44"/>
        <v/>
      </c>
      <c r="L306" s="64" t="str">
        <f>IF(B306="","",D306+F306+H306+J306+#REF!+#REF!+#REF!+#REF!+#REF!)</f>
        <v/>
      </c>
      <c r="M306" s="55" t="str">
        <f t="shared" ca="1" si="45"/>
        <v/>
      </c>
    </row>
    <row r="307" spans="1:13" ht="19.95" customHeight="1" x14ac:dyDescent="0.25">
      <c r="A307" s="52"/>
      <c r="B307" s="51"/>
      <c r="C307" s="54" t="str">
        <f>IF(B307="","",VLOOKUP(B307,学生信息汇总!A:E,2,0))</f>
        <v/>
      </c>
      <c r="D307" s="50"/>
      <c r="E307" s="55" t="str">
        <f t="shared" ca="1" si="41"/>
        <v/>
      </c>
      <c r="F307" s="51"/>
      <c r="G307" s="55" t="str">
        <f t="shared" ca="1" si="42"/>
        <v/>
      </c>
      <c r="H307" s="50"/>
      <c r="I307" s="55" t="str">
        <f t="shared" ca="1" si="43"/>
        <v/>
      </c>
      <c r="J307" s="50"/>
      <c r="K307" s="55" t="str">
        <f t="shared" ca="1" si="44"/>
        <v/>
      </c>
      <c r="L307" s="64" t="str">
        <f>IF(B307="","",D307+F307+H307+J307+#REF!+#REF!+#REF!+#REF!+#REF!)</f>
        <v/>
      </c>
      <c r="M307" s="55" t="str">
        <f t="shared" ca="1" si="45"/>
        <v/>
      </c>
    </row>
    <row r="308" spans="1:13" ht="19.95" customHeight="1" x14ac:dyDescent="0.25">
      <c r="A308" s="52"/>
      <c r="B308" s="51"/>
      <c r="C308" s="54" t="str">
        <f>IF(B308="","",VLOOKUP(B308,学生信息汇总!A:E,2,0))</f>
        <v/>
      </c>
      <c r="D308" s="50"/>
      <c r="E308" s="55" t="str">
        <f t="shared" ca="1" si="41"/>
        <v/>
      </c>
      <c r="F308" s="51"/>
      <c r="G308" s="55" t="str">
        <f t="shared" ca="1" si="42"/>
        <v/>
      </c>
      <c r="H308" s="50"/>
      <c r="I308" s="55" t="str">
        <f t="shared" ca="1" si="43"/>
        <v/>
      </c>
      <c r="J308" s="50"/>
      <c r="K308" s="55" t="str">
        <f t="shared" ca="1" si="44"/>
        <v/>
      </c>
      <c r="L308" s="64" t="str">
        <f>IF(B308="","",D308+F308+H308+J308+#REF!+#REF!+#REF!+#REF!+#REF!)</f>
        <v/>
      </c>
      <c r="M308" s="55" t="str">
        <f t="shared" ca="1" si="45"/>
        <v/>
      </c>
    </row>
    <row r="309" spans="1:13" ht="19.95" customHeight="1" x14ac:dyDescent="0.25">
      <c r="A309" s="52"/>
      <c r="B309" s="51"/>
      <c r="C309" s="54" t="str">
        <f>IF(B309="","",VLOOKUP(B309,学生信息汇总!A:E,2,0))</f>
        <v/>
      </c>
      <c r="D309" s="50"/>
      <c r="E309" s="55" t="str">
        <f t="shared" ca="1" si="41"/>
        <v/>
      </c>
      <c r="F309" s="51"/>
      <c r="G309" s="55" t="str">
        <f t="shared" ca="1" si="42"/>
        <v/>
      </c>
      <c r="H309" s="50"/>
      <c r="I309" s="55" t="str">
        <f t="shared" ca="1" si="43"/>
        <v/>
      </c>
      <c r="J309" s="50"/>
      <c r="K309" s="55" t="str">
        <f t="shared" ca="1" si="44"/>
        <v/>
      </c>
      <c r="L309" s="64" t="str">
        <f>IF(B309="","",D309+F309+H309+J309+#REF!+#REF!+#REF!+#REF!+#REF!)</f>
        <v/>
      </c>
      <c r="M309" s="55" t="str">
        <f t="shared" ca="1" si="45"/>
        <v/>
      </c>
    </row>
    <row r="310" spans="1:13" ht="19.95" customHeight="1" x14ac:dyDescent="0.25">
      <c r="A310" s="52"/>
      <c r="B310" s="51"/>
      <c r="C310" s="54" t="str">
        <f>IF(B310="","",VLOOKUP(B310,学生信息汇总!A:E,2,0))</f>
        <v/>
      </c>
      <c r="D310" s="50"/>
      <c r="E310" s="55" t="str">
        <f t="shared" ca="1" si="41"/>
        <v/>
      </c>
      <c r="F310" s="51"/>
      <c r="G310" s="55" t="str">
        <f t="shared" ca="1" si="42"/>
        <v/>
      </c>
      <c r="H310" s="50"/>
      <c r="I310" s="55" t="str">
        <f t="shared" ca="1" si="43"/>
        <v/>
      </c>
      <c r="J310" s="50"/>
      <c r="K310" s="55" t="str">
        <f t="shared" ca="1" si="44"/>
        <v/>
      </c>
      <c r="L310" s="64" t="str">
        <f>IF(B310="","",D310+F310+H310+J310+#REF!+#REF!+#REF!+#REF!+#REF!)</f>
        <v/>
      </c>
      <c r="M310" s="55" t="str">
        <f t="shared" ca="1" si="45"/>
        <v/>
      </c>
    </row>
    <row r="311" spans="1:13" ht="19.95" customHeight="1" x14ac:dyDescent="0.25">
      <c r="A311" s="52"/>
      <c r="B311" s="51"/>
      <c r="C311" s="54" t="str">
        <f>IF(B311="","",VLOOKUP(B311,学生信息汇总!A:E,2,0))</f>
        <v/>
      </c>
      <c r="D311" s="50"/>
      <c r="E311" s="55" t="str">
        <f t="shared" ca="1" si="41"/>
        <v/>
      </c>
      <c r="F311" s="51"/>
      <c r="G311" s="55" t="str">
        <f t="shared" ca="1" si="42"/>
        <v/>
      </c>
      <c r="H311" s="50"/>
      <c r="I311" s="55" t="str">
        <f t="shared" ca="1" si="43"/>
        <v/>
      </c>
      <c r="J311" s="50"/>
      <c r="K311" s="55" t="str">
        <f t="shared" ca="1" si="44"/>
        <v/>
      </c>
      <c r="L311" s="64" t="str">
        <f>IF(B311="","",D311+F311+H311+J311+#REF!+#REF!+#REF!+#REF!+#REF!)</f>
        <v/>
      </c>
      <c r="M311" s="55" t="str">
        <f t="shared" ca="1" si="45"/>
        <v/>
      </c>
    </row>
    <row r="312" spans="1:13" ht="19.95" customHeight="1" x14ac:dyDescent="0.25">
      <c r="A312" s="52"/>
      <c r="B312" s="51"/>
      <c r="C312" s="54" t="str">
        <f>IF(B312="","",VLOOKUP(B312,学生信息汇总!A:E,2,0))</f>
        <v/>
      </c>
      <c r="D312" s="50"/>
      <c r="E312" s="55" t="str">
        <f t="shared" ca="1" si="41"/>
        <v/>
      </c>
      <c r="F312" s="51"/>
      <c r="G312" s="55" t="str">
        <f t="shared" ca="1" si="42"/>
        <v/>
      </c>
      <c r="H312" s="50"/>
      <c r="I312" s="55" t="str">
        <f t="shared" ca="1" si="43"/>
        <v/>
      </c>
      <c r="J312" s="50"/>
      <c r="K312" s="55" t="str">
        <f t="shared" ca="1" si="44"/>
        <v/>
      </c>
      <c r="L312" s="64" t="str">
        <f>IF(B312="","",D312+F312+H312+J312+#REF!+#REF!+#REF!+#REF!+#REF!)</f>
        <v/>
      </c>
      <c r="M312" s="55" t="str">
        <f t="shared" ca="1" si="45"/>
        <v/>
      </c>
    </row>
    <row r="313" spans="1:13" ht="19.95" customHeight="1" x14ac:dyDescent="0.25">
      <c r="A313" s="52"/>
      <c r="B313" s="51"/>
      <c r="C313" s="54" t="str">
        <f>IF(B313="","",VLOOKUP(B313,学生信息汇总!A:E,2,0))</f>
        <v/>
      </c>
      <c r="D313" s="50"/>
      <c r="E313" s="55" t="str">
        <f t="shared" ca="1" si="41"/>
        <v/>
      </c>
      <c r="F313" s="51"/>
      <c r="G313" s="55" t="str">
        <f t="shared" ca="1" si="42"/>
        <v/>
      </c>
      <c r="H313" s="50"/>
      <c r="I313" s="55" t="str">
        <f t="shared" ca="1" si="43"/>
        <v/>
      </c>
      <c r="J313" s="50"/>
      <c r="K313" s="55" t="str">
        <f t="shared" ca="1" si="44"/>
        <v/>
      </c>
      <c r="L313" s="64" t="str">
        <f>IF(B313="","",D313+F313+H313+J313+#REF!+#REF!+#REF!+#REF!+#REF!)</f>
        <v/>
      </c>
      <c r="M313" s="55" t="str">
        <f t="shared" ca="1" si="45"/>
        <v/>
      </c>
    </row>
    <row r="314" spans="1:13" ht="19.95" customHeight="1" x14ac:dyDescent="0.25">
      <c r="A314" s="52"/>
      <c r="B314" s="51"/>
      <c r="C314" s="54" t="str">
        <f>IF(B314="","",VLOOKUP(B314,学生信息汇总!A:E,2,0))</f>
        <v/>
      </c>
      <c r="D314" s="50"/>
      <c r="E314" s="55" t="str">
        <f t="shared" ca="1" si="41"/>
        <v/>
      </c>
      <c r="F314" s="51"/>
      <c r="G314" s="55" t="str">
        <f t="shared" ca="1" si="42"/>
        <v/>
      </c>
      <c r="H314" s="50"/>
      <c r="I314" s="55" t="str">
        <f t="shared" ca="1" si="43"/>
        <v/>
      </c>
      <c r="J314" s="50"/>
      <c r="K314" s="55" t="str">
        <f t="shared" ca="1" si="44"/>
        <v/>
      </c>
      <c r="L314" s="64" t="str">
        <f>IF(B314="","",D314+F314+H314+J314+#REF!+#REF!+#REF!+#REF!+#REF!)</f>
        <v/>
      </c>
      <c r="M314" s="55" t="str">
        <f t="shared" ca="1" si="45"/>
        <v/>
      </c>
    </row>
    <row r="315" spans="1:13" ht="19.95" customHeight="1" x14ac:dyDescent="0.25">
      <c r="A315" s="52"/>
      <c r="B315" s="51"/>
      <c r="C315" s="54" t="str">
        <f>IF(B315="","",VLOOKUP(B315,学生信息汇总!A:E,2,0))</f>
        <v/>
      </c>
      <c r="D315" s="50"/>
      <c r="E315" s="55" t="str">
        <f t="shared" ca="1" si="41"/>
        <v/>
      </c>
      <c r="F315" s="51"/>
      <c r="G315" s="55" t="str">
        <f t="shared" ca="1" si="42"/>
        <v/>
      </c>
      <c r="H315" s="50"/>
      <c r="I315" s="55" t="str">
        <f t="shared" ca="1" si="43"/>
        <v/>
      </c>
      <c r="J315" s="50"/>
      <c r="K315" s="55" t="str">
        <f t="shared" ca="1" si="44"/>
        <v/>
      </c>
      <c r="L315" s="64" t="str">
        <f>IF(B315="","",D315+F315+H315+J315+#REF!+#REF!+#REF!+#REF!+#REF!)</f>
        <v/>
      </c>
      <c r="M315" s="55" t="str">
        <f t="shared" ca="1" si="45"/>
        <v/>
      </c>
    </row>
    <row r="316" spans="1:13" ht="19.95" customHeight="1" x14ac:dyDescent="0.25">
      <c r="A316" s="52"/>
      <c r="B316" s="51"/>
      <c r="C316" s="54" t="str">
        <f>IF(B316="","",VLOOKUP(B316,学生信息汇总!A:E,2,0))</f>
        <v/>
      </c>
      <c r="D316" s="50"/>
      <c r="E316" s="55" t="str">
        <f t="shared" ca="1" si="41"/>
        <v/>
      </c>
      <c r="F316" s="51"/>
      <c r="G316" s="55" t="str">
        <f t="shared" ca="1" si="42"/>
        <v/>
      </c>
      <c r="H316" s="50"/>
      <c r="I316" s="55" t="str">
        <f t="shared" ca="1" si="43"/>
        <v/>
      </c>
      <c r="J316" s="50"/>
      <c r="K316" s="55" t="str">
        <f t="shared" ca="1" si="44"/>
        <v/>
      </c>
      <c r="L316" s="64" t="str">
        <f>IF(B316="","",D316+F316+H316+J316+#REF!+#REF!+#REF!+#REF!+#REF!)</f>
        <v/>
      </c>
      <c r="M316" s="55" t="str">
        <f t="shared" ca="1" si="45"/>
        <v/>
      </c>
    </row>
    <row r="317" spans="1:13" ht="19.95" customHeight="1" x14ac:dyDescent="0.25">
      <c r="A317" s="52"/>
      <c r="B317" s="51"/>
      <c r="C317" s="54" t="str">
        <f>IF(B317="","",VLOOKUP(B317,学生信息汇总!A:E,2,0))</f>
        <v/>
      </c>
      <c r="D317" s="50"/>
      <c r="E317" s="55" t="str">
        <f t="shared" ca="1" si="41"/>
        <v/>
      </c>
      <c r="F317" s="51"/>
      <c r="G317" s="55" t="str">
        <f t="shared" ca="1" si="42"/>
        <v/>
      </c>
      <c r="H317" s="50"/>
      <c r="I317" s="55" t="str">
        <f t="shared" ca="1" si="43"/>
        <v/>
      </c>
      <c r="J317" s="50"/>
      <c r="K317" s="55" t="str">
        <f t="shared" ca="1" si="44"/>
        <v/>
      </c>
      <c r="L317" s="64" t="str">
        <f>IF(B317="","",D317+F317+H317+J317+#REF!+#REF!+#REF!+#REF!+#REF!)</f>
        <v/>
      </c>
      <c r="M317" s="55" t="str">
        <f t="shared" ca="1" si="45"/>
        <v/>
      </c>
    </row>
    <row r="318" spans="1:13" ht="19.95" customHeight="1" x14ac:dyDescent="0.25">
      <c r="A318" s="52"/>
      <c r="B318" s="51"/>
      <c r="C318" s="54" t="str">
        <f>IF(B318="","",VLOOKUP(B318,学生信息汇总!A:E,2,0))</f>
        <v/>
      </c>
      <c r="D318" s="50"/>
      <c r="E318" s="55" t="str">
        <f t="shared" ca="1" si="41"/>
        <v/>
      </c>
      <c r="F318" s="51"/>
      <c r="G318" s="55" t="str">
        <f t="shared" ca="1" si="42"/>
        <v/>
      </c>
      <c r="H318" s="50"/>
      <c r="I318" s="55" t="str">
        <f t="shared" ca="1" si="43"/>
        <v/>
      </c>
      <c r="J318" s="50"/>
      <c r="K318" s="55" t="str">
        <f t="shared" ca="1" si="44"/>
        <v/>
      </c>
      <c r="L318" s="64" t="str">
        <f>IF(B318="","",D318+F318+H318+J318+#REF!+#REF!+#REF!+#REF!+#REF!)</f>
        <v/>
      </c>
      <c r="M318" s="55" t="str">
        <f t="shared" ca="1" si="45"/>
        <v/>
      </c>
    </row>
    <row r="319" spans="1:13" ht="19.95" customHeight="1" x14ac:dyDescent="0.25">
      <c r="A319" s="52"/>
      <c r="B319" s="51"/>
      <c r="C319" s="54" t="str">
        <f>IF(B319="","",VLOOKUP(B319,学生信息汇总!A:E,2,0))</f>
        <v/>
      </c>
      <c r="D319" s="50"/>
      <c r="E319" s="55" t="str">
        <f t="shared" ca="1" si="41"/>
        <v/>
      </c>
      <c r="F319" s="51"/>
      <c r="G319" s="55" t="str">
        <f t="shared" ca="1" si="42"/>
        <v/>
      </c>
      <c r="H319" s="50"/>
      <c r="I319" s="55" t="str">
        <f t="shared" ca="1" si="43"/>
        <v/>
      </c>
      <c r="J319" s="50"/>
      <c r="K319" s="55" t="str">
        <f t="shared" ca="1" si="44"/>
        <v/>
      </c>
      <c r="L319" s="64" t="str">
        <f>IF(B319="","",D319+F319+H319+J319+#REF!+#REF!+#REF!+#REF!+#REF!)</f>
        <v/>
      </c>
      <c r="M319" s="55" t="str">
        <f t="shared" ca="1" si="45"/>
        <v/>
      </c>
    </row>
    <row r="320" spans="1:13" ht="19.95" customHeight="1" x14ac:dyDescent="0.25">
      <c r="A320" s="52"/>
      <c r="B320" s="51"/>
      <c r="C320" s="54" t="str">
        <f>IF(B320="","",VLOOKUP(B320,学生信息汇总!A:E,2,0))</f>
        <v/>
      </c>
      <c r="D320" s="50"/>
      <c r="E320" s="55" t="str">
        <f t="shared" ca="1" si="41"/>
        <v/>
      </c>
      <c r="F320" s="51"/>
      <c r="G320" s="55" t="str">
        <f t="shared" ca="1" si="42"/>
        <v/>
      </c>
      <c r="H320" s="50"/>
      <c r="I320" s="55" t="str">
        <f t="shared" ca="1" si="43"/>
        <v/>
      </c>
      <c r="J320" s="50"/>
      <c r="K320" s="55" t="str">
        <f t="shared" ca="1" si="44"/>
        <v/>
      </c>
      <c r="L320" s="64" t="str">
        <f>IF(B320="","",D320+F320+H320+J320+#REF!+#REF!+#REF!+#REF!+#REF!)</f>
        <v/>
      </c>
      <c r="M320" s="55" t="str">
        <f t="shared" ca="1" si="45"/>
        <v/>
      </c>
    </row>
    <row r="321" spans="1:13" ht="19.95" customHeight="1" x14ac:dyDescent="0.25">
      <c r="A321" s="52"/>
      <c r="B321" s="51"/>
      <c r="C321" s="54" t="str">
        <f>IF(B321="","",VLOOKUP(B321,学生信息汇总!A:E,2,0))</f>
        <v/>
      </c>
      <c r="D321" s="50"/>
      <c r="E321" s="55" t="str">
        <f t="shared" ca="1" si="41"/>
        <v/>
      </c>
      <c r="F321" s="51"/>
      <c r="G321" s="55" t="str">
        <f t="shared" ca="1" si="42"/>
        <v/>
      </c>
      <c r="H321" s="50"/>
      <c r="I321" s="55" t="str">
        <f t="shared" ca="1" si="43"/>
        <v/>
      </c>
      <c r="J321" s="50"/>
      <c r="K321" s="55" t="str">
        <f t="shared" ca="1" si="44"/>
        <v/>
      </c>
      <c r="L321" s="64" t="str">
        <f>IF(B321="","",D321+F321+H321+J321+#REF!+#REF!+#REF!+#REF!+#REF!)</f>
        <v/>
      </c>
      <c r="M321" s="55" t="str">
        <f t="shared" ca="1" si="45"/>
        <v/>
      </c>
    </row>
    <row r="322" spans="1:13" ht="19.95" customHeight="1" x14ac:dyDescent="0.25">
      <c r="A322" s="52"/>
      <c r="B322" s="51"/>
      <c r="C322" s="54" t="str">
        <f>IF(B322="","",VLOOKUP(B322,学生信息汇总!A:E,2,0))</f>
        <v/>
      </c>
      <c r="D322" s="50"/>
      <c r="E322" s="55" t="str">
        <f t="shared" ca="1" si="41"/>
        <v/>
      </c>
      <c r="F322" s="51"/>
      <c r="G322" s="55" t="str">
        <f t="shared" ca="1" si="42"/>
        <v/>
      </c>
      <c r="H322" s="50"/>
      <c r="I322" s="55" t="str">
        <f t="shared" ca="1" si="43"/>
        <v/>
      </c>
      <c r="J322" s="50"/>
      <c r="K322" s="55" t="str">
        <f t="shared" ca="1" si="44"/>
        <v/>
      </c>
      <c r="L322" s="64" t="str">
        <f>IF(B322="","",D322+F322+H322+J322+#REF!+#REF!+#REF!+#REF!+#REF!)</f>
        <v/>
      </c>
      <c r="M322" s="55" t="str">
        <f t="shared" ca="1" si="45"/>
        <v/>
      </c>
    </row>
    <row r="323" spans="1:13" ht="19.95" customHeight="1" x14ac:dyDescent="0.25">
      <c r="A323" s="52"/>
      <c r="B323" s="51"/>
      <c r="C323" s="54" t="str">
        <f>IF(B323="","",VLOOKUP(B323,学生信息汇总!A:E,2,0))</f>
        <v/>
      </c>
      <c r="D323" s="50"/>
      <c r="E323" s="55" t="str">
        <f t="shared" ca="1" si="41"/>
        <v/>
      </c>
      <c r="F323" s="51"/>
      <c r="G323" s="55" t="str">
        <f t="shared" ca="1" si="42"/>
        <v/>
      </c>
      <c r="H323" s="50"/>
      <c r="I323" s="55" t="str">
        <f t="shared" ca="1" si="43"/>
        <v/>
      </c>
      <c r="J323" s="50"/>
      <c r="K323" s="55" t="str">
        <f t="shared" ca="1" si="44"/>
        <v/>
      </c>
      <c r="L323" s="64" t="str">
        <f>IF(B323="","",D323+F323+H323+J323+#REF!+#REF!+#REF!+#REF!+#REF!)</f>
        <v/>
      </c>
      <c r="M323" s="55" t="str">
        <f t="shared" ca="1" si="45"/>
        <v/>
      </c>
    </row>
    <row r="324" spans="1:13" ht="19.95" customHeight="1" x14ac:dyDescent="0.25">
      <c r="A324" s="52"/>
      <c r="B324" s="51"/>
      <c r="C324" s="54" t="str">
        <f>IF(B324="","",VLOOKUP(B324,学生信息汇总!A:E,2,0))</f>
        <v/>
      </c>
      <c r="D324" s="50"/>
      <c r="E324" s="55" t="str">
        <f t="shared" ca="1" si="41"/>
        <v/>
      </c>
      <c r="F324" s="51"/>
      <c r="G324" s="55" t="str">
        <f t="shared" ca="1" si="42"/>
        <v/>
      </c>
      <c r="H324" s="50"/>
      <c r="I324" s="55" t="str">
        <f t="shared" ca="1" si="43"/>
        <v/>
      </c>
      <c r="J324" s="50"/>
      <c r="K324" s="55" t="str">
        <f t="shared" ca="1" si="44"/>
        <v/>
      </c>
      <c r="L324" s="64" t="str">
        <f>IF(B324="","",D324+F324+H324+J324+#REF!+#REF!+#REF!+#REF!+#REF!)</f>
        <v/>
      </c>
      <c r="M324" s="55" t="str">
        <f t="shared" ca="1" si="45"/>
        <v/>
      </c>
    </row>
    <row r="325" spans="1:13" ht="19.95" customHeight="1" x14ac:dyDescent="0.25">
      <c r="A325" s="52"/>
      <c r="B325" s="51"/>
      <c r="C325" s="54" t="str">
        <f>IF(B325="","",VLOOKUP(B325,学生信息汇总!A:E,2,0))</f>
        <v/>
      </c>
      <c r="D325" s="50"/>
      <c r="E325" s="55" t="str">
        <f t="shared" ca="1" si="41"/>
        <v/>
      </c>
      <c r="F325" s="51"/>
      <c r="G325" s="55" t="str">
        <f t="shared" ca="1" si="42"/>
        <v/>
      </c>
      <c r="H325" s="50"/>
      <c r="I325" s="55" t="str">
        <f t="shared" ca="1" si="43"/>
        <v/>
      </c>
      <c r="J325" s="50"/>
      <c r="K325" s="55" t="str">
        <f t="shared" ca="1" si="44"/>
        <v/>
      </c>
      <c r="L325" s="64" t="str">
        <f>IF(B325="","",D325+F325+H325+J325+#REF!+#REF!+#REF!+#REF!+#REF!)</f>
        <v/>
      </c>
      <c r="M325" s="55" t="str">
        <f t="shared" ca="1" si="45"/>
        <v/>
      </c>
    </row>
    <row r="326" spans="1:13" ht="19.95" customHeight="1" x14ac:dyDescent="0.25">
      <c r="A326" s="52"/>
      <c r="B326" s="51"/>
      <c r="C326" s="54" t="str">
        <f>IF(B326="","",VLOOKUP(B326,学生信息汇总!A:E,2,0))</f>
        <v/>
      </c>
      <c r="D326" s="50"/>
      <c r="E326" s="55" t="str">
        <f t="shared" ca="1" si="41"/>
        <v/>
      </c>
      <c r="F326" s="51"/>
      <c r="G326" s="55" t="str">
        <f t="shared" ca="1" si="42"/>
        <v/>
      </c>
      <c r="H326" s="50"/>
      <c r="I326" s="55" t="str">
        <f t="shared" ca="1" si="43"/>
        <v/>
      </c>
      <c r="J326" s="50"/>
      <c r="K326" s="55" t="str">
        <f t="shared" ca="1" si="44"/>
        <v/>
      </c>
      <c r="L326" s="64" t="str">
        <f>IF(B326="","",D326+F326+H326+J326+#REF!+#REF!+#REF!+#REF!+#REF!)</f>
        <v/>
      </c>
      <c r="M326" s="55" t="str">
        <f t="shared" ca="1" si="45"/>
        <v/>
      </c>
    </row>
    <row r="327" spans="1:13" ht="19.95" customHeight="1" x14ac:dyDescent="0.25">
      <c r="A327" s="52"/>
      <c r="B327" s="51"/>
      <c r="C327" s="54" t="str">
        <f>IF(B327="","",VLOOKUP(B327,学生信息汇总!A:E,2,0))</f>
        <v/>
      </c>
      <c r="D327" s="50"/>
      <c r="E327" s="55" t="str">
        <f t="shared" ca="1" si="41"/>
        <v/>
      </c>
      <c r="F327" s="51"/>
      <c r="G327" s="55" t="str">
        <f t="shared" ca="1" si="42"/>
        <v/>
      </c>
      <c r="H327" s="50"/>
      <c r="I327" s="55" t="str">
        <f t="shared" ca="1" si="43"/>
        <v/>
      </c>
      <c r="J327" s="50"/>
      <c r="K327" s="55" t="str">
        <f t="shared" ca="1" si="44"/>
        <v/>
      </c>
      <c r="L327" s="64" t="str">
        <f>IF(B327="","",D327+F327+H327+J327+#REF!+#REF!+#REF!+#REF!+#REF!)</f>
        <v/>
      </c>
      <c r="M327" s="55" t="str">
        <f t="shared" ca="1" si="45"/>
        <v/>
      </c>
    </row>
    <row r="328" spans="1:13" ht="19.95" customHeight="1" x14ac:dyDescent="0.25">
      <c r="A328" s="52"/>
      <c r="B328" s="51"/>
      <c r="C328" s="54" t="str">
        <f>IF(B328="","",VLOOKUP(B328,学生信息汇总!A:E,2,0))</f>
        <v/>
      </c>
      <c r="D328" s="50"/>
      <c r="E328" s="55" t="str">
        <f t="shared" ca="1" si="41"/>
        <v/>
      </c>
      <c r="F328" s="51"/>
      <c r="G328" s="55" t="str">
        <f t="shared" ca="1" si="42"/>
        <v/>
      </c>
      <c r="H328" s="50"/>
      <c r="I328" s="55" t="str">
        <f t="shared" ca="1" si="43"/>
        <v/>
      </c>
      <c r="J328" s="50"/>
      <c r="K328" s="55" t="str">
        <f t="shared" ca="1" si="44"/>
        <v/>
      </c>
      <c r="L328" s="64" t="str">
        <f>IF(B328="","",D328+F328+H328+J328+#REF!+#REF!+#REF!+#REF!+#REF!)</f>
        <v/>
      </c>
      <c r="M328" s="55" t="str">
        <f t="shared" ca="1" si="45"/>
        <v/>
      </c>
    </row>
    <row r="329" spans="1:13" ht="19.95" customHeight="1" x14ac:dyDescent="0.25">
      <c r="A329" s="52"/>
      <c r="B329" s="51"/>
      <c r="C329" s="54" t="str">
        <f>IF(B329="","",VLOOKUP(B329,学生信息汇总!A:E,2,0))</f>
        <v/>
      </c>
      <c r="D329" s="50"/>
      <c r="E329" s="55" t="str">
        <f t="shared" ca="1" si="41"/>
        <v/>
      </c>
      <c r="F329" s="51"/>
      <c r="G329" s="55" t="str">
        <f t="shared" ca="1" si="42"/>
        <v/>
      </c>
      <c r="H329" s="50"/>
      <c r="I329" s="55" t="str">
        <f t="shared" ca="1" si="43"/>
        <v/>
      </c>
      <c r="J329" s="50"/>
      <c r="K329" s="55" t="str">
        <f t="shared" ca="1" si="44"/>
        <v/>
      </c>
      <c r="L329" s="64" t="str">
        <f>IF(B329="","",D329+F329+H329+J329+#REF!+#REF!+#REF!+#REF!+#REF!)</f>
        <v/>
      </c>
      <c r="M329" s="55" t="str">
        <f t="shared" ca="1" si="45"/>
        <v/>
      </c>
    </row>
    <row r="330" spans="1:13" ht="19.95" customHeight="1" x14ac:dyDescent="0.25">
      <c r="A330" s="52"/>
      <c r="B330" s="51"/>
      <c r="C330" s="54" t="str">
        <f>IF(B330="","",VLOOKUP(B330,学生信息汇总!A:E,2,0))</f>
        <v/>
      </c>
      <c r="D330" s="50"/>
      <c r="E330" s="55" t="str">
        <f t="shared" ca="1" si="41"/>
        <v/>
      </c>
      <c r="F330" s="51"/>
      <c r="G330" s="55" t="str">
        <f t="shared" ca="1" si="42"/>
        <v/>
      </c>
      <c r="H330" s="50"/>
      <c r="I330" s="55" t="str">
        <f t="shared" ca="1" si="43"/>
        <v/>
      </c>
      <c r="J330" s="50"/>
      <c r="K330" s="55" t="str">
        <f t="shared" ca="1" si="44"/>
        <v/>
      </c>
      <c r="L330" s="64" t="str">
        <f>IF(B330="","",D330+F330+H330+J330+#REF!+#REF!+#REF!+#REF!+#REF!)</f>
        <v/>
      </c>
      <c r="M330" s="55" t="str">
        <f t="shared" ca="1" si="45"/>
        <v/>
      </c>
    </row>
    <row r="331" spans="1:13" ht="19.95" customHeight="1" x14ac:dyDescent="0.25">
      <c r="A331" s="52"/>
      <c r="B331" s="51"/>
      <c r="C331" s="54" t="str">
        <f>IF(B331="","",VLOOKUP(B331,学生信息汇总!A:E,2,0))</f>
        <v/>
      </c>
      <c r="D331" s="50"/>
      <c r="E331" s="55" t="str">
        <f t="shared" ca="1" si="41"/>
        <v/>
      </c>
      <c r="F331" s="51"/>
      <c r="G331" s="55" t="str">
        <f t="shared" ca="1" si="42"/>
        <v/>
      </c>
      <c r="H331" s="50"/>
      <c r="I331" s="55" t="str">
        <f t="shared" ca="1" si="43"/>
        <v/>
      </c>
      <c r="J331" s="50"/>
      <c r="K331" s="55" t="str">
        <f t="shared" ca="1" si="44"/>
        <v/>
      </c>
      <c r="L331" s="64" t="str">
        <f>IF(B331="","",D331+F331+H331+J331+#REF!+#REF!+#REF!+#REF!+#REF!)</f>
        <v/>
      </c>
      <c r="M331" s="55" t="str">
        <f t="shared" ca="1" si="45"/>
        <v/>
      </c>
    </row>
    <row r="332" spans="1:13" ht="19.95" customHeight="1" x14ac:dyDescent="0.25">
      <c r="A332" s="52"/>
      <c r="B332" s="51"/>
      <c r="C332" s="54" t="str">
        <f>IF(B332="","",VLOOKUP(B332,学生信息汇总!A:E,2,0))</f>
        <v/>
      </c>
      <c r="D332" s="50"/>
      <c r="E332" s="55" t="str">
        <f t="shared" ca="1" si="41"/>
        <v/>
      </c>
      <c r="F332" s="51"/>
      <c r="G332" s="55" t="str">
        <f t="shared" ca="1" si="42"/>
        <v/>
      </c>
      <c r="H332" s="50"/>
      <c r="I332" s="55" t="str">
        <f t="shared" ca="1" si="43"/>
        <v/>
      </c>
      <c r="J332" s="50"/>
      <c r="K332" s="55" t="str">
        <f t="shared" ca="1" si="44"/>
        <v/>
      </c>
      <c r="L332" s="64" t="str">
        <f>IF(B332="","",D332+F332+H332+J332+#REF!+#REF!+#REF!+#REF!+#REF!)</f>
        <v/>
      </c>
      <c r="M332" s="55" t="str">
        <f t="shared" ca="1" si="45"/>
        <v/>
      </c>
    </row>
    <row r="333" spans="1:13" ht="19.95" customHeight="1" x14ac:dyDescent="0.25">
      <c r="A333" s="52"/>
      <c r="B333" s="51"/>
      <c r="C333" s="54" t="str">
        <f>IF(B333="","",VLOOKUP(B333,学生信息汇总!A:E,2,0))</f>
        <v/>
      </c>
      <c r="D333" s="50"/>
      <c r="E333" s="55" t="str">
        <f t="shared" ca="1" si="41"/>
        <v/>
      </c>
      <c r="F333" s="51"/>
      <c r="G333" s="55" t="str">
        <f t="shared" ca="1" si="42"/>
        <v/>
      </c>
      <c r="H333" s="50"/>
      <c r="I333" s="55" t="str">
        <f t="shared" ca="1" si="43"/>
        <v/>
      </c>
      <c r="J333" s="50"/>
      <c r="K333" s="55" t="str">
        <f t="shared" ca="1" si="44"/>
        <v/>
      </c>
      <c r="L333" s="64" t="str">
        <f>IF(B333="","",D333+F333+H333+J333+#REF!+#REF!+#REF!+#REF!+#REF!)</f>
        <v/>
      </c>
      <c r="M333" s="55" t="str">
        <f t="shared" ca="1" si="45"/>
        <v/>
      </c>
    </row>
    <row r="334" spans="1:13" ht="19.95" customHeight="1" x14ac:dyDescent="0.25">
      <c r="A334" s="52"/>
      <c r="B334" s="51"/>
      <c r="C334" s="54" t="str">
        <f>IF(B334="","",VLOOKUP(B334,学生信息汇总!A:E,2,0))</f>
        <v/>
      </c>
      <c r="D334" s="50"/>
      <c r="E334" s="55" t="str">
        <f t="shared" ca="1" si="41"/>
        <v/>
      </c>
      <c r="F334" s="51"/>
      <c r="G334" s="55" t="str">
        <f t="shared" ca="1" si="42"/>
        <v/>
      </c>
      <c r="H334" s="50"/>
      <c r="I334" s="55" t="str">
        <f t="shared" ca="1" si="43"/>
        <v/>
      </c>
      <c r="J334" s="50"/>
      <c r="K334" s="55" t="str">
        <f t="shared" ca="1" si="44"/>
        <v/>
      </c>
      <c r="L334" s="64" t="str">
        <f>IF(B334="","",D334+F334+H334+J334+#REF!+#REF!+#REF!+#REF!+#REF!)</f>
        <v/>
      </c>
      <c r="M334" s="55" t="str">
        <f t="shared" ca="1" si="45"/>
        <v/>
      </c>
    </row>
    <row r="335" spans="1:13" ht="19.95" customHeight="1" x14ac:dyDescent="0.25">
      <c r="A335" s="52"/>
      <c r="B335" s="51"/>
      <c r="C335" s="54" t="str">
        <f>IF(B335="","",VLOOKUP(B335,学生信息汇总!A:E,2,0))</f>
        <v/>
      </c>
      <c r="D335" s="50"/>
      <c r="E335" s="55" t="str">
        <f t="shared" ca="1" si="41"/>
        <v/>
      </c>
      <c r="F335" s="51"/>
      <c r="G335" s="55" t="str">
        <f t="shared" ca="1" si="42"/>
        <v/>
      </c>
      <c r="H335" s="50"/>
      <c r="I335" s="55" t="str">
        <f t="shared" ca="1" si="43"/>
        <v/>
      </c>
      <c r="J335" s="50"/>
      <c r="K335" s="55" t="str">
        <f t="shared" ca="1" si="44"/>
        <v/>
      </c>
      <c r="L335" s="64" t="str">
        <f>IF(B335="","",D335+F335+H335+J335+#REF!+#REF!+#REF!+#REF!+#REF!)</f>
        <v/>
      </c>
      <c r="M335" s="55" t="str">
        <f t="shared" ca="1" si="45"/>
        <v/>
      </c>
    </row>
    <row r="336" spans="1:13" ht="19.95" customHeight="1" x14ac:dyDescent="0.25">
      <c r="A336" s="52"/>
      <c r="B336" s="51"/>
      <c r="C336" s="54" t="str">
        <f>IF(B336="","",VLOOKUP(B336,学生信息汇总!A:E,2,0))</f>
        <v/>
      </c>
      <c r="D336" s="50"/>
      <c r="E336" s="55" t="str">
        <f t="shared" ca="1" si="41"/>
        <v/>
      </c>
      <c r="F336" s="51"/>
      <c r="G336" s="55" t="str">
        <f t="shared" ca="1" si="42"/>
        <v/>
      </c>
      <c r="H336" s="50"/>
      <c r="I336" s="55" t="str">
        <f t="shared" ca="1" si="43"/>
        <v/>
      </c>
      <c r="J336" s="50"/>
      <c r="K336" s="55" t="str">
        <f t="shared" ca="1" si="44"/>
        <v/>
      </c>
      <c r="L336" s="64" t="str">
        <f>IF(B336="","",D336+F336+H336+J336+#REF!+#REF!+#REF!+#REF!+#REF!)</f>
        <v/>
      </c>
      <c r="M336" s="55" t="str">
        <f t="shared" ca="1" si="45"/>
        <v/>
      </c>
    </row>
    <row r="337" spans="1:13" ht="19.95" customHeight="1" x14ac:dyDescent="0.25">
      <c r="A337" s="52"/>
      <c r="B337" s="51"/>
      <c r="C337" s="54" t="str">
        <f>IF(B337="","",VLOOKUP(B337,学生信息汇总!A:E,2,0))</f>
        <v/>
      </c>
      <c r="D337" s="50"/>
      <c r="E337" s="55" t="str">
        <f t="shared" ca="1" si="41"/>
        <v/>
      </c>
      <c r="F337" s="51"/>
      <c r="G337" s="55" t="str">
        <f t="shared" ca="1" si="42"/>
        <v/>
      </c>
      <c r="H337" s="50"/>
      <c r="I337" s="55" t="str">
        <f t="shared" ca="1" si="43"/>
        <v/>
      </c>
      <c r="J337" s="50"/>
      <c r="K337" s="55" t="str">
        <f t="shared" ca="1" si="44"/>
        <v/>
      </c>
      <c r="L337" s="64" t="str">
        <f>IF(B337="","",D337+F337+H337+J337+#REF!+#REF!+#REF!+#REF!+#REF!)</f>
        <v/>
      </c>
      <c r="M337" s="55" t="str">
        <f t="shared" ca="1" si="45"/>
        <v/>
      </c>
    </row>
    <row r="338" spans="1:13" ht="19.95" customHeight="1" x14ac:dyDescent="0.25">
      <c r="A338" s="52"/>
      <c r="B338" s="51"/>
      <c r="C338" s="54" t="str">
        <f>IF(B338="","",VLOOKUP(B338,学生信息汇总!A:E,2,0))</f>
        <v/>
      </c>
      <c r="D338" s="50"/>
      <c r="E338" s="55" t="str">
        <f t="shared" ca="1" si="41"/>
        <v/>
      </c>
      <c r="F338" s="51"/>
      <c r="G338" s="55" t="str">
        <f t="shared" ca="1" si="42"/>
        <v/>
      </c>
      <c r="H338" s="50"/>
      <c r="I338" s="55" t="str">
        <f t="shared" ca="1" si="43"/>
        <v/>
      </c>
      <c r="J338" s="50"/>
      <c r="K338" s="55" t="str">
        <f t="shared" ca="1" si="44"/>
        <v/>
      </c>
      <c r="L338" s="64" t="str">
        <f>IF(B338="","",D338+F338+H338+J338+#REF!+#REF!+#REF!+#REF!+#REF!)</f>
        <v/>
      </c>
      <c r="M338" s="55" t="str">
        <f t="shared" ca="1" si="45"/>
        <v/>
      </c>
    </row>
    <row r="339" spans="1:13" ht="19.95" customHeight="1" x14ac:dyDescent="0.25">
      <c r="A339" s="52"/>
      <c r="B339" s="51"/>
      <c r="C339" s="54" t="str">
        <f>IF(B339="","",VLOOKUP(B339,学生信息汇总!A:E,2,0))</f>
        <v/>
      </c>
      <c r="D339" s="50"/>
      <c r="E339" s="55" t="str">
        <f t="shared" ca="1" si="41"/>
        <v/>
      </c>
      <c r="F339" s="51"/>
      <c r="G339" s="55" t="str">
        <f t="shared" ca="1" si="42"/>
        <v/>
      </c>
      <c r="H339" s="50"/>
      <c r="I339" s="55" t="str">
        <f t="shared" ca="1" si="43"/>
        <v/>
      </c>
      <c r="J339" s="50"/>
      <c r="K339" s="55" t="str">
        <f t="shared" ca="1" si="44"/>
        <v/>
      </c>
      <c r="L339" s="64" t="str">
        <f>IF(B339="","",D339+F339+H339+J339+#REF!+#REF!+#REF!+#REF!+#REF!)</f>
        <v/>
      </c>
      <c r="M339" s="55" t="str">
        <f t="shared" ca="1" si="45"/>
        <v/>
      </c>
    </row>
    <row r="340" spans="1:13" ht="19.95" customHeight="1" x14ac:dyDescent="0.25">
      <c r="A340" s="52"/>
      <c r="B340" s="51"/>
      <c r="C340" s="54" t="str">
        <f>IF(B340="","",VLOOKUP(B340,学生信息汇总!A:E,2,0))</f>
        <v/>
      </c>
      <c r="D340" s="50"/>
      <c r="E340" s="55" t="str">
        <f t="shared" ca="1" si="41"/>
        <v/>
      </c>
      <c r="F340" s="51"/>
      <c r="G340" s="55" t="str">
        <f t="shared" ca="1" si="42"/>
        <v/>
      </c>
      <c r="H340" s="50"/>
      <c r="I340" s="55" t="str">
        <f t="shared" ca="1" si="43"/>
        <v/>
      </c>
      <c r="J340" s="50"/>
      <c r="K340" s="55" t="str">
        <f t="shared" ca="1" si="44"/>
        <v/>
      </c>
      <c r="L340" s="64" t="str">
        <f>IF(B340="","",D340+F340+H340+J340+#REF!+#REF!+#REF!+#REF!+#REF!)</f>
        <v/>
      </c>
      <c r="M340" s="55" t="str">
        <f t="shared" ca="1" si="45"/>
        <v/>
      </c>
    </row>
    <row r="341" spans="1:13" ht="19.95" customHeight="1" x14ac:dyDescent="0.25">
      <c r="A341" s="52"/>
      <c r="B341" s="51"/>
      <c r="C341" s="54" t="str">
        <f>IF(B341="","",VLOOKUP(B341,学生信息汇总!A:E,2,0))</f>
        <v/>
      </c>
      <c r="D341" s="50"/>
      <c r="E341" s="55" t="str">
        <f t="shared" ca="1" si="41"/>
        <v/>
      </c>
      <c r="F341" s="51"/>
      <c r="G341" s="55" t="str">
        <f t="shared" ca="1" si="42"/>
        <v/>
      </c>
      <c r="H341" s="50"/>
      <c r="I341" s="55" t="str">
        <f t="shared" ca="1" si="43"/>
        <v/>
      </c>
      <c r="J341" s="50"/>
      <c r="K341" s="55" t="str">
        <f t="shared" ca="1" si="44"/>
        <v/>
      </c>
      <c r="L341" s="64" t="str">
        <f>IF(B341="","",D341+F341+H341+J341+#REF!+#REF!+#REF!+#REF!+#REF!)</f>
        <v/>
      </c>
      <c r="M341" s="55" t="str">
        <f t="shared" ca="1" si="45"/>
        <v/>
      </c>
    </row>
    <row r="342" spans="1:13" ht="19.95" customHeight="1" x14ac:dyDescent="0.25">
      <c r="A342" s="52"/>
      <c r="B342" s="51"/>
      <c r="C342" s="54" t="str">
        <f>IF(B342="","",VLOOKUP(B342,学生信息汇总!A:E,2,0))</f>
        <v/>
      </c>
      <c r="D342" s="50"/>
      <c r="E342" s="55" t="str">
        <f t="shared" ca="1" si="41"/>
        <v/>
      </c>
      <c r="F342" s="51"/>
      <c r="G342" s="55" t="str">
        <f t="shared" ca="1" si="42"/>
        <v/>
      </c>
      <c r="H342" s="50"/>
      <c r="I342" s="55" t="str">
        <f t="shared" ca="1" si="43"/>
        <v/>
      </c>
      <c r="J342" s="50"/>
      <c r="K342" s="55" t="str">
        <f t="shared" ca="1" si="44"/>
        <v/>
      </c>
      <c r="L342" s="64" t="str">
        <f>IF(B342="","",D342+F342+H342+J342+#REF!+#REF!+#REF!+#REF!+#REF!)</f>
        <v/>
      </c>
      <c r="M342" s="55" t="str">
        <f t="shared" ca="1" si="45"/>
        <v/>
      </c>
    </row>
    <row r="343" spans="1:13" ht="19.95" customHeight="1" x14ac:dyDescent="0.25">
      <c r="A343" s="52"/>
      <c r="B343" s="51"/>
      <c r="C343" s="54" t="str">
        <f>IF(B343="","",VLOOKUP(B343,学生信息汇总!A:E,2,0))</f>
        <v/>
      </c>
      <c r="D343" s="50"/>
      <c r="E343" s="55" t="str">
        <f t="shared" ca="1" si="41"/>
        <v/>
      </c>
      <c r="F343" s="51"/>
      <c r="G343" s="55" t="str">
        <f t="shared" ca="1" si="42"/>
        <v/>
      </c>
      <c r="H343" s="50"/>
      <c r="I343" s="55" t="str">
        <f t="shared" ca="1" si="43"/>
        <v/>
      </c>
      <c r="J343" s="50"/>
      <c r="K343" s="55" t="str">
        <f t="shared" ca="1" si="44"/>
        <v/>
      </c>
      <c r="L343" s="64" t="str">
        <f>IF(B343="","",D343+F343+H343+J343+#REF!+#REF!+#REF!+#REF!+#REF!)</f>
        <v/>
      </c>
      <c r="M343" s="55" t="str">
        <f t="shared" ca="1" si="45"/>
        <v/>
      </c>
    </row>
    <row r="344" spans="1:13" ht="19.95" customHeight="1" x14ac:dyDescent="0.25">
      <c r="A344" s="52"/>
      <c r="B344" s="51"/>
      <c r="C344" s="54" t="str">
        <f>IF(B344="","",VLOOKUP(B344,学生信息汇总!A:E,2,0))</f>
        <v/>
      </c>
      <c r="D344" s="50"/>
      <c r="E344" s="55" t="str">
        <f t="shared" ca="1" si="41"/>
        <v/>
      </c>
      <c r="F344" s="51"/>
      <c r="G344" s="55" t="str">
        <f t="shared" ca="1" si="42"/>
        <v/>
      </c>
      <c r="H344" s="50"/>
      <c r="I344" s="55" t="str">
        <f t="shared" ca="1" si="43"/>
        <v/>
      </c>
      <c r="J344" s="50"/>
      <c r="K344" s="55" t="str">
        <f t="shared" ca="1" si="44"/>
        <v/>
      </c>
      <c r="L344" s="64" t="str">
        <f>IF(B344="","",D344+F344+H344+J344+#REF!+#REF!+#REF!+#REF!+#REF!)</f>
        <v/>
      </c>
      <c r="M344" s="55" t="str">
        <f t="shared" ca="1" si="45"/>
        <v/>
      </c>
    </row>
    <row r="345" spans="1:13" ht="19.95" customHeight="1" x14ac:dyDescent="0.25">
      <c r="A345" s="52"/>
      <c r="B345" s="51"/>
      <c r="C345" s="54" t="str">
        <f>IF(B345="","",VLOOKUP(B345,学生信息汇总!A:E,2,0))</f>
        <v/>
      </c>
      <c r="D345" s="50"/>
      <c r="E345" s="55" t="str">
        <f t="shared" ca="1" si="41"/>
        <v/>
      </c>
      <c r="F345" s="51"/>
      <c r="G345" s="55" t="str">
        <f t="shared" ca="1" si="42"/>
        <v/>
      </c>
      <c r="H345" s="50"/>
      <c r="I345" s="55" t="str">
        <f t="shared" ca="1" si="43"/>
        <v/>
      </c>
      <c r="J345" s="50"/>
      <c r="K345" s="55" t="str">
        <f t="shared" ca="1" si="44"/>
        <v/>
      </c>
      <c r="L345" s="64" t="str">
        <f>IF(B345="","",D345+F345+H345+J345+#REF!+#REF!+#REF!+#REF!+#REF!)</f>
        <v/>
      </c>
      <c r="M345" s="55" t="str">
        <f t="shared" ca="1" si="45"/>
        <v/>
      </c>
    </row>
    <row r="346" spans="1:13" ht="19.95" customHeight="1" x14ac:dyDescent="0.25">
      <c r="A346" s="52"/>
      <c r="B346" s="51"/>
      <c r="C346" s="54" t="str">
        <f>IF(B346="","",VLOOKUP(B346,学生信息汇总!A:E,2,0))</f>
        <v/>
      </c>
      <c r="D346" s="50"/>
      <c r="E346" s="55" t="str">
        <f t="shared" ca="1" si="41"/>
        <v/>
      </c>
      <c r="F346" s="51"/>
      <c r="G346" s="55" t="str">
        <f t="shared" ca="1" si="42"/>
        <v/>
      </c>
      <c r="H346" s="50"/>
      <c r="I346" s="55" t="str">
        <f t="shared" ca="1" si="43"/>
        <v/>
      </c>
      <c r="J346" s="50"/>
      <c r="K346" s="55" t="str">
        <f t="shared" ca="1" si="44"/>
        <v/>
      </c>
      <c r="L346" s="64" t="str">
        <f>IF(B346="","",D346+F346+H346+J346+#REF!+#REF!+#REF!+#REF!+#REF!)</f>
        <v/>
      </c>
      <c r="M346" s="55" t="str">
        <f t="shared" ca="1" si="45"/>
        <v/>
      </c>
    </row>
    <row r="347" spans="1:13" ht="19.95" customHeight="1" x14ac:dyDescent="0.25">
      <c r="A347" s="52"/>
      <c r="B347" s="51"/>
      <c r="C347" s="54" t="str">
        <f>IF(B347="","",VLOOKUP(B347,学生信息汇总!A:E,2,0))</f>
        <v/>
      </c>
      <c r="D347" s="50"/>
      <c r="E347" s="55" t="str">
        <f t="shared" ca="1" si="41"/>
        <v/>
      </c>
      <c r="F347" s="51"/>
      <c r="G347" s="55" t="str">
        <f t="shared" ca="1" si="42"/>
        <v/>
      </c>
      <c r="H347" s="50"/>
      <c r="I347" s="55" t="str">
        <f t="shared" ca="1" si="43"/>
        <v/>
      </c>
      <c r="J347" s="50"/>
      <c r="K347" s="55" t="str">
        <f t="shared" ca="1" si="44"/>
        <v/>
      </c>
      <c r="L347" s="64" t="str">
        <f>IF(B347="","",D347+F347+H347+J347+#REF!+#REF!+#REF!+#REF!+#REF!)</f>
        <v/>
      </c>
      <c r="M347" s="55" t="str">
        <f t="shared" ca="1" si="45"/>
        <v/>
      </c>
    </row>
    <row r="348" spans="1:13" ht="19.95" customHeight="1" x14ac:dyDescent="0.25">
      <c r="A348" s="52"/>
      <c r="B348" s="51"/>
      <c r="C348" s="54" t="str">
        <f>IF(B348="","",VLOOKUP(B348,学生信息汇总!A:E,2,0))</f>
        <v/>
      </c>
      <c r="D348" s="50"/>
      <c r="E348" s="55" t="str">
        <f t="shared" ca="1" si="41"/>
        <v/>
      </c>
      <c r="F348" s="51"/>
      <c r="G348" s="55" t="str">
        <f t="shared" ca="1" si="42"/>
        <v/>
      </c>
      <c r="H348" s="50"/>
      <c r="I348" s="55" t="str">
        <f t="shared" ca="1" si="43"/>
        <v/>
      </c>
      <c r="J348" s="50"/>
      <c r="K348" s="55" t="str">
        <f t="shared" ca="1" si="44"/>
        <v/>
      </c>
      <c r="L348" s="64" t="str">
        <f>IF(B348="","",D348+F348+H348+J348+#REF!+#REF!+#REF!+#REF!+#REF!)</f>
        <v/>
      </c>
      <c r="M348" s="55" t="str">
        <f t="shared" ca="1" si="45"/>
        <v/>
      </c>
    </row>
    <row r="349" spans="1:13" ht="19.95" customHeight="1" x14ac:dyDescent="0.25">
      <c r="A349" s="52"/>
      <c r="B349" s="51"/>
      <c r="C349" s="54" t="str">
        <f>IF(B349="","",VLOOKUP(B349,学生信息汇总!A:E,2,0))</f>
        <v/>
      </c>
      <c r="D349" s="50"/>
      <c r="E349" s="55" t="str">
        <f t="shared" ca="1" si="41"/>
        <v/>
      </c>
      <c r="F349" s="51"/>
      <c r="G349" s="55" t="str">
        <f t="shared" ca="1" si="42"/>
        <v/>
      </c>
      <c r="H349" s="50"/>
      <c r="I349" s="55" t="str">
        <f t="shared" ca="1" si="43"/>
        <v/>
      </c>
      <c r="J349" s="50"/>
      <c r="K349" s="55" t="str">
        <f t="shared" ca="1" si="44"/>
        <v/>
      </c>
      <c r="L349" s="64" t="str">
        <f>IF(B349="","",D349+F349+H349+J349+#REF!+#REF!+#REF!+#REF!+#REF!)</f>
        <v/>
      </c>
      <c r="M349" s="55" t="str">
        <f t="shared" ca="1" si="45"/>
        <v/>
      </c>
    </row>
    <row r="350" spans="1:13" ht="19.95" customHeight="1" x14ac:dyDescent="0.25">
      <c r="A350" s="52"/>
      <c r="B350" s="51"/>
      <c r="C350" s="54" t="str">
        <f>IF(B350="","",VLOOKUP(B350,学生信息汇总!A:E,2,0))</f>
        <v/>
      </c>
      <c r="D350" s="50"/>
      <c r="E350" s="55" t="str">
        <f t="shared" ca="1" si="41"/>
        <v/>
      </c>
      <c r="F350" s="51"/>
      <c r="G350" s="55" t="str">
        <f t="shared" ca="1" si="42"/>
        <v/>
      </c>
      <c r="H350" s="50"/>
      <c r="I350" s="55" t="str">
        <f t="shared" ca="1" si="43"/>
        <v/>
      </c>
      <c r="J350" s="50"/>
      <c r="K350" s="55" t="str">
        <f t="shared" ca="1" si="44"/>
        <v/>
      </c>
      <c r="L350" s="64" t="str">
        <f>IF(B350="","",D350+F350+H350+J350+#REF!+#REF!+#REF!+#REF!+#REF!)</f>
        <v/>
      </c>
      <c r="M350" s="55" t="str">
        <f t="shared" ca="1" si="45"/>
        <v/>
      </c>
    </row>
    <row r="351" spans="1:13" ht="19.95" customHeight="1" x14ac:dyDescent="0.25">
      <c r="A351" s="52"/>
      <c r="B351" s="51"/>
      <c r="C351" s="54" t="str">
        <f>IF(B351="","",VLOOKUP(B351,学生信息汇总!A:E,2,0))</f>
        <v/>
      </c>
      <c r="D351" s="50"/>
      <c r="E351" s="55" t="str">
        <f t="shared" ca="1" si="41"/>
        <v/>
      </c>
      <c r="F351" s="51"/>
      <c r="G351" s="55" t="str">
        <f t="shared" ca="1" si="42"/>
        <v/>
      </c>
      <c r="H351" s="50"/>
      <c r="I351" s="55" t="str">
        <f t="shared" ca="1" si="43"/>
        <v/>
      </c>
      <c r="J351" s="50"/>
      <c r="K351" s="55" t="str">
        <f t="shared" ca="1" si="44"/>
        <v/>
      </c>
      <c r="L351" s="64" t="str">
        <f>IF(B351="","",D351+F351+H351+J351+#REF!+#REF!+#REF!+#REF!+#REF!)</f>
        <v/>
      </c>
      <c r="M351" s="55" t="str">
        <f t="shared" ca="1" si="45"/>
        <v/>
      </c>
    </row>
    <row r="352" spans="1:13" ht="19.95" customHeight="1" x14ac:dyDescent="0.25">
      <c r="A352" s="52"/>
      <c r="B352" s="51"/>
      <c r="C352" s="54" t="str">
        <f>IF(B352="","",VLOOKUP(B352,学生信息汇总!A:E,2,0))</f>
        <v/>
      </c>
      <c r="D352" s="50"/>
      <c r="E352" s="55" t="str">
        <f t="shared" ca="1" si="41"/>
        <v/>
      </c>
      <c r="F352" s="51"/>
      <c r="G352" s="55" t="str">
        <f t="shared" ca="1" si="42"/>
        <v/>
      </c>
      <c r="H352" s="50"/>
      <c r="I352" s="55" t="str">
        <f t="shared" ca="1" si="43"/>
        <v/>
      </c>
      <c r="J352" s="50"/>
      <c r="K352" s="55" t="str">
        <f t="shared" ca="1" si="44"/>
        <v/>
      </c>
      <c r="L352" s="64" t="str">
        <f>IF(B352="","",D352+F352+H352+J352+#REF!+#REF!+#REF!+#REF!+#REF!)</f>
        <v/>
      </c>
      <c r="M352" s="55" t="str">
        <f t="shared" ca="1" si="45"/>
        <v/>
      </c>
    </row>
    <row r="353" spans="1:13" ht="19.95" customHeight="1" x14ac:dyDescent="0.25">
      <c r="A353" s="52"/>
      <c r="B353" s="51"/>
      <c r="C353" s="54" t="str">
        <f>IF(B353="","",VLOOKUP(B353,学生信息汇总!A:E,2,0))</f>
        <v/>
      </c>
      <c r="D353" s="50"/>
      <c r="E353" s="55" t="str">
        <f t="shared" ca="1" si="41"/>
        <v/>
      </c>
      <c r="F353" s="51"/>
      <c r="G353" s="55" t="str">
        <f t="shared" ca="1" si="42"/>
        <v/>
      </c>
      <c r="H353" s="50"/>
      <c r="I353" s="55" t="str">
        <f t="shared" ca="1" si="43"/>
        <v/>
      </c>
      <c r="J353" s="50"/>
      <c r="K353" s="55" t="str">
        <f t="shared" ca="1" si="44"/>
        <v/>
      </c>
      <c r="L353" s="64" t="str">
        <f>IF(B353="","",D353+F353+H353+J353+#REF!+#REF!+#REF!+#REF!+#REF!)</f>
        <v/>
      </c>
      <c r="M353" s="55" t="str">
        <f t="shared" ca="1" si="45"/>
        <v/>
      </c>
    </row>
    <row r="354" spans="1:13" ht="19.95" customHeight="1" x14ac:dyDescent="0.25">
      <c r="A354" s="52"/>
      <c r="B354" s="51"/>
      <c r="C354" s="54" t="str">
        <f>IF(B354="","",VLOOKUP(B354,学生信息汇总!A:E,2,0))</f>
        <v/>
      </c>
      <c r="D354" s="50"/>
      <c r="E354" s="55" t="str">
        <f t="shared" ca="1" si="41"/>
        <v/>
      </c>
      <c r="F354" s="51"/>
      <c r="G354" s="55" t="str">
        <f t="shared" ca="1" si="42"/>
        <v/>
      </c>
      <c r="H354" s="50"/>
      <c r="I354" s="55" t="str">
        <f t="shared" ca="1" si="43"/>
        <v/>
      </c>
      <c r="J354" s="50"/>
      <c r="K354" s="55" t="str">
        <f t="shared" ca="1" si="44"/>
        <v/>
      </c>
      <c r="L354" s="64" t="str">
        <f>IF(B354="","",D354+F354+H354+J354+#REF!+#REF!+#REF!+#REF!+#REF!)</f>
        <v/>
      </c>
      <c r="M354" s="55" t="str">
        <f t="shared" ca="1" si="45"/>
        <v/>
      </c>
    </row>
    <row r="355" spans="1:13" ht="19.95" customHeight="1" x14ac:dyDescent="0.25">
      <c r="A355" s="52"/>
      <c r="B355" s="51"/>
      <c r="C355" s="54" t="str">
        <f>IF(B355="","",VLOOKUP(B355,学生信息汇总!A:E,2,0))</f>
        <v/>
      </c>
      <c r="D355" s="50"/>
      <c r="E355" s="55" t="str">
        <f t="shared" ca="1" si="41"/>
        <v/>
      </c>
      <c r="F355" s="51"/>
      <c r="G355" s="55" t="str">
        <f t="shared" ca="1" si="42"/>
        <v/>
      </c>
      <c r="H355" s="50"/>
      <c r="I355" s="55" t="str">
        <f t="shared" ca="1" si="43"/>
        <v/>
      </c>
      <c r="J355" s="50"/>
      <c r="K355" s="55" t="str">
        <f t="shared" ca="1" si="44"/>
        <v/>
      </c>
      <c r="L355" s="64" t="str">
        <f>IF(B355="","",D355+F355+H355+J355+#REF!+#REF!+#REF!+#REF!+#REF!)</f>
        <v/>
      </c>
      <c r="M355" s="55" t="str">
        <f t="shared" ca="1" si="45"/>
        <v/>
      </c>
    </row>
    <row r="356" spans="1:13" ht="19.95" customHeight="1" x14ac:dyDescent="0.25">
      <c r="A356" s="52"/>
      <c r="B356" s="51"/>
      <c r="C356" s="54" t="str">
        <f>IF(B356="","",VLOOKUP(B356,学生信息汇总!A:E,2,0))</f>
        <v/>
      </c>
      <c r="D356" s="50"/>
      <c r="E356" s="55" t="str">
        <f t="shared" ca="1" si="41"/>
        <v/>
      </c>
      <c r="F356" s="51"/>
      <c r="G356" s="55" t="str">
        <f t="shared" ca="1" si="42"/>
        <v/>
      </c>
      <c r="H356" s="50"/>
      <c r="I356" s="55" t="str">
        <f t="shared" ca="1" si="43"/>
        <v/>
      </c>
      <c r="J356" s="50"/>
      <c r="K356" s="55" t="str">
        <f t="shared" ca="1" si="44"/>
        <v/>
      </c>
      <c r="L356" s="64" t="str">
        <f>IF(B356="","",D356+F356+H356+J356+#REF!+#REF!+#REF!+#REF!+#REF!)</f>
        <v/>
      </c>
      <c r="M356" s="55" t="str">
        <f t="shared" ca="1" si="45"/>
        <v/>
      </c>
    </row>
    <row r="357" spans="1:13" ht="19.95" customHeight="1" x14ac:dyDescent="0.25">
      <c r="A357" s="52"/>
      <c r="B357" s="51"/>
      <c r="C357" s="54" t="str">
        <f>IF(B357="","",VLOOKUP(B357,学生信息汇总!A:E,2,0))</f>
        <v/>
      </c>
      <c r="D357" s="50"/>
      <c r="E357" s="55" t="str">
        <f t="shared" ca="1" si="41"/>
        <v/>
      </c>
      <c r="F357" s="51"/>
      <c r="G357" s="55" t="str">
        <f t="shared" ca="1" si="42"/>
        <v/>
      </c>
      <c r="H357" s="50"/>
      <c r="I357" s="55" t="str">
        <f t="shared" ca="1" si="43"/>
        <v/>
      </c>
      <c r="J357" s="50"/>
      <c r="K357" s="55" t="str">
        <f t="shared" ca="1" si="44"/>
        <v/>
      </c>
      <c r="L357" s="64" t="str">
        <f>IF(B357="","",D357+F357+H357+J357+#REF!+#REF!+#REF!+#REF!+#REF!)</f>
        <v/>
      </c>
      <c r="M357" s="55" t="str">
        <f t="shared" ca="1" si="45"/>
        <v/>
      </c>
    </row>
    <row r="358" spans="1:13" ht="19.95" customHeight="1" x14ac:dyDescent="0.25">
      <c r="A358" s="52"/>
      <c r="B358" s="51"/>
      <c r="C358" s="54" t="str">
        <f>IF(B358="","",VLOOKUP(B358,学生信息汇总!A:E,2,0))</f>
        <v/>
      </c>
      <c r="D358" s="50"/>
      <c r="E358" s="55" t="str">
        <f t="shared" ca="1" si="41"/>
        <v/>
      </c>
      <c r="F358" s="51"/>
      <c r="G358" s="55" t="str">
        <f t="shared" ca="1" si="42"/>
        <v/>
      </c>
      <c r="H358" s="50"/>
      <c r="I358" s="55" t="str">
        <f t="shared" ca="1" si="43"/>
        <v/>
      </c>
      <c r="J358" s="50"/>
      <c r="K358" s="55" t="str">
        <f t="shared" ca="1" si="44"/>
        <v/>
      </c>
      <c r="L358" s="64" t="str">
        <f>IF(B358="","",D358+F358+H358+J358+#REF!+#REF!+#REF!+#REF!+#REF!)</f>
        <v/>
      </c>
      <c r="M358" s="55" t="str">
        <f t="shared" ca="1" si="45"/>
        <v/>
      </c>
    </row>
    <row r="359" spans="1:13" ht="19.95" customHeight="1" x14ac:dyDescent="0.25">
      <c r="A359" s="52"/>
      <c r="B359" s="51"/>
      <c r="C359" s="54" t="str">
        <f>IF(B359="","",VLOOKUP(B359,学生信息汇总!A:E,2,0))</f>
        <v/>
      </c>
      <c r="D359" s="50"/>
      <c r="E359" s="55" t="str">
        <f t="shared" ca="1" si="41"/>
        <v/>
      </c>
      <c r="F359" s="51"/>
      <c r="G359" s="55" t="str">
        <f t="shared" ca="1" si="42"/>
        <v/>
      </c>
      <c r="H359" s="50"/>
      <c r="I359" s="55" t="str">
        <f t="shared" ca="1" si="43"/>
        <v/>
      </c>
      <c r="J359" s="50"/>
      <c r="K359" s="55" t="str">
        <f t="shared" ca="1" si="44"/>
        <v/>
      </c>
      <c r="L359" s="64" t="str">
        <f>IF(B359="","",D359+F359+H359+J359+#REF!+#REF!+#REF!+#REF!+#REF!)</f>
        <v/>
      </c>
      <c r="M359" s="55" t="str">
        <f t="shared" ca="1" si="45"/>
        <v/>
      </c>
    </row>
    <row r="360" spans="1:13" ht="19.95" customHeight="1" x14ac:dyDescent="0.25">
      <c r="A360" s="52"/>
      <c r="B360" s="51"/>
      <c r="C360" s="54" t="str">
        <f>IF(B360="","",VLOOKUP(B360,学生信息汇总!A:E,2,0))</f>
        <v/>
      </c>
      <c r="D360" s="50"/>
      <c r="E360" s="55" t="str">
        <f t="shared" ca="1" si="41"/>
        <v/>
      </c>
      <c r="F360" s="51"/>
      <c r="G360" s="55" t="str">
        <f t="shared" ca="1" si="42"/>
        <v/>
      </c>
      <c r="H360" s="50"/>
      <c r="I360" s="55" t="str">
        <f t="shared" ca="1" si="43"/>
        <v/>
      </c>
      <c r="J360" s="50"/>
      <c r="K360" s="55" t="str">
        <f t="shared" ca="1" si="44"/>
        <v/>
      </c>
      <c r="L360" s="64" t="str">
        <f>IF(B360="","",D360+F360+H360+J360+#REF!+#REF!+#REF!+#REF!+#REF!)</f>
        <v/>
      </c>
      <c r="M360" s="55" t="str">
        <f t="shared" ca="1" si="45"/>
        <v/>
      </c>
    </row>
    <row r="361" spans="1:13" ht="19.95" customHeight="1" x14ac:dyDescent="0.25">
      <c r="A361" s="52"/>
      <c r="B361" s="51"/>
      <c r="C361" s="54" t="str">
        <f>IF(B361="","",VLOOKUP(B361,学生信息汇总!A:E,2,0))</f>
        <v/>
      </c>
      <c r="D361" s="50"/>
      <c r="E361" s="55" t="str">
        <f t="shared" ca="1" si="41"/>
        <v/>
      </c>
      <c r="F361" s="51"/>
      <c r="G361" s="55" t="str">
        <f t="shared" ca="1" si="42"/>
        <v/>
      </c>
      <c r="H361" s="50"/>
      <c r="I361" s="55" t="str">
        <f t="shared" ca="1" si="43"/>
        <v/>
      </c>
      <c r="J361" s="50"/>
      <c r="K361" s="55" t="str">
        <f t="shared" ca="1" si="44"/>
        <v/>
      </c>
      <c r="L361" s="64" t="str">
        <f>IF(B361="","",D361+F361+H361+J361+#REF!+#REF!+#REF!+#REF!+#REF!)</f>
        <v/>
      </c>
      <c r="M361" s="55" t="str">
        <f t="shared" ca="1" si="45"/>
        <v/>
      </c>
    </row>
    <row r="362" spans="1:13" ht="19.95" customHeight="1" x14ac:dyDescent="0.25">
      <c r="A362" s="52"/>
      <c r="B362" s="51"/>
      <c r="C362" s="54" t="str">
        <f>IF(B362="","",VLOOKUP(B362,学生信息汇总!A:E,2,0))</f>
        <v/>
      </c>
      <c r="D362" s="50"/>
      <c r="E362" s="55" t="str">
        <f t="shared" ca="1" si="41"/>
        <v/>
      </c>
      <c r="F362" s="51"/>
      <c r="G362" s="55" t="str">
        <f t="shared" ca="1" si="42"/>
        <v/>
      </c>
      <c r="H362" s="50"/>
      <c r="I362" s="55" t="str">
        <f t="shared" ca="1" si="43"/>
        <v/>
      </c>
      <c r="J362" s="50"/>
      <c r="K362" s="55" t="str">
        <f t="shared" ca="1" si="44"/>
        <v/>
      </c>
      <c r="L362" s="64" t="str">
        <f>IF(B362="","",D362+F362+H362+J362+#REF!+#REF!+#REF!+#REF!+#REF!)</f>
        <v/>
      </c>
      <c r="M362" s="55" t="str">
        <f t="shared" ca="1" si="45"/>
        <v/>
      </c>
    </row>
    <row r="363" spans="1:13" ht="19.95" customHeight="1" x14ac:dyDescent="0.25">
      <c r="A363" s="52"/>
      <c r="B363" s="51"/>
      <c r="C363" s="54" t="str">
        <f>IF(B363="","",VLOOKUP(B363,学生信息汇总!A:E,2,0))</f>
        <v/>
      </c>
      <c r="D363" s="50"/>
      <c r="E363" s="55" t="str">
        <f t="shared" ca="1" si="41"/>
        <v/>
      </c>
      <c r="F363" s="51"/>
      <c r="G363" s="55" t="str">
        <f t="shared" ca="1" si="42"/>
        <v/>
      </c>
      <c r="H363" s="50"/>
      <c r="I363" s="55" t="str">
        <f t="shared" ca="1" si="43"/>
        <v/>
      </c>
      <c r="J363" s="50"/>
      <c r="K363" s="55" t="str">
        <f t="shared" ca="1" si="44"/>
        <v/>
      </c>
      <c r="L363" s="64" t="str">
        <f>IF(B363="","",D363+F363+H363+J363+#REF!+#REF!+#REF!+#REF!+#REF!)</f>
        <v/>
      </c>
      <c r="M363" s="55" t="str">
        <f t="shared" ca="1" si="45"/>
        <v/>
      </c>
    </row>
    <row r="364" spans="1:13" ht="19.95" customHeight="1" x14ac:dyDescent="0.25">
      <c r="A364" s="52"/>
      <c r="B364" s="51"/>
      <c r="C364" s="54" t="str">
        <f>IF(B364="","",VLOOKUP(B364,学生信息汇总!A:E,2,0))</f>
        <v/>
      </c>
      <c r="D364" s="50"/>
      <c r="E364" s="55" t="str">
        <f t="shared" ref="E364:E427" ca="1" si="46">IF(D364="","",RANK(D364,INDIRECT(ADDRESS(MATCH(VLOOKUP(A364,A:A,1,0),A:A,0),6)&amp;":"&amp;ADDRESS((MATCH(VLOOKUP(A364,A:A,1,0),A:A,0)+COUNTIF(A:A,A364)-1),6))))</f>
        <v/>
      </c>
      <c r="F364" s="51"/>
      <c r="G364" s="55" t="str">
        <f t="shared" ref="G364:G427" ca="1" si="47">IF(F364="","",RANK(F364,INDIRECT(ADDRESS(MATCH(VLOOKUP(A364,A:A,1,0),A:A,0),8)&amp;":"&amp;ADDRESS((MATCH(VLOOKUP(A364,A:A,1,0),A:A,0)+COUNTIF(A:A,A364)-1),8))))</f>
        <v/>
      </c>
      <c r="H364" s="50"/>
      <c r="I364" s="55" t="str">
        <f t="shared" ref="I364:I427" ca="1" si="48">IF(H364="","",RANK(H364,INDIRECT(ADDRESS(MATCH(VLOOKUP(A364,A:A,1,0),A:A,0),10)&amp;":"&amp;ADDRESS((MATCH(VLOOKUP(A364,A:A,1,0),A:A,0)+COUNTIF(A:A,A364)-1),10))))</f>
        <v/>
      </c>
      <c r="J364" s="50"/>
      <c r="K364" s="55" t="str">
        <f t="shared" ref="K364:K427" ca="1" si="49">IF(J364="","",RANK(J364,INDIRECT(ADDRESS(MATCH(VLOOKUP(A364,A:A,1,0),A:A,0),12)&amp;":"&amp;ADDRESS((MATCH(VLOOKUP(A364,A:A,1,0),A:A,0)+COUNTIF(A:A,A364)-1),12))))</f>
        <v/>
      </c>
      <c r="L364" s="64" t="str">
        <f>IF(B364="","",D364+F364+H364+J364+#REF!+#REF!+#REF!+#REF!+#REF!)</f>
        <v/>
      </c>
      <c r="M364" s="55" t="str">
        <f t="shared" ref="M364:M427" ca="1" si="50">IF(L364="","",RANK(L364,INDIRECT(ADDRESS(MATCH(VLOOKUP(A364,A:A,1,0),A:A,0),26)&amp;":"&amp;ADDRESS((MATCH(VLOOKUP(A364,A:A,1,0),A:A,0)+COUNTIF(A:A,A364)-1),26))))</f>
        <v/>
      </c>
    </row>
    <row r="365" spans="1:13" ht="19.95" customHeight="1" x14ac:dyDescent="0.25">
      <c r="A365" s="52"/>
      <c r="B365" s="51"/>
      <c r="C365" s="54" t="str">
        <f>IF(B365="","",VLOOKUP(B365,学生信息汇总!A:E,2,0))</f>
        <v/>
      </c>
      <c r="D365" s="50"/>
      <c r="E365" s="55" t="str">
        <f t="shared" ca="1" si="46"/>
        <v/>
      </c>
      <c r="F365" s="51"/>
      <c r="G365" s="55" t="str">
        <f t="shared" ca="1" si="47"/>
        <v/>
      </c>
      <c r="H365" s="50"/>
      <c r="I365" s="55" t="str">
        <f t="shared" ca="1" si="48"/>
        <v/>
      </c>
      <c r="J365" s="50"/>
      <c r="K365" s="55" t="str">
        <f t="shared" ca="1" si="49"/>
        <v/>
      </c>
      <c r="L365" s="64" t="str">
        <f>IF(B365="","",D365+F365+H365+J365+#REF!+#REF!+#REF!+#REF!+#REF!)</f>
        <v/>
      </c>
      <c r="M365" s="55" t="str">
        <f t="shared" ca="1" si="50"/>
        <v/>
      </c>
    </row>
    <row r="366" spans="1:13" ht="19.95" customHeight="1" x14ac:dyDescent="0.25">
      <c r="A366" s="52"/>
      <c r="B366" s="51"/>
      <c r="C366" s="54" t="str">
        <f>IF(B366="","",VLOOKUP(B366,学生信息汇总!A:E,2,0))</f>
        <v/>
      </c>
      <c r="D366" s="50"/>
      <c r="E366" s="55" t="str">
        <f t="shared" ca="1" si="46"/>
        <v/>
      </c>
      <c r="F366" s="51"/>
      <c r="G366" s="55" t="str">
        <f t="shared" ca="1" si="47"/>
        <v/>
      </c>
      <c r="H366" s="50"/>
      <c r="I366" s="55" t="str">
        <f t="shared" ca="1" si="48"/>
        <v/>
      </c>
      <c r="J366" s="50"/>
      <c r="K366" s="55" t="str">
        <f t="shared" ca="1" si="49"/>
        <v/>
      </c>
      <c r="L366" s="64" t="str">
        <f>IF(B366="","",D366+F366+H366+J366+#REF!+#REF!+#REF!+#REF!+#REF!)</f>
        <v/>
      </c>
      <c r="M366" s="55" t="str">
        <f t="shared" ca="1" si="50"/>
        <v/>
      </c>
    </row>
    <row r="367" spans="1:13" ht="19.95" customHeight="1" x14ac:dyDescent="0.25">
      <c r="A367" s="52"/>
      <c r="B367" s="51"/>
      <c r="C367" s="54" t="str">
        <f>IF(B367="","",VLOOKUP(B367,学生信息汇总!A:E,2,0))</f>
        <v/>
      </c>
      <c r="D367" s="50"/>
      <c r="E367" s="55" t="str">
        <f t="shared" ca="1" si="46"/>
        <v/>
      </c>
      <c r="F367" s="51"/>
      <c r="G367" s="55" t="str">
        <f t="shared" ca="1" si="47"/>
        <v/>
      </c>
      <c r="H367" s="50"/>
      <c r="I367" s="55" t="str">
        <f t="shared" ca="1" si="48"/>
        <v/>
      </c>
      <c r="J367" s="50"/>
      <c r="K367" s="55" t="str">
        <f t="shared" ca="1" si="49"/>
        <v/>
      </c>
      <c r="L367" s="64" t="str">
        <f>IF(B367="","",D367+F367+H367+J367+#REF!+#REF!+#REF!+#REF!+#REF!)</f>
        <v/>
      </c>
      <c r="M367" s="55" t="str">
        <f t="shared" ca="1" si="50"/>
        <v/>
      </c>
    </row>
    <row r="368" spans="1:13" ht="19.95" customHeight="1" x14ac:dyDescent="0.25">
      <c r="A368" s="52"/>
      <c r="B368" s="51"/>
      <c r="C368" s="54" t="str">
        <f>IF(B368="","",VLOOKUP(B368,学生信息汇总!A:E,2,0))</f>
        <v/>
      </c>
      <c r="D368" s="50"/>
      <c r="E368" s="55" t="str">
        <f t="shared" ca="1" si="46"/>
        <v/>
      </c>
      <c r="F368" s="51"/>
      <c r="G368" s="55" t="str">
        <f t="shared" ca="1" si="47"/>
        <v/>
      </c>
      <c r="H368" s="50"/>
      <c r="I368" s="55" t="str">
        <f t="shared" ca="1" si="48"/>
        <v/>
      </c>
      <c r="J368" s="50"/>
      <c r="K368" s="55" t="str">
        <f t="shared" ca="1" si="49"/>
        <v/>
      </c>
      <c r="L368" s="64" t="str">
        <f>IF(B368="","",D368+F368+H368+J368+#REF!+#REF!+#REF!+#REF!+#REF!)</f>
        <v/>
      </c>
      <c r="M368" s="55" t="str">
        <f t="shared" ca="1" si="50"/>
        <v/>
      </c>
    </row>
    <row r="369" spans="1:13" ht="19.95" customHeight="1" x14ac:dyDescent="0.25">
      <c r="A369" s="52"/>
      <c r="B369" s="51"/>
      <c r="C369" s="54" t="str">
        <f>IF(B369="","",VLOOKUP(B369,学生信息汇总!A:E,2,0))</f>
        <v/>
      </c>
      <c r="D369" s="50"/>
      <c r="E369" s="55" t="str">
        <f t="shared" ca="1" si="46"/>
        <v/>
      </c>
      <c r="F369" s="51"/>
      <c r="G369" s="55" t="str">
        <f t="shared" ca="1" si="47"/>
        <v/>
      </c>
      <c r="H369" s="50"/>
      <c r="I369" s="55" t="str">
        <f t="shared" ca="1" si="48"/>
        <v/>
      </c>
      <c r="J369" s="50"/>
      <c r="K369" s="55" t="str">
        <f t="shared" ca="1" si="49"/>
        <v/>
      </c>
      <c r="L369" s="64" t="str">
        <f>IF(B369="","",D369+F369+H369+J369+#REF!+#REF!+#REF!+#REF!+#REF!)</f>
        <v/>
      </c>
      <c r="M369" s="55" t="str">
        <f t="shared" ca="1" si="50"/>
        <v/>
      </c>
    </row>
    <row r="370" spans="1:13" ht="19.95" customHeight="1" x14ac:dyDescent="0.25">
      <c r="A370" s="52"/>
      <c r="B370" s="51"/>
      <c r="C370" s="54" t="str">
        <f>IF(B370="","",VLOOKUP(B370,学生信息汇总!A:E,2,0))</f>
        <v/>
      </c>
      <c r="D370" s="50"/>
      <c r="E370" s="55" t="str">
        <f t="shared" ca="1" si="46"/>
        <v/>
      </c>
      <c r="F370" s="51"/>
      <c r="G370" s="55" t="str">
        <f t="shared" ca="1" si="47"/>
        <v/>
      </c>
      <c r="H370" s="50"/>
      <c r="I370" s="55" t="str">
        <f t="shared" ca="1" si="48"/>
        <v/>
      </c>
      <c r="J370" s="50"/>
      <c r="K370" s="55" t="str">
        <f t="shared" ca="1" si="49"/>
        <v/>
      </c>
      <c r="L370" s="64" t="str">
        <f>IF(B370="","",D370+F370+H370+J370+#REF!+#REF!+#REF!+#REF!+#REF!)</f>
        <v/>
      </c>
      <c r="M370" s="55" t="str">
        <f t="shared" ca="1" si="50"/>
        <v/>
      </c>
    </row>
    <row r="371" spans="1:13" ht="19.95" customHeight="1" x14ac:dyDescent="0.25">
      <c r="A371" s="52"/>
      <c r="B371" s="51"/>
      <c r="C371" s="54" t="str">
        <f>IF(B371="","",VLOOKUP(B371,学生信息汇总!A:E,2,0))</f>
        <v/>
      </c>
      <c r="D371" s="50"/>
      <c r="E371" s="55" t="str">
        <f t="shared" ca="1" si="46"/>
        <v/>
      </c>
      <c r="F371" s="51"/>
      <c r="G371" s="55" t="str">
        <f t="shared" ca="1" si="47"/>
        <v/>
      </c>
      <c r="H371" s="50"/>
      <c r="I371" s="55" t="str">
        <f t="shared" ca="1" si="48"/>
        <v/>
      </c>
      <c r="J371" s="50"/>
      <c r="K371" s="55" t="str">
        <f t="shared" ca="1" si="49"/>
        <v/>
      </c>
      <c r="L371" s="64" t="str">
        <f>IF(B371="","",D371+F371+H371+J371+#REF!+#REF!+#REF!+#REF!+#REF!)</f>
        <v/>
      </c>
      <c r="M371" s="55" t="str">
        <f t="shared" ca="1" si="50"/>
        <v/>
      </c>
    </row>
    <row r="372" spans="1:13" ht="19.95" customHeight="1" x14ac:dyDescent="0.25">
      <c r="A372" s="52"/>
      <c r="B372" s="51"/>
      <c r="C372" s="54" t="str">
        <f>IF(B372="","",VLOOKUP(B372,学生信息汇总!A:E,2,0))</f>
        <v/>
      </c>
      <c r="D372" s="50"/>
      <c r="E372" s="55" t="str">
        <f t="shared" ca="1" si="46"/>
        <v/>
      </c>
      <c r="F372" s="51"/>
      <c r="G372" s="55" t="str">
        <f t="shared" ca="1" si="47"/>
        <v/>
      </c>
      <c r="H372" s="50"/>
      <c r="I372" s="55" t="str">
        <f t="shared" ca="1" si="48"/>
        <v/>
      </c>
      <c r="J372" s="50"/>
      <c r="K372" s="55" t="str">
        <f t="shared" ca="1" si="49"/>
        <v/>
      </c>
      <c r="L372" s="64" t="str">
        <f>IF(B372="","",D372+F372+H372+J372+#REF!+#REF!+#REF!+#REF!+#REF!)</f>
        <v/>
      </c>
      <c r="M372" s="55" t="str">
        <f t="shared" ca="1" si="50"/>
        <v/>
      </c>
    </row>
    <row r="373" spans="1:13" ht="19.95" customHeight="1" x14ac:dyDescent="0.25">
      <c r="A373" s="52"/>
      <c r="B373" s="51"/>
      <c r="C373" s="54" t="str">
        <f>IF(B373="","",VLOOKUP(B373,学生信息汇总!A:E,2,0))</f>
        <v/>
      </c>
      <c r="D373" s="50"/>
      <c r="E373" s="55" t="str">
        <f t="shared" ca="1" si="46"/>
        <v/>
      </c>
      <c r="F373" s="51"/>
      <c r="G373" s="55" t="str">
        <f t="shared" ca="1" si="47"/>
        <v/>
      </c>
      <c r="H373" s="50"/>
      <c r="I373" s="55" t="str">
        <f t="shared" ca="1" si="48"/>
        <v/>
      </c>
      <c r="J373" s="50"/>
      <c r="K373" s="55" t="str">
        <f t="shared" ca="1" si="49"/>
        <v/>
      </c>
      <c r="L373" s="64" t="str">
        <f>IF(B373="","",D373+F373+H373+J373+#REF!+#REF!+#REF!+#REF!+#REF!)</f>
        <v/>
      </c>
      <c r="M373" s="55" t="str">
        <f t="shared" ca="1" si="50"/>
        <v/>
      </c>
    </row>
    <row r="374" spans="1:13" ht="19.95" customHeight="1" x14ac:dyDescent="0.25">
      <c r="A374" s="52"/>
      <c r="B374" s="51"/>
      <c r="C374" s="54" t="str">
        <f>IF(B374="","",VLOOKUP(B374,学生信息汇总!A:E,2,0))</f>
        <v/>
      </c>
      <c r="D374" s="50"/>
      <c r="E374" s="55" t="str">
        <f t="shared" ca="1" si="46"/>
        <v/>
      </c>
      <c r="F374" s="51"/>
      <c r="G374" s="55" t="str">
        <f t="shared" ca="1" si="47"/>
        <v/>
      </c>
      <c r="H374" s="50"/>
      <c r="I374" s="55" t="str">
        <f t="shared" ca="1" si="48"/>
        <v/>
      </c>
      <c r="J374" s="50"/>
      <c r="K374" s="55" t="str">
        <f t="shared" ca="1" si="49"/>
        <v/>
      </c>
      <c r="L374" s="64" t="str">
        <f>IF(B374="","",D374+F374+H374+J374+#REF!+#REF!+#REF!+#REF!+#REF!)</f>
        <v/>
      </c>
      <c r="M374" s="55" t="str">
        <f t="shared" ca="1" si="50"/>
        <v/>
      </c>
    </row>
    <row r="375" spans="1:13" ht="19.95" customHeight="1" x14ac:dyDescent="0.25">
      <c r="A375" s="52"/>
      <c r="B375" s="51"/>
      <c r="C375" s="54" t="str">
        <f>IF(B375="","",VLOOKUP(B375,学生信息汇总!A:E,2,0))</f>
        <v/>
      </c>
      <c r="D375" s="50"/>
      <c r="E375" s="55" t="str">
        <f t="shared" ca="1" si="46"/>
        <v/>
      </c>
      <c r="F375" s="51"/>
      <c r="G375" s="55" t="str">
        <f t="shared" ca="1" si="47"/>
        <v/>
      </c>
      <c r="H375" s="50"/>
      <c r="I375" s="55" t="str">
        <f t="shared" ca="1" si="48"/>
        <v/>
      </c>
      <c r="J375" s="50"/>
      <c r="K375" s="55" t="str">
        <f t="shared" ca="1" si="49"/>
        <v/>
      </c>
      <c r="L375" s="64" t="str">
        <f>IF(B375="","",D375+F375+H375+J375+#REF!+#REF!+#REF!+#REF!+#REF!)</f>
        <v/>
      </c>
      <c r="M375" s="55" t="str">
        <f t="shared" ca="1" si="50"/>
        <v/>
      </c>
    </row>
    <row r="376" spans="1:13" ht="19.95" customHeight="1" x14ac:dyDescent="0.25">
      <c r="A376" s="52"/>
      <c r="B376" s="51"/>
      <c r="C376" s="54" t="str">
        <f>IF(B376="","",VLOOKUP(B376,学生信息汇总!A:E,2,0))</f>
        <v/>
      </c>
      <c r="D376" s="50"/>
      <c r="E376" s="55" t="str">
        <f t="shared" ca="1" si="46"/>
        <v/>
      </c>
      <c r="F376" s="51"/>
      <c r="G376" s="55" t="str">
        <f t="shared" ca="1" si="47"/>
        <v/>
      </c>
      <c r="H376" s="50"/>
      <c r="I376" s="55" t="str">
        <f t="shared" ca="1" si="48"/>
        <v/>
      </c>
      <c r="J376" s="50"/>
      <c r="K376" s="55" t="str">
        <f t="shared" ca="1" si="49"/>
        <v/>
      </c>
      <c r="L376" s="64" t="str">
        <f>IF(B376="","",D376+F376+H376+J376+#REF!+#REF!+#REF!+#REF!+#REF!)</f>
        <v/>
      </c>
      <c r="M376" s="55" t="str">
        <f t="shared" ca="1" si="50"/>
        <v/>
      </c>
    </row>
    <row r="377" spans="1:13" ht="19.95" customHeight="1" x14ac:dyDescent="0.25">
      <c r="A377" s="52"/>
      <c r="B377" s="51"/>
      <c r="C377" s="54" t="str">
        <f>IF(B377="","",VLOOKUP(B377,学生信息汇总!A:E,2,0))</f>
        <v/>
      </c>
      <c r="D377" s="50"/>
      <c r="E377" s="55" t="str">
        <f t="shared" ca="1" si="46"/>
        <v/>
      </c>
      <c r="F377" s="51"/>
      <c r="G377" s="55" t="str">
        <f t="shared" ca="1" si="47"/>
        <v/>
      </c>
      <c r="H377" s="50"/>
      <c r="I377" s="55" t="str">
        <f t="shared" ca="1" si="48"/>
        <v/>
      </c>
      <c r="J377" s="50"/>
      <c r="K377" s="55" t="str">
        <f t="shared" ca="1" si="49"/>
        <v/>
      </c>
      <c r="L377" s="64" t="str">
        <f>IF(B377="","",D377+F377+H377+J377+#REF!+#REF!+#REF!+#REF!+#REF!)</f>
        <v/>
      </c>
      <c r="M377" s="55" t="str">
        <f t="shared" ca="1" si="50"/>
        <v/>
      </c>
    </row>
    <row r="378" spans="1:13" ht="19.95" customHeight="1" x14ac:dyDescent="0.25">
      <c r="A378" s="52"/>
      <c r="B378" s="51"/>
      <c r="C378" s="54" t="str">
        <f>IF(B378="","",VLOOKUP(B378,学生信息汇总!A:E,2,0))</f>
        <v/>
      </c>
      <c r="D378" s="50"/>
      <c r="E378" s="55" t="str">
        <f t="shared" ca="1" si="46"/>
        <v/>
      </c>
      <c r="F378" s="51"/>
      <c r="G378" s="55" t="str">
        <f t="shared" ca="1" si="47"/>
        <v/>
      </c>
      <c r="H378" s="50"/>
      <c r="I378" s="55" t="str">
        <f t="shared" ca="1" si="48"/>
        <v/>
      </c>
      <c r="J378" s="50"/>
      <c r="K378" s="55" t="str">
        <f t="shared" ca="1" si="49"/>
        <v/>
      </c>
      <c r="L378" s="64" t="str">
        <f>IF(B378="","",D378+F378+H378+J378+#REF!+#REF!+#REF!+#REF!+#REF!)</f>
        <v/>
      </c>
      <c r="M378" s="55" t="str">
        <f t="shared" ca="1" si="50"/>
        <v/>
      </c>
    </row>
    <row r="379" spans="1:13" ht="19.95" customHeight="1" x14ac:dyDescent="0.25">
      <c r="A379" s="52"/>
      <c r="B379" s="51"/>
      <c r="C379" s="54" t="str">
        <f>IF(B379="","",VLOOKUP(B379,学生信息汇总!A:E,2,0))</f>
        <v/>
      </c>
      <c r="D379" s="50"/>
      <c r="E379" s="55" t="str">
        <f t="shared" ca="1" si="46"/>
        <v/>
      </c>
      <c r="F379" s="51"/>
      <c r="G379" s="55" t="str">
        <f t="shared" ca="1" si="47"/>
        <v/>
      </c>
      <c r="H379" s="50"/>
      <c r="I379" s="55" t="str">
        <f t="shared" ca="1" si="48"/>
        <v/>
      </c>
      <c r="J379" s="50"/>
      <c r="K379" s="55" t="str">
        <f t="shared" ca="1" si="49"/>
        <v/>
      </c>
      <c r="L379" s="64" t="str">
        <f>IF(B379="","",D379+F379+H379+J379+#REF!+#REF!+#REF!+#REF!+#REF!)</f>
        <v/>
      </c>
      <c r="M379" s="55" t="str">
        <f t="shared" ca="1" si="50"/>
        <v/>
      </c>
    </row>
    <row r="380" spans="1:13" ht="19.95" customHeight="1" x14ac:dyDescent="0.25">
      <c r="A380" s="52"/>
      <c r="B380" s="51"/>
      <c r="C380" s="54" t="str">
        <f>IF(B380="","",VLOOKUP(B380,学生信息汇总!A:E,2,0))</f>
        <v/>
      </c>
      <c r="D380" s="50"/>
      <c r="E380" s="55" t="str">
        <f t="shared" ca="1" si="46"/>
        <v/>
      </c>
      <c r="F380" s="51"/>
      <c r="G380" s="55" t="str">
        <f t="shared" ca="1" si="47"/>
        <v/>
      </c>
      <c r="H380" s="50"/>
      <c r="I380" s="55" t="str">
        <f t="shared" ca="1" si="48"/>
        <v/>
      </c>
      <c r="J380" s="50"/>
      <c r="K380" s="55" t="str">
        <f t="shared" ca="1" si="49"/>
        <v/>
      </c>
      <c r="L380" s="64" t="str">
        <f>IF(B380="","",D380+F380+H380+J380+#REF!+#REF!+#REF!+#REF!+#REF!)</f>
        <v/>
      </c>
      <c r="M380" s="55" t="str">
        <f t="shared" ca="1" si="50"/>
        <v/>
      </c>
    </row>
    <row r="381" spans="1:13" ht="19.95" customHeight="1" x14ac:dyDescent="0.25">
      <c r="A381" s="52"/>
      <c r="B381" s="51"/>
      <c r="C381" s="54" t="str">
        <f>IF(B381="","",VLOOKUP(B381,学生信息汇总!A:E,2,0))</f>
        <v/>
      </c>
      <c r="D381" s="50"/>
      <c r="E381" s="55" t="str">
        <f t="shared" ca="1" si="46"/>
        <v/>
      </c>
      <c r="F381" s="51"/>
      <c r="G381" s="55" t="str">
        <f t="shared" ca="1" si="47"/>
        <v/>
      </c>
      <c r="H381" s="50"/>
      <c r="I381" s="55" t="str">
        <f t="shared" ca="1" si="48"/>
        <v/>
      </c>
      <c r="J381" s="50"/>
      <c r="K381" s="55" t="str">
        <f t="shared" ca="1" si="49"/>
        <v/>
      </c>
      <c r="L381" s="64" t="str">
        <f>IF(B381="","",D381+F381+H381+J381+#REF!+#REF!+#REF!+#REF!+#REF!)</f>
        <v/>
      </c>
      <c r="M381" s="55" t="str">
        <f t="shared" ca="1" si="50"/>
        <v/>
      </c>
    </row>
    <row r="382" spans="1:13" ht="19.95" customHeight="1" x14ac:dyDescent="0.25">
      <c r="A382" s="52"/>
      <c r="B382" s="51"/>
      <c r="C382" s="54" t="str">
        <f>IF(B382="","",VLOOKUP(B382,学生信息汇总!A:E,2,0))</f>
        <v/>
      </c>
      <c r="D382" s="50"/>
      <c r="E382" s="55" t="str">
        <f t="shared" ca="1" si="46"/>
        <v/>
      </c>
      <c r="F382" s="51"/>
      <c r="G382" s="55" t="str">
        <f t="shared" ca="1" si="47"/>
        <v/>
      </c>
      <c r="H382" s="50"/>
      <c r="I382" s="55" t="str">
        <f t="shared" ca="1" si="48"/>
        <v/>
      </c>
      <c r="J382" s="50"/>
      <c r="K382" s="55" t="str">
        <f t="shared" ca="1" si="49"/>
        <v/>
      </c>
      <c r="L382" s="64" t="str">
        <f>IF(B382="","",D382+F382+H382+J382+#REF!+#REF!+#REF!+#REF!+#REF!)</f>
        <v/>
      </c>
      <c r="M382" s="55" t="str">
        <f t="shared" ca="1" si="50"/>
        <v/>
      </c>
    </row>
    <row r="383" spans="1:13" ht="19.95" customHeight="1" x14ac:dyDescent="0.25">
      <c r="A383" s="52"/>
      <c r="B383" s="51"/>
      <c r="C383" s="54" t="str">
        <f>IF(B383="","",VLOOKUP(B383,学生信息汇总!A:E,2,0))</f>
        <v/>
      </c>
      <c r="D383" s="50"/>
      <c r="E383" s="55" t="str">
        <f t="shared" ca="1" si="46"/>
        <v/>
      </c>
      <c r="F383" s="51"/>
      <c r="G383" s="55" t="str">
        <f t="shared" ca="1" si="47"/>
        <v/>
      </c>
      <c r="H383" s="50"/>
      <c r="I383" s="55" t="str">
        <f t="shared" ca="1" si="48"/>
        <v/>
      </c>
      <c r="J383" s="50"/>
      <c r="K383" s="55" t="str">
        <f t="shared" ca="1" si="49"/>
        <v/>
      </c>
      <c r="L383" s="64" t="str">
        <f>IF(B383="","",D383+F383+H383+J383+#REF!+#REF!+#REF!+#REF!+#REF!)</f>
        <v/>
      </c>
      <c r="M383" s="55" t="str">
        <f t="shared" ca="1" si="50"/>
        <v/>
      </c>
    </row>
    <row r="384" spans="1:13" ht="19.95" customHeight="1" x14ac:dyDescent="0.25">
      <c r="A384" s="52"/>
      <c r="B384" s="51"/>
      <c r="C384" s="54" t="str">
        <f>IF(B384="","",VLOOKUP(B384,学生信息汇总!A:E,2,0))</f>
        <v/>
      </c>
      <c r="D384" s="50"/>
      <c r="E384" s="55" t="str">
        <f t="shared" ca="1" si="46"/>
        <v/>
      </c>
      <c r="F384" s="51"/>
      <c r="G384" s="55" t="str">
        <f t="shared" ca="1" si="47"/>
        <v/>
      </c>
      <c r="H384" s="50"/>
      <c r="I384" s="55" t="str">
        <f t="shared" ca="1" si="48"/>
        <v/>
      </c>
      <c r="J384" s="50"/>
      <c r="K384" s="55" t="str">
        <f t="shared" ca="1" si="49"/>
        <v/>
      </c>
      <c r="L384" s="64" t="str">
        <f>IF(B384="","",D384+F384+H384+J384+#REF!+#REF!+#REF!+#REF!+#REF!)</f>
        <v/>
      </c>
      <c r="M384" s="55" t="str">
        <f t="shared" ca="1" si="50"/>
        <v/>
      </c>
    </row>
    <row r="385" spans="1:13" ht="19.95" customHeight="1" x14ac:dyDescent="0.25">
      <c r="A385" s="52"/>
      <c r="B385" s="51"/>
      <c r="C385" s="54" t="str">
        <f>IF(B385="","",VLOOKUP(B385,学生信息汇总!A:E,2,0))</f>
        <v/>
      </c>
      <c r="D385" s="50"/>
      <c r="E385" s="55" t="str">
        <f t="shared" ca="1" si="46"/>
        <v/>
      </c>
      <c r="F385" s="51"/>
      <c r="G385" s="55" t="str">
        <f t="shared" ca="1" si="47"/>
        <v/>
      </c>
      <c r="H385" s="50"/>
      <c r="I385" s="55" t="str">
        <f t="shared" ca="1" si="48"/>
        <v/>
      </c>
      <c r="J385" s="50"/>
      <c r="K385" s="55" t="str">
        <f t="shared" ca="1" si="49"/>
        <v/>
      </c>
      <c r="L385" s="64" t="str">
        <f>IF(B385="","",D385+F385+H385+J385+#REF!+#REF!+#REF!+#REF!+#REF!)</f>
        <v/>
      </c>
      <c r="M385" s="55" t="str">
        <f t="shared" ca="1" si="50"/>
        <v/>
      </c>
    </row>
    <row r="386" spans="1:13" ht="19.95" customHeight="1" x14ac:dyDescent="0.25">
      <c r="A386" s="52"/>
      <c r="B386" s="51"/>
      <c r="C386" s="54" t="str">
        <f>IF(B386="","",VLOOKUP(B386,学生信息汇总!A:E,2,0))</f>
        <v/>
      </c>
      <c r="D386" s="50"/>
      <c r="E386" s="55" t="str">
        <f t="shared" ca="1" si="46"/>
        <v/>
      </c>
      <c r="F386" s="51"/>
      <c r="G386" s="55" t="str">
        <f t="shared" ca="1" si="47"/>
        <v/>
      </c>
      <c r="H386" s="50"/>
      <c r="I386" s="55" t="str">
        <f t="shared" ca="1" si="48"/>
        <v/>
      </c>
      <c r="J386" s="50"/>
      <c r="K386" s="55" t="str">
        <f t="shared" ca="1" si="49"/>
        <v/>
      </c>
      <c r="L386" s="64" t="str">
        <f>IF(B386="","",D386+F386+H386+J386+#REF!+#REF!+#REF!+#REF!+#REF!)</f>
        <v/>
      </c>
      <c r="M386" s="55" t="str">
        <f t="shared" ca="1" si="50"/>
        <v/>
      </c>
    </row>
    <row r="387" spans="1:13" ht="19.95" customHeight="1" x14ac:dyDescent="0.25">
      <c r="A387" s="52"/>
      <c r="B387" s="51"/>
      <c r="C387" s="54" t="str">
        <f>IF(B387="","",VLOOKUP(B387,学生信息汇总!A:E,2,0))</f>
        <v/>
      </c>
      <c r="D387" s="50"/>
      <c r="E387" s="55" t="str">
        <f t="shared" ca="1" si="46"/>
        <v/>
      </c>
      <c r="F387" s="51"/>
      <c r="G387" s="55" t="str">
        <f t="shared" ca="1" si="47"/>
        <v/>
      </c>
      <c r="H387" s="50"/>
      <c r="I387" s="55" t="str">
        <f t="shared" ca="1" si="48"/>
        <v/>
      </c>
      <c r="J387" s="50"/>
      <c r="K387" s="55" t="str">
        <f t="shared" ca="1" si="49"/>
        <v/>
      </c>
      <c r="L387" s="64" t="str">
        <f>IF(B387="","",D387+F387+H387+J387+#REF!+#REF!+#REF!+#REF!+#REF!)</f>
        <v/>
      </c>
      <c r="M387" s="55" t="str">
        <f t="shared" ca="1" si="50"/>
        <v/>
      </c>
    </row>
    <row r="388" spans="1:13" ht="19.95" customHeight="1" x14ac:dyDescent="0.25">
      <c r="A388" s="52"/>
      <c r="B388" s="51"/>
      <c r="C388" s="54" t="str">
        <f>IF(B388="","",VLOOKUP(B388,学生信息汇总!A:E,2,0))</f>
        <v/>
      </c>
      <c r="D388" s="50"/>
      <c r="E388" s="55" t="str">
        <f t="shared" ca="1" si="46"/>
        <v/>
      </c>
      <c r="F388" s="51"/>
      <c r="G388" s="55" t="str">
        <f t="shared" ca="1" si="47"/>
        <v/>
      </c>
      <c r="H388" s="50"/>
      <c r="I388" s="55" t="str">
        <f t="shared" ca="1" si="48"/>
        <v/>
      </c>
      <c r="J388" s="50"/>
      <c r="K388" s="55" t="str">
        <f t="shared" ca="1" si="49"/>
        <v/>
      </c>
      <c r="L388" s="64" t="str">
        <f>IF(B388="","",D388+F388+H388+J388+#REF!+#REF!+#REF!+#REF!+#REF!)</f>
        <v/>
      </c>
      <c r="M388" s="55" t="str">
        <f t="shared" ca="1" si="50"/>
        <v/>
      </c>
    </row>
    <row r="389" spans="1:13" ht="19.95" customHeight="1" x14ac:dyDescent="0.25">
      <c r="A389" s="52"/>
      <c r="B389" s="51"/>
      <c r="C389" s="54" t="str">
        <f>IF(B389="","",VLOOKUP(B389,学生信息汇总!A:E,2,0))</f>
        <v/>
      </c>
      <c r="D389" s="50"/>
      <c r="E389" s="55" t="str">
        <f t="shared" ca="1" si="46"/>
        <v/>
      </c>
      <c r="F389" s="51"/>
      <c r="G389" s="55" t="str">
        <f t="shared" ca="1" si="47"/>
        <v/>
      </c>
      <c r="H389" s="50"/>
      <c r="I389" s="55" t="str">
        <f t="shared" ca="1" si="48"/>
        <v/>
      </c>
      <c r="J389" s="50"/>
      <c r="K389" s="55" t="str">
        <f t="shared" ca="1" si="49"/>
        <v/>
      </c>
      <c r="L389" s="64" t="str">
        <f>IF(B389="","",D389+F389+H389+J389+#REF!+#REF!+#REF!+#REF!+#REF!)</f>
        <v/>
      </c>
      <c r="M389" s="55" t="str">
        <f t="shared" ca="1" si="50"/>
        <v/>
      </c>
    </row>
    <row r="390" spans="1:13" ht="19.95" customHeight="1" x14ac:dyDescent="0.25">
      <c r="A390" s="52"/>
      <c r="B390" s="51"/>
      <c r="C390" s="54" t="str">
        <f>IF(B390="","",VLOOKUP(B390,学生信息汇总!A:E,2,0))</f>
        <v/>
      </c>
      <c r="D390" s="50"/>
      <c r="E390" s="55" t="str">
        <f t="shared" ca="1" si="46"/>
        <v/>
      </c>
      <c r="F390" s="51"/>
      <c r="G390" s="55" t="str">
        <f t="shared" ca="1" si="47"/>
        <v/>
      </c>
      <c r="H390" s="50"/>
      <c r="I390" s="55" t="str">
        <f t="shared" ca="1" si="48"/>
        <v/>
      </c>
      <c r="J390" s="50"/>
      <c r="K390" s="55" t="str">
        <f t="shared" ca="1" si="49"/>
        <v/>
      </c>
      <c r="L390" s="64" t="str">
        <f>IF(B390="","",D390+F390+H390+J390+#REF!+#REF!+#REF!+#REF!+#REF!)</f>
        <v/>
      </c>
      <c r="M390" s="55" t="str">
        <f t="shared" ca="1" si="50"/>
        <v/>
      </c>
    </row>
    <row r="391" spans="1:13" ht="19.95" customHeight="1" x14ac:dyDescent="0.25">
      <c r="A391" s="52"/>
      <c r="B391" s="51"/>
      <c r="C391" s="54" t="str">
        <f>IF(B391="","",VLOOKUP(B391,学生信息汇总!A:E,2,0))</f>
        <v/>
      </c>
      <c r="D391" s="50"/>
      <c r="E391" s="55" t="str">
        <f t="shared" ca="1" si="46"/>
        <v/>
      </c>
      <c r="F391" s="51"/>
      <c r="G391" s="55" t="str">
        <f t="shared" ca="1" si="47"/>
        <v/>
      </c>
      <c r="H391" s="50"/>
      <c r="I391" s="55" t="str">
        <f t="shared" ca="1" si="48"/>
        <v/>
      </c>
      <c r="J391" s="50"/>
      <c r="K391" s="55" t="str">
        <f t="shared" ca="1" si="49"/>
        <v/>
      </c>
      <c r="L391" s="64" t="str">
        <f>IF(B391="","",D391+F391+H391+J391+#REF!+#REF!+#REF!+#REF!+#REF!)</f>
        <v/>
      </c>
      <c r="M391" s="55" t="str">
        <f t="shared" ca="1" si="50"/>
        <v/>
      </c>
    </row>
    <row r="392" spans="1:13" ht="19.95" customHeight="1" x14ac:dyDescent="0.25">
      <c r="A392" s="52"/>
      <c r="B392" s="51"/>
      <c r="C392" s="54" t="str">
        <f>IF(B392="","",VLOOKUP(B392,学生信息汇总!A:E,2,0))</f>
        <v/>
      </c>
      <c r="D392" s="50"/>
      <c r="E392" s="55" t="str">
        <f t="shared" ca="1" si="46"/>
        <v/>
      </c>
      <c r="F392" s="51"/>
      <c r="G392" s="55" t="str">
        <f t="shared" ca="1" si="47"/>
        <v/>
      </c>
      <c r="H392" s="50"/>
      <c r="I392" s="55" t="str">
        <f t="shared" ca="1" si="48"/>
        <v/>
      </c>
      <c r="J392" s="50"/>
      <c r="K392" s="55" t="str">
        <f t="shared" ca="1" si="49"/>
        <v/>
      </c>
      <c r="L392" s="64" t="str">
        <f>IF(B392="","",D392+F392+H392+J392+#REF!+#REF!+#REF!+#REF!+#REF!)</f>
        <v/>
      </c>
      <c r="M392" s="55" t="str">
        <f t="shared" ca="1" si="50"/>
        <v/>
      </c>
    </row>
    <row r="393" spans="1:13" ht="19.95" customHeight="1" x14ac:dyDescent="0.25">
      <c r="A393" s="52"/>
      <c r="B393" s="51"/>
      <c r="C393" s="54" t="str">
        <f>IF(B393="","",VLOOKUP(B393,学生信息汇总!A:E,2,0))</f>
        <v/>
      </c>
      <c r="D393" s="50"/>
      <c r="E393" s="55" t="str">
        <f t="shared" ca="1" si="46"/>
        <v/>
      </c>
      <c r="F393" s="51"/>
      <c r="G393" s="55" t="str">
        <f t="shared" ca="1" si="47"/>
        <v/>
      </c>
      <c r="H393" s="50"/>
      <c r="I393" s="55" t="str">
        <f t="shared" ca="1" si="48"/>
        <v/>
      </c>
      <c r="J393" s="50"/>
      <c r="K393" s="55" t="str">
        <f t="shared" ca="1" si="49"/>
        <v/>
      </c>
      <c r="L393" s="64" t="str">
        <f>IF(B393="","",D393+F393+H393+J393+#REF!+#REF!+#REF!+#REF!+#REF!)</f>
        <v/>
      </c>
      <c r="M393" s="55" t="str">
        <f t="shared" ca="1" si="50"/>
        <v/>
      </c>
    </row>
    <row r="394" spans="1:13" ht="19.95" customHeight="1" x14ac:dyDescent="0.25">
      <c r="A394" s="52"/>
      <c r="B394" s="51"/>
      <c r="C394" s="54" t="str">
        <f>IF(B394="","",VLOOKUP(B394,学生信息汇总!A:E,2,0))</f>
        <v/>
      </c>
      <c r="D394" s="50"/>
      <c r="E394" s="55" t="str">
        <f t="shared" ca="1" si="46"/>
        <v/>
      </c>
      <c r="F394" s="51"/>
      <c r="G394" s="55" t="str">
        <f t="shared" ca="1" si="47"/>
        <v/>
      </c>
      <c r="H394" s="50"/>
      <c r="I394" s="55" t="str">
        <f t="shared" ca="1" si="48"/>
        <v/>
      </c>
      <c r="J394" s="50"/>
      <c r="K394" s="55" t="str">
        <f t="shared" ca="1" si="49"/>
        <v/>
      </c>
      <c r="L394" s="64" t="str">
        <f>IF(B394="","",D394+F394+H394+J394+#REF!+#REF!+#REF!+#REF!+#REF!)</f>
        <v/>
      </c>
      <c r="M394" s="55" t="str">
        <f t="shared" ca="1" si="50"/>
        <v/>
      </c>
    </row>
    <row r="395" spans="1:13" ht="19.95" customHeight="1" x14ac:dyDescent="0.25">
      <c r="A395" s="52"/>
      <c r="B395" s="51"/>
      <c r="C395" s="54" t="str">
        <f>IF(B395="","",VLOOKUP(B395,学生信息汇总!A:E,2,0))</f>
        <v/>
      </c>
      <c r="D395" s="50"/>
      <c r="E395" s="55" t="str">
        <f t="shared" ca="1" si="46"/>
        <v/>
      </c>
      <c r="F395" s="51"/>
      <c r="G395" s="55" t="str">
        <f t="shared" ca="1" si="47"/>
        <v/>
      </c>
      <c r="H395" s="50"/>
      <c r="I395" s="55" t="str">
        <f t="shared" ca="1" si="48"/>
        <v/>
      </c>
      <c r="J395" s="50"/>
      <c r="K395" s="55" t="str">
        <f t="shared" ca="1" si="49"/>
        <v/>
      </c>
      <c r="L395" s="64" t="str">
        <f>IF(B395="","",D395+F395+H395+J395+#REF!+#REF!+#REF!+#REF!+#REF!)</f>
        <v/>
      </c>
      <c r="M395" s="55" t="str">
        <f t="shared" ca="1" si="50"/>
        <v/>
      </c>
    </row>
    <row r="396" spans="1:13" ht="19.95" customHeight="1" x14ac:dyDescent="0.25">
      <c r="A396" s="52"/>
      <c r="B396" s="51"/>
      <c r="C396" s="54" t="str">
        <f>IF(B396="","",VLOOKUP(B396,学生信息汇总!A:E,2,0))</f>
        <v/>
      </c>
      <c r="D396" s="50"/>
      <c r="E396" s="55" t="str">
        <f t="shared" ca="1" si="46"/>
        <v/>
      </c>
      <c r="F396" s="51"/>
      <c r="G396" s="55" t="str">
        <f t="shared" ca="1" si="47"/>
        <v/>
      </c>
      <c r="H396" s="50"/>
      <c r="I396" s="55" t="str">
        <f t="shared" ca="1" si="48"/>
        <v/>
      </c>
      <c r="J396" s="50"/>
      <c r="K396" s="55" t="str">
        <f t="shared" ca="1" si="49"/>
        <v/>
      </c>
      <c r="L396" s="64" t="str">
        <f>IF(B396="","",D396+F396+H396+J396+#REF!+#REF!+#REF!+#REF!+#REF!)</f>
        <v/>
      </c>
      <c r="M396" s="55" t="str">
        <f t="shared" ca="1" si="50"/>
        <v/>
      </c>
    </row>
    <row r="397" spans="1:13" ht="19.95" customHeight="1" x14ac:dyDescent="0.25">
      <c r="A397" s="52"/>
      <c r="B397" s="51"/>
      <c r="C397" s="54" t="str">
        <f>IF(B397="","",VLOOKUP(B397,学生信息汇总!A:E,2,0))</f>
        <v/>
      </c>
      <c r="D397" s="50"/>
      <c r="E397" s="55" t="str">
        <f t="shared" ca="1" si="46"/>
        <v/>
      </c>
      <c r="F397" s="51"/>
      <c r="G397" s="55" t="str">
        <f t="shared" ca="1" si="47"/>
        <v/>
      </c>
      <c r="H397" s="50"/>
      <c r="I397" s="55" t="str">
        <f t="shared" ca="1" si="48"/>
        <v/>
      </c>
      <c r="J397" s="50"/>
      <c r="K397" s="55" t="str">
        <f t="shared" ca="1" si="49"/>
        <v/>
      </c>
      <c r="L397" s="64" t="str">
        <f>IF(B397="","",D397+F397+H397+J397+#REF!+#REF!+#REF!+#REF!+#REF!)</f>
        <v/>
      </c>
      <c r="M397" s="55" t="str">
        <f t="shared" ca="1" si="50"/>
        <v/>
      </c>
    </row>
    <row r="398" spans="1:13" ht="19.95" customHeight="1" x14ac:dyDescent="0.25">
      <c r="A398" s="52"/>
      <c r="B398" s="51"/>
      <c r="C398" s="54" t="str">
        <f>IF(B398="","",VLOOKUP(B398,学生信息汇总!A:E,2,0))</f>
        <v/>
      </c>
      <c r="D398" s="50"/>
      <c r="E398" s="55" t="str">
        <f t="shared" ca="1" si="46"/>
        <v/>
      </c>
      <c r="F398" s="51"/>
      <c r="G398" s="55" t="str">
        <f t="shared" ca="1" si="47"/>
        <v/>
      </c>
      <c r="H398" s="50"/>
      <c r="I398" s="55" t="str">
        <f t="shared" ca="1" si="48"/>
        <v/>
      </c>
      <c r="J398" s="50"/>
      <c r="K398" s="55" t="str">
        <f t="shared" ca="1" si="49"/>
        <v/>
      </c>
      <c r="L398" s="64" t="str">
        <f>IF(B398="","",D398+F398+H398+J398+#REF!+#REF!+#REF!+#REF!+#REF!)</f>
        <v/>
      </c>
      <c r="M398" s="55" t="str">
        <f t="shared" ca="1" si="50"/>
        <v/>
      </c>
    </row>
    <row r="399" spans="1:13" ht="19.95" customHeight="1" x14ac:dyDescent="0.25">
      <c r="A399" s="52"/>
      <c r="B399" s="51"/>
      <c r="C399" s="54" t="str">
        <f>IF(B399="","",VLOOKUP(B399,学生信息汇总!A:E,2,0))</f>
        <v/>
      </c>
      <c r="D399" s="50"/>
      <c r="E399" s="55" t="str">
        <f t="shared" ca="1" si="46"/>
        <v/>
      </c>
      <c r="F399" s="51"/>
      <c r="G399" s="55" t="str">
        <f t="shared" ca="1" si="47"/>
        <v/>
      </c>
      <c r="H399" s="50"/>
      <c r="I399" s="55" t="str">
        <f t="shared" ca="1" si="48"/>
        <v/>
      </c>
      <c r="J399" s="50"/>
      <c r="K399" s="55" t="str">
        <f t="shared" ca="1" si="49"/>
        <v/>
      </c>
      <c r="L399" s="64" t="str">
        <f>IF(B399="","",D399+F399+H399+J399+#REF!+#REF!+#REF!+#REF!+#REF!)</f>
        <v/>
      </c>
      <c r="M399" s="55" t="str">
        <f t="shared" ca="1" si="50"/>
        <v/>
      </c>
    </row>
    <row r="400" spans="1:13" ht="19.95" customHeight="1" x14ac:dyDescent="0.25">
      <c r="A400" s="52"/>
      <c r="B400" s="51"/>
      <c r="C400" s="54" t="str">
        <f>IF(B400="","",VLOOKUP(B400,学生信息汇总!A:E,2,0))</f>
        <v/>
      </c>
      <c r="D400" s="50"/>
      <c r="E400" s="55" t="str">
        <f t="shared" ca="1" si="46"/>
        <v/>
      </c>
      <c r="F400" s="51"/>
      <c r="G400" s="55" t="str">
        <f t="shared" ca="1" si="47"/>
        <v/>
      </c>
      <c r="H400" s="50"/>
      <c r="I400" s="55" t="str">
        <f t="shared" ca="1" si="48"/>
        <v/>
      </c>
      <c r="J400" s="50"/>
      <c r="K400" s="55" t="str">
        <f t="shared" ca="1" si="49"/>
        <v/>
      </c>
      <c r="L400" s="64" t="str">
        <f>IF(B400="","",D400+F400+H400+J400+#REF!+#REF!+#REF!+#REF!+#REF!)</f>
        <v/>
      </c>
      <c r="M400" s="55" t="str">
        <f t="shared" ca="1" si="50"/>
        <v/>
      </c>
    </row>
    <row r="401" spans="1:13" ht="19.95" customHeight="1" x14ac:dyDescent="0.25">
      <c r="A401" s="52"/>
      <c r="B401" s="51"/>
      <c r="C401" s="54" t="str">
        <f>IF(B401="","",VLOOKUP(B401,学生信息汇总!A:E,2,0))</f>
        <v/>
      </c>
      <c r="D401" s="50"/>
      <c r="E401" s="55" t="str">
        <f t="shared" ca="1" si="46"/>
        <v/>
      </c>
      <c r="F401" s="51"/>
      <c r="G401" s="55" t="str">
        <f t="shared" ca="1" si="47"/>
        <v/>
      </c>
      <c r="H401" s="50"/>
      <c r="I401" s="55" t="str">
        <f t="shared" ca="1" si="48"/>
        <v/>
      </c>
      <c r="J401" s="50"/>
      <c r="K401" s="55" t="str">
        <f t="shared" ca="1" si="49"/>
        <v/>
      </c>
      <c r="L401" s="64" t="str">
        <f>IF(B401="","",D401+F401+H401+J401+#REF!+#REF!+#REF!+#REF!+#REF!)</f>
        <v/>
      </c>
      <c r="M401" s="55" t="str">
        <f t="shared" ca="1" si="50"/>
        <v/>
      </c>
    </row>
    <row r="402" spans="1:13" ht="19.95" customHeight="1" x14ac:dyDescent="0.25">
      <c r="A402" s="52"/>
      <c r="B402" s="51"/>
      <c r="C402" s="54" t="str">
        <f>IF(B402="","",VLOOKUP(B402,学生信息汇总!A:E,2,0))</f>
        <v/>
      </c>
      <c r="D402" s="50"/>
      <c r="E402" s="55" t="str">
        <f t="shared" ca="1" si="46"/>
        <v/>
      </c>
      <c r="F402" s="51"/>
      <c r="G402" s="55" t="str">
        <f t="shared" ca="1" si="47"/>
        <v/>
      </c>
      <c r="H402" s="50"/>
      <c r="I402" s="55" t="str">
        <f t="shared" ca="1" si="48"/>
        <v/>
      </c>
      <c r="J402" s="50"/>
      <c r="K402" s="55" t="str">
        <f t="shared" ca="1" si="49"/>
        <v/>
      </c>
      <c r="L402" s="64" t="str">
        <f>IF(B402="","",D402+F402+H402+J402+#REF!+#REF!+#REF!+#REF!+#REF!)</f>
        <v/>
      </c>
      <c r="M402" s="55" t="str">
        <f t="shared" ca="1" si="50"/>
        <v/>
      </c>
    </row>
    <row r="403" spans="1:13" ht="19.95" customHeight="1" x14ac:dyDescent="0.25">
      <c r="A403" s="52"/>
      <c r="B403" s="51"/>
      <c r="C403" s="54" t="str">
        <f>IF(B403="","",VLOOKUP(B403,学生信息汇总!A:E,2,0))</f>
        <v/>
      </c>
      <c r="D403" s="50"/>
      <c r="E403" s="55" t="str">
        <f t="shared" ca="1" si="46"/>
        <v/>
      </c>
      <c r="F403" s="51"/>
      <c r="G403" s="55" t="str">
        <f t="shared" ca="1" si="47"/>
        <v/>
      </c>
      <c r="H403" s="50"/>
      <c r="I403" s="55" t="str">
        <f t="shared" ca="1" si="48"/>
        <v/>
      </c>
      <c r="J403" s="50"/>
      <c r="K403" s="55" t="str">
        <f t="shared" ca="1" si="49"/>
        <v/>
      </c>
      <c r="L403" s="64" t="str">
        <f>IF(B403="","",D403+F403+H403+J403+#REF!+#REF!+#REF!+#REF!+#REF!)</f>
        <v/>
      </c>
      <c r="M403" s="55" t="str">
        <f t="shared" ca="1" si="50"/>
        <v/>
      </c>
    </row>
    <row r="404" spans="1:13" ht="19.95" customHeight="1" x14ac:dyDescent="0.25">
      <c r="A404" s="52"/>
      <c r="B404" s="51"/>
      <c r="C404" s="54" t="str">
        <f>IF(B404="","",VLOOKUP(B404,学生信息汇总!A:E,2,0))</f>
        <v/>
      </c>
      <c r="D404" s="50"/>
      <c r="E404" s="55" t="str">
        <f t="shared" ca="1" si="46"/>
        <v/>
      </c>
      <c r="F404" s="51"/>
      <c r="G404" s="55" t="str">
        <f t="shared" ca="1" si="47"/>
        <v/>
      </c>
      <c r="H404" s="50"/>
      <c r="I404" s="55" t="str">
        <f t="shared" ca="1" si="48"/>
        <v/>
      </c>
      <c r="J404" s="50"/>
      <c r="K404" s="55" t="str">
        <f t="shared" ca="1" si="49"/>
        <v/>
      </c>
      <c r="L404" s="64" t="str">
        <f>IF(B404="","",D404+F404+H404+J404+#REF!+#REF!+#REF!+#REF!+#REF!)</f>
        <v/>
      </c>
      <c r="M404" s="55" t="str">
        <f t="shared" ca="1" si="50"/>
        <v/>
      </c>
    </row>
    <row r="405" spans="1:13" ht="19.95" customHeight="1" x14ac:dyDescent="0.25">
      <c r="A405" s="52"/>
      <c r="B405" s="51"/>
      <c r="C405" s="54" t="str">
        <f>IF(B405="","",VLOOKUP(B405,学生信息汇总!A:E,2,0))</f>
        <v/>
      </c>
      <c r="D405" s="50"/>
      <c r="E405" s="55" t="str">
        <f t="shared" ca="1" si="46"/>
        <v/>
      </c>
      <c r="F405" s="51"/>
      <c r="G405" s="55" t="str">
        <f t="shared" ca="1" si="47"/>
        <v/>
      </c>
      <c r="H405" s="50"/>
      <c r="I405" s="55" t="str">
        <f t="shared" ca="1" si="48"/>
        <v/>
      </c>
      <c r="J405" s="50"/>
      <c r="K405" s="55" t="str">
        <f t="shared" ca="1" si="49"/>
        <v/>
      </c>
      <c r="L405" s="64" t="str">
        <f>IF(B405="","",D405+F405+H405+J405+#REF!+#REF!+#REF!+#REF!+#REF!)</f>
        <v/>
      </c>
      <c r="M405" s="55" t="str">
        <f t="shared" ca="1" si="50"/>
        <v/>
      </c>
    </row>
    <row r="406" spans="1:13" ht="19.95" customHeight="1" x14ac:dyDescent="0.25">
      <c r="A406" s="52"/>
      <c r="B406" s="51"/>
      <c r="C406" s="54" t="str">
        <f>IF(B406="","",VLOOKUP(B406,学生信息汇总!A:E,2,0))</f>
        <v/>
      </c>
      <c r="D406" s="50"/>
      <c r="E406" s="55" t="str">
        <f t="shared" ca="1" si="46"/>
        <v/>
      </c>
      <c r="F406" s="51"/>
      <c r="G406" s="55" t="str">
        <f t="shared" ca="1" si="47"/>
        <v/>
      </c>
      <c r="H406" s="50"/>
      <c r="I406" s="55" t="str">
        <f t="shared" ca="1" si="48"/>
        <v/>
      </c>
      <c r="J406" s="50"/>
      <c r="K406" s="55" t="str">
        <f t="shared" ca="1" si="49"/>
        <v/>
      </c>
      <c r="L406" s="64" t="str">
        <f>IF(B406="","",D406+F406+H406+J406+#REF!+#REF!+#REF!+#REF!+#REF!)</f>
        <v/>
      </c>
      <c r="M406" s="55" t="str">
        <f t="shared" ca="1" si="50"/>
        <v/>
      </c>
    </row>
    <row r="407" spans="1:13" ht="19.95" customHeight="1" x14ac:dyDescent="0.25">
      <c r="A407" s="52"/>
      <c r="B407" s="51"/>
      <c r="C407" s="54" t="str">
        <f>IF(B407="","",VLOOKUP(B407,学生信息汇总!A:E,2,0))</f>
        <v/>
      </c>
      <c r="D407" s="50"/>
      <c r="E407" s="55" t="str">
        <f t="shared" ca="1" si="46"/>
        <v/>
      </c>
      <c r="F407" s="51"/>
      <c r="G407" s="55" t="str">
        <f t="shared" ca="1" si="47"/>
        <v/>
      </c>
      <c r="H407" s="50"/>
      <c r="I407" s="55" t="str">
        <f t="shared" ca="1" si="48"/>
        <v/>
      </c>
      <c r="J407" s="50"/>
      <c r="K407" s="55" t="str">
        <f t="shared" ca="1" si="49"/>
        <v/>
      </c>
      <c r="L407" s="64" t="str">
        <f>IF(B407="","",D407+F407+H407+J407+#REF!+#REF!+#REF!+#REF!+#REF!)</f>
        <v/>
      </c>
      <c r="M407" s="55" t="str">
        <f t="shared" ca="1" si="50"/>
        <v/>
      </c>
    </row>
    <row r="408" spans="1:13" ht="19.95" customHeight="1" x14ac:dyDescent="0.25">
      <c r="A408" s="52"/>
      <c r="B408" s="51"/>
      <c r="C408" s="54" t="str">
        <f>IF(B408="","",VLOOKUP(B408,学生信息汇总!A:E,2,0))</f>
        <v/>
      </c>
      <c r="D408" s="50"/>
      <c r="E408" s="55" t="str">
        <f t="shared" ca="1" si="46"/>
        <v/>
      </c>
      <c r="F408" s="51"/>
      <c r="G408" s="55" t="str">
        <f t="shared" ca="1" si="47"/>
        <v/>
      </c>
      <c r="H408" s="50"/>
      <c r="I408" s="55" t="str">
        <f t="shared" ca="1" si="48"/>
        <v/>
      </c>
      <c r="J408" s="50"/>
      <c r="K408" s="55" t="str">
        <f t="shared" ca="1" si="49"/>
        <v/>
      </c>
      <c r="L408" s="64" t="str">
        <f>IF(B408="","",D408+F408+H408+J408+#REF!+#REF!+#REF!+#REF!+#REF!)</f>
        <v/>
      </c>
      <c r="M408" s="55" t="str">
        <f t="shared" ca="1" si="50"/>
        <v/>
      </c>
    </row>
    <row r="409" spans="1:13" ht="19.95" customHeight="1" x14ac:dyDescent="0.25">
      <c r="A409" s="52"/>
      <c r="B409" s="51"/>
      <c r="C409" s="54" t="str">
        <f>IF(B409="","",VLOOKUP(B409,学生信息汇总!A:E,2,0))</f>
        <v/>
      </c>
      <c r="D409" s="50"/>
      <c r="E409" s="55" t="str">
        <f t="shared" ca="1" si="46"/>
        <v/>
      </c>
      <c r="F409" s="51"/>
      <c r="G409" s="55" t="str">
        <f t="shared" ca="1" si="47"/>
        <v/>
      </c>
      <c r="H409" s="50"/>
      <c r="I409" s="55" t="str">
        <f t="shared" ca="1" si="48"/>
        <v/>
      </c>
      <c r="J409" s="50"/>
      <c r="K409" s="55" t="str">
        <f t="shared" ca="1" si="49"/>
        <v/>
      </c>
      <c r="L409" s="64" t="str">
        <f>IF(B409="","",D409+F409+H409+J409+#REF!+#REF!+#REF!+#REF!+#REF!)</f>
        <v/>
      </c>
      <c r="M409" s="55" t="str">
        <f t="shared" ca="1" si="50"/>
        <v/>
      </c>
    </row>
    <row r="410" spans="1:13" ht="19.95" customHeight="1" x14ac:dyDescent="0.25">
      <c r="A410" s="52"/>
      <c r="B410" s="51"/>
      <c r="C410" s="54" t="str">
        <f>IF(B410="","",VLOOKUP(B410,学生信息汇总!A:E,2,0))</f>
        <v/>
      </c>
      <c r="D410" s="50"/>
      <c r="E410" s="55" t="str">
        <f t="shared" ca="1" si="46"/>
        <v/>
      </c>
      <c r="F410" s="51"/>
      <c r="G410" s="55" t="str">
        <f t="shared" ca="1" si="47"/>
        <v/>
      </c>
      <c r="H410" s="50"/>
      <c r="I410" s="55" t="str">
        <f t="shared" ca="1" si="48"/>
        <v/>
      </c>
      <c r="J410" s="50"/>
      <c r="K410" s="55" t="str">
        <f t="shared" ca="1" si="49"/>
        <v/>
      </c>
      <c r="L410" s="64" t="str">
        <f>IF(B410="","",D410+F410+H410+J410+#REF!+#REF!+#REF!+#REF!+#REF!)</f>
        <v/>
      </c>
      <c r="M410" s="55" t="str">
        <f t="shared" ca="1" si="50"/>
        <v/>
      </c>
    </row>
    <row r="411" spans="1:13" ht="19.95" customHeight="1" x14ac:dyDescent="0.25">
      <c r="A411" s="52"/>
      <c r="B411" s="51"/>
      <c r="C411" s="54" t="str">
        <f>IF(B411="","",VLOOKUP(B411,学生信息汇总!A:E,2,0))</f>
        <v/>
      </c>
      <c r="D411" s="50"/>
      <c r="E411" s="55" t="str">
        <f t="shared" ca="1" si="46"/>
        <v/>
      </c>
      <c r="F411" s="51"/>
      <c r="G411" s="55" t="str">
        <f t="shared" ca="1" si="47"/>
        <v/>
      </c>
      <c r="H411" s="50"/>
      <c r="I411" s="55" t="str">
        <f t="shared" ca="1" si="48"/>
        <v/>
      </c>
      <c r="J411" s="50"/>
      <c r="K411" s="55" t="str">
        <f t="shared" ca="1" si="49"/>
        <v/>
      </c>
      <c r="L411" s="64" t="str">
        <f>IF(B411="","",D411+F411+H411+J411+#REF!+#REF!+#REF!+#REF!+#REF!)</f>
        <v/>
      </c>
      <c r="M411" s="55" t="str">
        <f t="shared" ca="1" si="50"/>
        <v/>
      </c>
    </row>
    <row r="412" spans="1:13" ht="19.95" customHeight="1" x14ac:dyDescent="0.25">
      <c r="A412" s="52"/>
      <c r="B412" s="51"/>
      <c r="C412" s="54" t="str">
        <f>IF(B412="","",VLOOKUP(B412,学生信息汇总!A:E,2,0))</f>
        <v/>
      </c>
      <c r="D412" s="50"/>
      <c r="E412" s="55" t="str">
        <f t="shared" ca="1" si="46"/>
        <v/>
      </c>
      <c r="F412" s="51"/>
      <c r="G412" s="55" t="str">
        <f t="shared" ca="1" si="47"/>
        <v/>
      </c>
      <c r="H412" s="50"/>
      <c r="I412" s="55" t="str">
        <f t="shared" ca="1" si="48"/>
        <v/>
      </c>
      <c r="J412" s="50"/>
      <c r="K412" s="55" t="str">
        <f t="shared" ca="1" si="49"/>
        <v/>
      </c>
      <c r="L412" s="64" t="str">
        <f>IF(B412="","",D412+F412+H412+J412+#REF!+#REF!+#REF!+#REF!+#REF!)</f>
        <v/>
      </c>
      <c r="M412" s="55" t="str">
        <f t="shared" ca="1" si="50"/>
        <v/>
      </c>
    </row>
    <row r="413" spans="1:13" ht="19.95" customHeight="1" x14ac:dyDescent="0.25">
      <c r="A413" s="52"/>
      <c r="B413" s="51"/>
      <c r="C413" s="54" t="str">
        <f>IF(B413="","",VLOOKUP(B413,学生信息汇总!A:E,2,0))</f>
        <v/>
      </c>
      <c r="D413" s="50"/>
      <c r="E413" s="55" t="str">
        <f t="shared" ca="1" si="46"/>
        <v/>
      </c>
      <c r="F413" s="51"/>
      <c r="G413" s="55" t="str">
        <f t="shared" ca="1" si="47"/>
        <v/>
      </c>
      <c r="H413" s="50"/>
      <c r="I413" s="55" t="str">
        <f t="shared" ca="1" si="48"/>
        <v/>
      </c>
      <c r="J413" s="50"/>
      <c r="K413" s="55" t="str">
        <f t="shared" ca="1" si="49"/>
        <v/>
      </c>
      <c r="L413" s="64" t="str">
        <f>IF(B413="","",D413+F413+H413+J413+#REF!+#REF!+#REF!+#REF!+#REF!)</f>
        <v/>
      </c>
      <c r="M413" s="55" t="str">
        <f t="shared" ca="1" si="50"/>
        <v/>
      </c>
    </row>
    <row r="414" spans="1:13" ht="19.95" customHeight="1" x14ac:dyDescent="0.25">
      <c r="A414" s="52"/>
      <c r="B414" s="51"/>
      <c r="C414" s="54" t="str">
        <f>IF(B414="","",VLOOKUP(B414,学生信息汇总!A:E,2,0))</f>
        <v/>
      </c>
      <c r="D414" s="50"/>
      <c r="E414" s="55" t="str">
        <f t="shared" ca="1" si="46"/>
        <v/>
      </c>
      <c r="F414" s="51"/>
      <c r="G414" s="55" t="str">
        <f t="shared" ca="1" si="47"/>
        <v/>
      </c>
      <c r="H414" s="50"/>
      <c r="I414" s="55" t="str">
        <f t="shared" ca="1" si="48"/>
        <v/>
      </c>
      <c r="J414" s="50"/>
      <c r="K414" s="55" t="str">
        <f t="shared" ca="1" si="49"/>
        <v/>
      </c>
      <c r="L414" s="64" t="str">
        <f>IF(B414="","",D414+F414+H414+J414+#REF!+#REF!+#REF!+#REF!+#REF!)</f>
        <v/>
      </c>
      <c r="M414" s="55" t="str">
        <f t="shared" ca="1" si="50"/>
        <v/>
      </c>
    </row>
    <row r="415" spans="1:13" ht="19.95" customHeight="1" x14ac:dyDescent="0.25">
      <c r="A415" s="52"/>
      <c r="B415" s="51"/>
      <c r="C415" s="54" t="str">
        <f>IF(B415="","",VLOOKUP(B415,学生信息汇总!A:E,2,0))</f>
        <v/>
      </c>
      <c r="D415" s="50"/>
      <c r="E415" s="55" t="str">
        <f t="shared" ca="1" si="46"/>
        <v/>
      </c>
      <c r="F415" s="51"/>
      <c r="G415" s="55" t="str">
        <f t="shared" ca="1" si="47"/>
        <v/>
      </c>
      <c r="H415" s="50"/>
      <c r="I415" s="55" t="str">
        <f t="shared" ca="1" si="48"/>
        <v/>
      </c>
      <c r="J415" s="50"/>
      <c r="K415" s="55" t="str">
        <f t="shared" ca="1" si="49"/>
        <v/>
      </c>
      <c r="L415" s="64" t="str">
        <f>IF(B415="","",D415+F415+H415+J415+#REF!+#REF!+#REF!+#REF!+#REF!)</f>
        <v/>
      </c>
      <c r="M415" s="55" t="str">
        <f t="shared" ca="1" si="50"/>
        <v/>
      </c>
    </row>
    <row r="416" spans="1:13" ht="19.95" customHeight="1" x14ac:dyDescent="0.25">
      <c r="A416" s="52"/>
      <c r="B416" s="51"/>
      <c r="C416" s="54" t="str">
        <f>IF(B416="","",VLOOKUP(B416,学生信息汇总!A:E,2,0))</f>
        <v/>
      </c>
      <c r="D416" s="50"/>
      <c r="E416" s="55" t="str">
        <f t="shared" ca="1" si="46"/>
        <v/>
      </c>
      <c r="F416" s="51"/>
      <c r="G416" s="55" t="str">
        <f t="shared" ca="1" si="47"/>
        <v/>
      </c>
      <c r="H416" s="50"/>
      <c r="I416" s="55" t="str">
        <f t="shared" ca="1" si="48"/>
        <v/>
      </c>
      <c r="J416" s="50"/>
      <c r="K416" s="55" t="str">
        <f t="shared" ca="1" si="49"/>
        <v/>
      </c>
      <c r="L416" s="64" t="str">
        <f>IF(B416="","",D416+F416+H416+J416+#REF!+#REF!+#REF!+#REF!+#REF!)</f>
        <v/>
      </c>
      <c r="M416" s="55" t="str">
        <f t="shared" ca="1" si="50"/>
        <v/>
      </c>
    </row>
    <row r="417" spans="1:13" ht="19.95" customHeight="1" x14ac:dyDescent="0.25">
      <c r="A417" s="52"/>
      <c r="B417" s="51"/>
      <c r="C417" s="54" t="str">
        <f>IF(B417="","",VLOOKUP(B417,学生信息汇总!A:E,2,0))</f>
        <v/>
      </c>
      <c r="D417" s="50"/>
      <c r="E417" s="55" t="str">
        <f t="shared" ca="1" si="46"/>
        <v/>
      </c>
      <c r="F417" s="51"/>
      <c r="G417" s="55" t="str">
        <f t="shared" ca="1" si="47"/>
        <v/>
      </c>
      <c r="H417" s="50"/>
      <c r="I417" s="55" t="str">
        <f t="shared" ca="1" si="48"/>
        <v/>
      </c>
      <c r="J417" s="50"/>
      <c r="K417" s="55" t="str">
        <f t="shared" ca="1" si="49"/>
        <v/>
      </c>
      <c r="L417" s="64" t="str">
        <f>IF(B417="","",D417+F417+H417+J417+#REF!+#REF!+#REF!+#REF!+#REF!)</f>
        <v/>
      </c>
      <c r="M417" s="55" t="str">
        <f t="shared" ca="1" si="50"/>
        <v/>
      </c>
    </row>
    <row r="418" spans="1:13" ht="19.95" customHeight="1" x14ac:dyDescent="0.25">
      <c r="A418" s="52"/>
      <c r="B418" s="51"/>
      <c r="C418" s="54" t="str">
        <f>IF(B418="","",VLOOKUP(B418,学生信息汇总!A:E,2,0))</f>
        <v/>
      </c>
      <c r="D418" s="50"/>
      <c r="E418" s="55" t="str">
        <f t="shared" ca="1" si="46"/>
        <v/>
      </c>
      <c r="F418" s="51"/>
      <c r="G418" s="55" t="str">
        <f t="shared" ca="1" si="47"/>
        <v/>
      </c>
      <c r="H418" s="50"/>
      <c r="I418" s="55" t="str">
        <f t="shared" ca="1" si="48"/>
        <v/>
      </c>
      <c r="J418" s="50"/>
      <c r="K418" s="55" t="str">
        <f t="shared" ca="1" si="49"/>
        <v/>
      </c>
      <c r="L418" s="64" t="str">
        <f>IF(B418="","",D418+F418+H418+J418+#REF!+#REF!+#REF!+#REF!+#REF!)</f>
        <v/>
      </c>
      <c r="M418" s="55" t="str">
        <f t="shared" ca="1" si="50"/>
        <v/>
      </c>
    </row>
    <row r="419" spans="1:13" ht="19.95" customHeight="1" x14ac:dyDescent="0.25">
      <c r="A419" s="52"/>
      <c r="B419" s="51"/>
      <c r="C419" s="54" t="str">
        <f>IF(B419="","",VLOOKUP(B419,学生信息汇总!A:E,2,0))</f>
        <v/>
      </c>
      <c r="D419" s="50"/>
      <c r="E419" s="55" t="str">
        <f t="shared" ca="1" si="46"/>
        <v/>
      </c>
      <c r="F419" s="51"/>
      <c r="G419" s="55" t="str">
        <f t="shared" ca="1" si="47"/>
        <v/>
      </c>
      <c r="H419" s="50"/>
      <c r="I419" s="55" t="str">
        <f t="shared" ca="1" si="48"/>
        <v/>
      </c>
      <c r="J419" s="50"/>
      <c r="K419" s="55" t="str">
        <f t="shared" ca="1" si="49"/>
        <v/>
      </c>
      <c r="L419" s="64" t="str">
        <f>IF(B419="","",D419+F419+H419+J419+#REF!+#REF!+#REF!+#REF!+#REF!)</f>
        <v/>
      </c>
      <c r="M419" s="55" t="str">
        <f t="shared" ca="1" si="50"/>
        <v/>
      </c>
    </row>
    <row r="420" spans="1:13" ht="19.95" customHeight="1" x14ac:dyDescent="0.25">
      <c r="A420" s="52"/>
      <c r="B420" s="51"/>
      <c r="C420" s="54" t="str">
        <f>IF(B420="","",VLOOKUP(B420,学生信息汇总!A:E,2,0))</f>
        <v/>
      </c>
      <c r="D420" s="50"/>
      <c r="E420" s="55" t="str">
        <f t="shared" ca="1" si="46"/>
        <v/>
      </c>
      <c r="F420" s="51"/>
      <c r="G420" s="55" t="str">
        <f t="shared" ca="1" si="47"/>
        <v/>
      </c>
      <c r="H420" s="50"/>
      <c r="I420" s="55" t="str">
        <f t="shared" ca="1" si="48"/>
        <v/>
      </c>
      <c r="J420" s="50"/>
      <c r="K420" s="55" t="str">
        <f t="shared" ca="1" si="49"/>
        <v/>
      </c>
      <c r="L420" s="64" t="str">
        <f>IF(B420="","",D420+F420+H420+J420+#REF!+#REF!+#REF!+#REF!+#REF!)</f>
        <v/>
      </c>
      <c r="M420" s="55" t="str">
        <f t="shared" ca="1" si="50"/>
        <v/>
      </c>
    </row>
    <row r="421" spans="1:13" ht="19.95" customHeight="1" x14ac:dyDescent="0.25">
      <c r="A421" s="52"/>
      <c r="B421" s="51"/>
      <c r="C421" s="54" t="str">
        <f>IF(B421="","",VLOOKUP(B421,学生信息汇总!A:E,2,0))</f>
        <v/>
      </c>
      <c r="D421" s="50"/>
      <c r="E421" s="55" t="str">
        <f t="shared" ca="1" si="46"/>
        <v/>
      </c>
      <c r="F421" s="51"/>
      <c r="G421" s="55" t="str">
        <f t="shared" ca="1" si="47"/>
        <v/>
      </c>
      <c r="H421" s="50"/>
      <c r="I421" s="55" t="str">
        <f t="shared" ca="1" si="48"/>
        <v/>
      </c>
      <c r="J421" s="50"/>
      <c r="K421" s="55" t="str">
        <f t="shared" ca="1" si="49"/>
        <v/>
      </c>
      <c r="L421" s="64" t="str">
        <f>IF(B421="","",D421+F421+H421+J421+#REF!+#REF!+#REF!+#REF!+#REF!)</f>
        <v/>
      </c>
      <c r="M421" s="55" t="str">
        <f t="shared" ca="1" si="50"/>
        <v/>
      </c>
    </row>
    <row r="422" spans="1:13" ht="19.95" customHeight="1" x14ac:dyDescent="0.25">
      <c r="A422" s="52"/>
      <c r="B422" s="51"/>
      <c r="C422" s="54" t="str">
        <f>IF(B422="","",VLOOKUP(B422,学生信息汇总!A:E,2,0))</f>
        <v/>
      </c>
      <c r="D422" s="50"/>
      <c r="E422" s="55" t="str">
        <f t="shared" ca="1" si="46"/>
        <v/>
      </c>
      <c r="F422" s="51"/>
      <c r="G422" s="55" t="str">
        <f t="shared" ca="1" si="47"/>
        <v/>
      </c>
      <c r="H422" s="50"/>
      <c r="I422" s="55" t="str">
        <f t="shared" ca="1" si="48"/>
        <v/>
      </c>
      <c r="J422" s="50"/>
      <c r="K422" s="55" t="str">
        <f t="shared" ca="1" si="49"/>
        <v/>
      </c>
      <c r="L422" s="64" t="str">
        <f>IF(B422="","",D422+F422+H422+J422+#REF!+#REF!+#REF!+#REF!+#REF!)</f>
        <v/>
      </c>
      <c r="M422" s="55" t="str">
        <f t="shared" ca="1" si="50"/>
        <v/>
      </c>
    </row>
    <row r="423" spans="1:13" ht="19.95" customHeight="1" x14ac:dyDescent="0.25">
      <c r="A423" s="52"/>
      <c r="B423" s="51"/>
      <c r="C423" s="54" t="str">
        <f>IF(B423="","",VLOOKUP(B423,学生信息汇总!A:E,2,0))</f>
        <v/>
      </c>
      <c r="D423" s="50"/>
      <c r="E423" s="55" t="str">
        <f t="shared" ca="1" si="46"/>
        <v/>
      </c>
      <c r="F423" s="51"/>
      <c r="G423" s="55" t="str">
        <f t="shared" ca="1" si="47"/>
        <v/>
      </c>
      <c r="H423" s="50"/>
      <c r="I423" s="55" t="str">
        <f t="shared" ca="1" si="48"/>
        <v/>
      </c>
      <c r="J423" s="50"/>
      <c r="K423" s="55" t="str">
        <f t="shared" ca="1" si="49"/>
        <v/>
      </c>
      <c r="L423" s="64" t="str">
        <f>IF(B423="","",D423+F423+H423+J423+#REF!+#REF!+#REF!+#REF!+#REF!)</f>
        <v/>
      </c>
      <c r="M423" s="55" t="str">
        <f t="shared" ca="1" si="50"/>
        <v/>
      </c>
    </row>
    <row r="424" spans="1:13" ht="19.95" customHeight="1" x14ac:dyDescent="0.25">
      <c r="A424" s="52"/>
      <c r="B424" s="51"/>
      <c r="C424" s="54" t="str">
        <f>IF(B424="","",VLOOKUP(B424,学生信息汇总!A:E,2,0))</f>
        <v/>
      </c>
      <c r="D424" s="50"/>
      <c r="E424" s="55" t="str">
        <f t="shared" ca="1" si="46"/>
        <v/>
      </c>
      <c r="F424" s="51"/>
      <c r="G424" s="55" t="str">
        <f t="shared" ca="1" si="47"/>
        <v/>
      </c>
      <c r="H424" s="50"/>
      <c r="I424" s="55" t="str">
        <f t="shared" ca="1" si="48"/>
        <v/>
      </c>
      <c r="J424" s="50"/>
      <c r="K424" s="55" t="str">
        <f t="shared" ca="1" si="49"/>
        <v/>
      </c>
      <c r="L424" s="64" t="str">
        <f>IF(B424="","",D424+F424+H424+J424+#REF!+#REF!+#REF!+#REF!+#REF!)</f>
        <v/>
      </c>
      <c r="M424" s="55" t="str">
        <f t="shared" ca="1" si="50"/>
        <v/>
      </c>
    </row>
    <row r="425" spans="1:13" ht="19.95" customHeight="1" x14ac:dyDescent="0.25">
      <c r="A425" s="52"/>
      <c r="B425" s="51"/>
      <c r="C425" s="54" t="str">
        <f>IF(B425="","",VLOOKUP(B425,学生信息汇总!A:E,2,0))</f>
        <v/>
      </c>
      <c r="D425" s="50"/>
      <c r="E425" s="55" t="str">
        <f t="shared" ca="1" si="46"/>
        <v/>
      </c>
      <c r="F425" s="51"/>
      <c r="G425" s="55" t="str">
        <f t="shared" ca="1" si="47"/>
        <v/>
      </c>
      <c r="H425" s="50"/>
      <c r="I425" s="55" t="str">
        <f t="shared" ca="1" si="48"/>
        <v/>
      </c>
      <c r="J425" s="50"/>
      <c r="K425" s="55" t="str">
        <f t="shared" ca="1" si="49"/>
        <v/>
      </c>
      <c r="L425" s="64" t="str">
        <f>IF(B425="","",D425+F425+H425+J425+#REF!+#REF!+#REF!+#REF!+#REF!)</f>
        <v/>
      </c>
      <c r="M425" s="55" t="str">
        <f t="shared" ca="1" si="50"/>
        <v/>
      </c>
    </row>
    <row r="426" spans="1:13" ht="19.95" customHeight="1" x14ac:dyDescent="0.25">
      <c r="A426" s="52"/>
      <c r="B426" s="51"/>
      <c r="C426" s="54" t="str">
        <f>IF(B426="","",VLOOKUP(B426,学生信息汇总!A:E,2,0))</f>
        <v/>
      </c>
      <c r="D426" s="50"/>
      <c r="E426" s="55" t="str">
        <f t="shared" ca="1" si="46"/>
        <v/>
      </c>
      <c r="F426" s="51"/>
      <c r="G426" s="55" t="str">
        <f t="shared" ca="1" si="47"/>
        <v/>
      </c>
      <c r="H426" s="50"/>
      <c r="I426" s="55" t="str">
        <f t="shared" ca="1" si="48"/>
        <v/>
      </c>
      <c r="J426" s="50"/>
      <c r="K426" s="55" t="str">
        <f t="shared" ca="1" si="49"/>
        <v/>
      </c>
      <c r="L426" s="64" t="str">
        <f>IF(B426="","",D426+F426+H426+J426+#REF!+#REF!+#REF!+#REF!+#REF!)</f>
        <v/>
      </c>
      <c r="M426" s="55" t="str">
        <f t="shared" ca="1" si="50"/>
        <v/>
      </c>
    </row>
    <row r="427" spans="1:13" ht="19.95" customHeight="1" x14ac:dyDescent="0.25">
      <c r="A427" s="52"/>
      <c r="B427" s="51"/>
      <c r="C427" s="54" t="str">
        <f>IF(B427="","",VLOOKUP(B427,学生信息汇总!A:E,2,0))</f>
        <v/>
      </c>
      <c r="D427" s="50"/>
      <c r="E427" s="55" t="str">
        <f t="shared" ca="1" si="46"/>
        <v/>
      </c>
      <c r="F427" s="51"/>
      <c r="G427" s="55" t="str">
        <f t="shared" ca="1" si="47"/>
        <v/>
      </c>
      <c r="H427" s="50"/>
      <c r="I427" s="55" t="str">
        <f t="shared" ca="1" si="48"/>
        <v/>
      </c>
      <c r="J427" s="50"/>
      <c r="K427" s="55" t="str">
        <f t="shared" ca="1" si="49"/>
        <v/>
      </c>
      <c r="L427" s="64" t="str">
        <f>IF(B427="","",D427+F427+H427+J427+#REF!+#REF!+#REF!+#REF!+#REF!)</f>
        <v/>
      </c>
      <c r="M427" s="55" t="str">
        <f t="shared" ca="1" si="50"/>
        <v/>
      </c>
    </row>
    <row r="428" spans="1:13" ht="19.95" customHeight="1" x14ac:dyDescent="0.25">
      <c r="A428" s="52"/>
      <c r="B428" s="51"/>
      <c r="C428" s="54" t="str">
        <f>IF(B428="","",VLOOKUP(B428,学生信息汇总!A:E,2,0))</f>
        <v/>
      </c>
      <c r="D428" s="50"/>
      <c r="E428" s="55" t="str">
        <f t="shared" ref="E428:E491" ca="1" si="51">IF(D428="","",RANK(D428,INDIRECT(ADDRESS(MATCH(VLOOKUP(A428,A:A,1,0),A:A,0),6)&amp;":"&amp;ADDRESS((MATCH(VLOOKUP(A428,A:A,1,0),A:A,0)+COUNTIF(A:A,A428)-1),6))))</f>
        <v/>
      </c>
      <c r="F428" s="51"/>
      <c r="G428" s="55" t="str">
        <f t="shared" ref="G428:G491" ca="1" si="52">IF(F428="","",RANK(F428,INDIRECT(ADDRESS(MATCH(VLOOKUP(A428,A:A,1,0),A:A,0),8)&amp;":"&amp;ADDRESS((MATCH(VLOOKUP(A428,A:A,1,0),A:A,0)+COUNTIF(A:A,A428)-1),8))))</f>
        <v/>
      </c>
      <c r="H428" s="50"/>
      <c r="I428" s="55" t="str">
        <f t="shared" ref="I428:I491" ca="1" si="53">IF(H428="","",RANK(H428,INDIRECT(ADDRESS(MATCH(VLOOKUP(A428,A:A,1,0),A:A,0),10)&amp;":"&amp;ADDRESS((MATCH(VLOOKUP(A428,A:A,1,0),A:A,0)+COUNTIF(A:A,A428)-1),10))))</f>
        <v/>
      </c>
      <c r="J428" s="50"/>
      <c r="K428" s="55" t="str">
        <f t="shared" ref="K428:K491" ca="1" si="54">IF(J428="","",RANK(J428,INDIRECT(ADDRESS(MATCH(VLOOKUP(A428,A:A,1,0),A:A,0),12)&amp;":"&amp;ADDRESS((MATCH(VLOOKUP(A428,A:A,1,0),A:A,0)+COUNTIF(A:A,A428)-1),12))))</f>
        <v/>
      </c>
      <c r="L428" s="64" t="str">
        <f>IF(B428="","",D428+F428+H428+J428+#REF!+#REF!+#REF!+#REF!+#REF!)</f>
        <v/>
      </c>
      <c r="M428" s="55" t="str">
        <f t="shared" ref="M428:M491" ca="1" si="55">IF(L428="","",RANK(L428,INDIRECT(ADDRESS(MATCH(VLOOKUP(A428,A:A,1,0),A:A,0),26)&amp;":"&amp;ADDRESS((MATCH(VLOOKUP(A428,A:A,1,0),A:A,0)+COUNTIF(A:A,A428)-1),26))))</f>
        <v/>
      </c>
    </row>
    <row r="429" spans="1:13" ht="19.95" customHeight="1" x14ac:dyDescent="0.25">
      <c r="A429" s="52"/>
      <c r="B429" s="51"/>
      <c r="C429" s="54" t="str">
        <f>IF(B429="","",VLOOKUP(B429,学生信息汇总!A:E,2,0))</f>
        <v/>
      </c>
      <c r="D429" s="50"/>
      <c r="E429" s="55" t="str">
        <f t="shared" ca="1" si="51"/>
        <v/>
      </c>
      <c r="F429" s="51"/>
      <c r="G429" s="55" t="str">
        <f t="shared" ca="1" si="52"/>
        <v/>
      </c>
      <c r="H429" s="50"/>
      <c r="I429" s="55" t="str">
        <f t="shared" ca="1" si="53"/>
        <v/>
      </c>
      <c r="J429" s="50"/>
      <c r="K429" s="55" t="str">
        <f t="shared" ca="1" si="54"/>
        <v/>
      </c>
      <c r="L429" s="64" t="str">
        <f>IF(B429="","",D429+F429+H429+J429+#REF!+#REF!+#REF!+#REF!+#REF!)</f>
        <v/>
      </c>
      <c r="M429" s="55" t="str">
        <f t="shared" ca="1" si="55"/>
        <v/>
      </c>
    </row>
    <row r="430" spans="1:13" ht="19.95" customHeight="1" x14ac:dyDescent="0.25">
      <c r="A430" s="52"/>
      <c r="B430" s="51"/>
      <c r="C430" s="54" t="str">
        <f>IF(B430="","",VLOOKUP(B430,学生信息汇总!A:E,2,0))</f>
        <v/>
      </c>
      <c r="D430" s="50"/>
      <c r="E430" s="55" t="str">
        <f t="shared" ca="1" si="51"/>
        <v/>
      </c>
      <c r="F430" s="51"/>
      <c r="G430" s="55" t="str">
        <f t="shared" ca="1" si="52"/>
        <v/>
      </c>
      <c r="H430" s="50"/>
      <c r="I430" s="55" t="str">
        <f t="shared" ca="1" si="53"/>
        <v/>
      </c>
      <c r="J430" s="50"/>
      <c r="K430" s="55" t="str">
        <f t="shared" ca="1" si="54"/>
        <v/>
      </c>
      <c r="L430" s="64" t="str">
        <f>IF(B430="","",D430+F430+H430+J430+#REF!+#REF!+#REF!+#REF!+#REF!)</f>
        <v/>
      </c>
      <c r="M430" s="55" t="str">
        <f t="shared" ca="1" si="55"/>
        <v/>
      </c>
    </row>
    <row r="431" spans="1:13" ht="19.95" customHeight="1" x14ac:dyDescent="0.25">
      <c r="A431" s="52"/>
      <c r="B431" s="51"/>
      <c r="C431" s="54" t="str">
        <f>IF(B431="","",VLOOKUP(B431,学生信息汇总!A:E,2,0))</f>
        <v/>
      </c>
      <c r="D431" s="50"/>
      <c r="E431" s="55" t="str">
        <f t="shared" ca="1" si="51"/>
        <v/>
      </c>
      <c r="F431" s="51"/>
      <c r="G431" s="55" t="str">
        <f t="shared" ca="1" si="52"/>
        <v/>
      </c>
      <c r="H431" s="50"/>
      <c r="I431" s="55" t="str">
        <f t="shared" ca="1" si="53"/>
        <v/>
      </c>
      <c r="J431" s="50"/>
      <c r="K431" s="55" t="str">
        <f t="shared" ca="1" si="54"/>
        <v/>
      </c>
      <c r="L431" s="64" t="str">
        <f>IF(B431="","",D431+F431+H431+J431+#REF!+#REF!+#REF!+#REF!+#REF!)</f>
        <v/>
      </c>
      <c r="M431" s="55" t="str">
        <f t="shared" ca="1" si="55"/>
        <v/>
      </c>
    </row>
    <row r="432" spans="1:13" ht="19.95" customHeight="1" x14ac:dyDescent="0.25">
      <c r="A432" s="52"/>
      <c r="B432" s="51"/>
      <c r="C432" s="54" t="str">
        <f>IF(B432="","",VLOOKUP(B432,学生信息汇总!A:E,2,0))</f>
        <v/>
      </c>
      <c r="D432" s="50"/>
      <c r="E432" s="55" t="str">
        <f t="shared" ca="1" si="51"/>
        <v/>
      </c>
      <c r="F432" s="51"/>
      <c r="G432" s="55" t="str">
        <f t="shared" ca="1" si="52"/>
        <v/>
      </c>
      <c r="H432" s="50"/>
      <c r="I432" s="55" t="str">
        <f t="shared" ca="1" si="53"/>
        <v/>
      </c>
      <c r="J432" s="50"/>
      <c r="K432" s="55" t="str">
        <f t="shared" ca="1" si="54"/>
        <v/>
      </c>
      <c r="L432" s="64" t="str">
        <f>IF(B432="","",D432+F432+H432+J432+#REF!+#REF!+#REF!+#REF!+#REF!)</f>
        <v/>
      </c>
      <c r="M432" s="55" t="str">
        <f t="shared" ca="1" si="55"/>
        <v/>
      </c>
    </row>
    <row r="433" spans="1:13" ht="19.95" customHeight="1" x14ac:dyDescent="0.25">
      <c r="A433" s="52"/>
      <c r="B433" s="51"/>
      <c r="C433" s="54" t="str">
        <f>IF(B433="","",VLOOKUP(B433,学生信息汇总!A:E,2,0))</f>
        <v/>
      </c>
      <c r="D433" s="50"/>
      <c r="E433" s="55" t="str">
        <f t="shared" ca="1" si="51"/>
        <v/>
      </c>
      <c r="F433" s="51"/>
      <c r="G433" s="55" t="str">
        <f t="shared" ca="1" si="52"/>
        <v/>
      </c>
      <c r="H433" s="50"/>
      <c r="I433" s="55" t="str">
        <f t="shared" ca="1" si="53"/>
        <v/>
      </c>
      <c r="J433" s="50"/>
      <c r="K433" s="55" t="str">
        <f t="shared" ca="1" si="54"/>
        <v/>
      </c>
      <c r="L433" s="64" t="str">
        <f>IF(B433="","",D433+F433+H433+J433+#REF!+#REF!+#REF!+#REF!+#REF!)</f>
        <v/>
      </c>
      <c r="M433" s="55" t="str">
        <f t="shared" ca="1" si="55"/>
        <v/>
      </c>
    </row>
    <row r="434" spans="1:13" ht="19.95" customHeight="1" x14ac:dyDescent="0.25">
      <c r="A434" s="52"/>
      <c r="B434" s="51"/>
      <c r="C434" s="54" t="str">
        <f>IF(B434="","",VLOOKUP(B434,学生信息汇总!A:E,2,0))</f>
        <v/>
      </c>
      <c r="D434" s="50"/>
      <c r="E434" s="55" t="str">
        <f t="shared" ca="1" si="51"/>
        <v/>
      </c>
      <c r="F434" s="51"/>
      <c r="G434" s="55" t="str">
        <f t="shared" ca="1" si="52"/>
        <v/>
      </c>
      <c r="H434" s="50"/>
      <c r="I434" s="55" t="str">
        <f t="shared" ca="1" si="53"/>
        <v/>
      </c>
      <c r="J434" s="50"/>
      <c r="K434" s="55" t="str">
        <f t="shared" ca="1" si="54"/>
        <v/>
      </c>
      <c r="L434" s="64" t="str">
        <f>IF(B434="","",D434+F434+H434+J434+#REF!+#REF!+#REF!+#REF!+#REF!)</f>
        <v/>
      </c>
      <c r="M434" s="55" t="str">
        <f t="shared" ca="1" si="55"/>
        <v/>
      </c>
    </row>
    <row r="435" spans="1:13" ht="19.95" customHeight="1" x14ac:dyDescent="0.25">
      <c r="A435" s="52"/>
      <c r="B435" s="51"/>
      <c r="C435" s="54" t="str">
        <f>IF(B435="","",VLOOKUP(B435,学生信息汇总!A:E,2,0))</f>
        <v/>
      </c>
      <c r="D435" s="50"/>
      <c r="E435" s="55" t="str">
        <f t="shared" ca="1" si="51"/>
        <v/>
      </c>
      <c r="F435" s="51"/>
      <c r="G435" s="55" t="str">
        <f t="shared" ca="1" si="52"/>
        <v/>
      </c>
      <c r="H435" s="50"/>
      <c r="I435" s="55" t="str">
        <f t="shared" ca="1" si="53"/>
        <v/>
      </c>
      <c r="J435" s="50"/>
      <c r="K435" s="55" t="str">
        <f t="shared" ca="1" si="54"/>
        <v/>
      </c>
      <c r="L435" s="64" t="str">
        <f>IF(B435="","",D435+F435+H435+J435+#REF!+#REF!+#REF!+#REF!+#REF!)</f>
        <v/>
      </c>
      <c r="M435" s="55" t="str">
        <f t="shared" ca="1" si="55"/>
        <v/>
      </c>
    </row>
    <row r="436" spans="1:13" ht="19.95" customHeight="1" x14ac:dyDescent="0.25">
      <c r="A436" s="52"/>
      <c r="B436" s="51"/>
      <c r="C436" s="54" t="str">
        <f>IF(B436="","",VLOOKUP(B436,学生信息汇总!A:E,2,0))</f>
        <v/>
      </c>
      <c r="D436" s="50"/>
      <c r="E436" s="55" t="str">
        <f t="shared" ca="1" si="51"/>
        <v/>
      </c>
      <c r="F436" s="51"/>
      <c r="G436" s="55" t="str">
        <f t="shared" ca="1" si="52"/>
        <v/>
      </c>
      <c r="H436" s="50"/>
      <c r="I436" s="55" t="str">
        <f t="shared" ca="1" si="53"/>
        <v/>
      </c>
      <c r="J436" s="50"/>
      <c r="K436" s="55" t="str">
        <f t="shared" ca="1" si="54"/>
        <v/>
      </c>
      <c r="L436" s="64" t="str">
        <f>IF(B436="","",D436+F436+H436+J436+#REF!+#REF!+#REF!+#REF!+#REF!)</f>
        <v/>
      </c>
      <c r="M436" s="55" t="str">
        <f t="shared" ca="1" si="55"/>
        <v/>
      </c>
    </row>
    <row r="437" spans="1:13" ht="19.95" customHeight="1" x14ac:dyDescent="0.25">
      <c r="A437" s="52"/>
      <c r="B437" s="51"/>
      <c r="C437" s="54" t="str">
        <f>IF(B437="","",VLOOKUP(B437,学生信息汇总!A:E,2,0))</f>
        <v/>
      </c>
      <c r="D437" s="50"/>
      <c r="E437" s="55" t="str">
        <f t="shared" ca="1" si="51"/>
        <v/>
      </c>
      <c r="F437" s="51"/>
      <c r="G437" s="55" t="str">
        <f t="shared" ca="1" si="52"/>
        <v/>
      </c>
      <c r="H437" s="50"/>
      <c r="I437" s="55" t="str">
        <f t="shared" ca="1" si="53"/>
        <v/>
      </c>
      <c r="J437" s="50"/>
      <c r="K437" s="55" t="str">
        <f t="shared" ca="1" si="54"/>
        <v/>
      </c>
      <c r="L437" s="64" t="str">
        <f>IF(B437="","",D437+F437+H437+J437+#REF!+#REF!+#REF!+#REF!+#REF!)</f>
        <v/>
      </c>
      <c r="M437" s="55" t="str">
        <f t="shared" ca="1" si="55"/>
        <v/>
      </c>
    </row>
    <row r="438" spans="1:13" ht="19.95" customHeight="1" x14ac:dyDescent="0.25">
      <c r="A438" s="52"/>
      <c r="B438" s="51"/>
      <c r="C438" s="54" t="str">
        <f>IF(B438="","",VLOOKUP(B438,学生信息汇总!A:E,2,0))</f>
        <v/>
      </c>
      <c r="D438" s="50"/>
      <c r="E438" s="55" t="str">
        <f t="shared" ca="1" si="51"/>
        <v/>
      </c>
      <c r="F438" s="51"/>
      <c r="G438" s="55" t="str">
        <f t="shared" ca="1" si="52"/>
        <v/>
      </c>
      <c r="H438" s="50"/>
      <c r="I438" s="55" t="str">
        <f t="shared" ca="1" si="53"/>
        <v/>
      </c>
      <c r="J438" s="50"/>
      <c r="K438" s="55" t="str">
        <f t="shared" ca="1" si="54"/>
        <v/>
      </c>
      <c r="L438" s="64" t="str">
        <f>IF(B438="","",D438+F438+H438+J438+#REF!+#REF!+#REF!+#REF!+#REF!)</f>
        <v/>
      </c>
      <c r="M438" s="55" t="str">
        <f t="shared" ca="1" si="55"/>
        <v/>
      </c>
    </row>
    <row r="439" spans="1:13" ht="19.95" customHeight="1" x14ac:dyDescent="0.25">
      <c r="A439" s="52"/>
      <c r="B439" s="51"/>
      <c r="C439" s="54" t="str">
        <f>IF(B439="","",VLOOKUP(B439,学生信息汇总!A:E,2,0))</f>
        <v/>
      </c>
      <c r="D439" s="50"/>
      <c r="E439" s="55" t="str">
        <f t="shared" ca="1" si="51"/>
        <v/>
      </c>
      <c r="F439" s="51"/>
      <c r="G439" s="55" t="str">
        <f t="shared" ca="1" si="52"/>
        <v/>
      </c>
      <c r="H439" s="50"/>
      <c r="I439" s="55" t="str">
        <f t="shared" ca="1" si="53"/>
        <v/>
      </c>
      <c r="J439" s="50"/>
      <c r="K439" s="55" t="str">
        <f t="shared" ca="1" si="54"/>
        <v/>
      </c>
      <c r="L439" s="64" t="str">
        <f>IF(B439="","",D439+F439+H439+J439+#REF!+#REF!+#REF!+#REF!+#REF!)</f>
        <v/>
      </c>
      <c r="M439" s="55" t="str">
        <f t="shared" ca="1" si="55"/>
        <v/>
      </c>
    </row>
    <row r="440" spans="1:13" ht="19.95" customHeight="1" x14ac:dyDescent="0.25">
      <c r="A440" s="52"/>
      <c r="B440" s="51"/>
      <c r="C440" s="54" t="str">
        <f>IF(B440="","",VLOOKUP(B440,学生信息汇总!A:E,2,0))</f>
        <v/>
      </c>
      <c r="D440" s="50"/>
      <c r="E440" s="55" t="str">
        <f t="shared" ca="1" si="51"/>
        <v/>
      </c>
      <c r="F440" s="51"/>
      <c r="G440" s="55" t="str">
        <f t="shared" ca="1" si="52"/>
        <v/>
      </c>
      <c r="H440" s="50"/>
      <c r="I440" s="55" t="str">
        <f t="shared" ca="1" si="53"/>
        <v/>
      </c>
      <c r="J440" s="50"/>
      <c r="K440" s="55" t="str">
        <f t="shared" ca="1" si="54"/>
        <v/>
      </c>
      <c r="L440" s="64" t="str">
        <f>IF(B440="","",D440+F440+H440+J440+#REF!+#REF!+#REF!+#REF!+#REF!)</f>
        <v/>
      </c>
      <c r="M440" s="55" t="str">
        <f t="shared" ca="1" si="55"/>
        <v/>
      </c>
    </row>
    <row r="441" spans="1:13" ht="19.95" customHeight="1" x14ac:dyDescent="0.25">
      <c r="A441" s="52"/>
      <c r="B441" s="51"/>
      <c r="C441" s="54" t="str">
        <f>IF(B441="","",VLOOKUP(B441,学生信息汇总!A:E,2,0))</f>
        <v/>
      </c>
      <c r="D441" s="50"/>
      <c r="E441" s="55" t="str">
        <f t="shared" ca="1" si="51"/>
        <v/>
      </c>
      <c r="F441" s="51"/>
      <c r="G441" s="55" t="str">
        <f t="shared" ca="1" si="52"/>
        <v/>
      </c>
      <c r="H441" s="50"/>
      <c r="I441" s="55" t="str">
        <f t="shared" ca="1" si="53"/>
        <v/>
      </c>
      <c r="J441" s="50"/>
      <c r="K441" s="55" t="str">
        <f t="shared" ca="1" si="54"/>
        <v/>
      </c>
      <c r="L441" s="64" t="str">
        <f>IF(B441="","",D441+F441+H441+J441+#REF!+#REF!+#REF!+#REF!+#REF!)</f>
        <v/>
      </c>
      <c r="M441" s="55" t="str">
        <f t="shared" ca="1" si="55"/>
        <v/>
      </c>
    </row>
    <row r="442" spans="1:13" ht="19.95" customHeight="1" x14ac:dyDescent="0.25">
      <c r="A442" s="52"/>
      <c r="B442" s="51"/>
      <c r="C442" s="54" t="str">
        <f>IF(B442="","",VLOOKUP(B442,学生信息汇总!A:E,2,0))</f>
        <v/>
      </c>
      <c r="D442" s="50"/>
      <c r="E442" s="55" t="str">
        <f t="shared" ca="1" si="51"/>
        <v/>
      </c>
      <c r="F442" s="51"/>
      <c r="G442" s="55" t="str">
        <f t="shared" ca="1" si="52"/>
        <v/>
      </c>
      <c r="H442" s="50"/>
      <c r="I442" s="55" t="str">
        <f t="shared" ca="1" si="53"/>
        <v/>
      </c>
      <c r="J442" s="50"/>
      <c r="K442" s="55" t="str">
        <f t="shared" ca="1" si="54"/>
        <v/>
      </c>
      <c r="L442" s="64" t="str">
        <f>IF(B442="","",D442+F442+H442+J442+#REF!+#REF!+#REF!+#REF!+#REF!)</f>
        <v/>
      </c>
      <c r="M442" s="55" t="str">
        <f t="shared" ca="1" si="55"/>
        <v/>
      </c>
    </row>
    <row r="443" spans="1:13" ht="19.95" customHeight="1" x14ac:dyDescent="0.25">
      <c r="A443" s="52"/>
      <c r="B443" s="51"/>
      <c r="C443" s="54" t="str">
        <f>IF(B443="","",VLOOKUP(B443,学生信息汇总!A:E,2,0))</f>
        <v/>
      </c>
      <c r="D443" s="50"/>
      <c r="E443" s="55" t="str">
        <f t="shared" ca="1" si="51"/>
        <v/>
      </c>
      <c r="F443" s="51"/>
      <c r="G443" s="55" t="str">
        <f t="shared" ca="1" si="52"/>
        <v/>
      </c>
      <c r="H443" s="50"/>
      <c r="I443" s="55" t="str">
        <f t="shared" ca="1" si="53"/>
        <v/>
      </c>
      <c r="J443" s="50"/>
      <c r="K443" s="55" t="str">
        <f t="shared" ca="1" si="54"/>
        <v/>
      </c>
      <c r="L443" s="64" t="str">
        <f>IF(B443="","",D443+F443+H443+J443+#REF!+#REF!+#REF!+#REF!+#REF!)</f>
        <v/>
      </c>
      <c r="M443" s="55" t="str">
        <f t="shared" ca="1" si="55"/>
        <v/>
      </c>
    </row>
    <row r="444" spans="1:13" ht="19.95" customHeight="1" x14ac:dyDescent="0.25">
      <c r="A444" s="52"/>
      <c r="B444" s="51"/>
      <c r="C444" s="54" t="str">
        <f>IF(B444="","",VLOOKUP(B444,学生信息汇总!A:E,2,0))</f>
        <v/>
      </c>
      <c r="D444" s="50"/>
      <c r="E444" s="55" t="str">
        <f t="shared" ca="1" si="51"/>
        <v/>
      </c>
      <c r="F444" s="51"/>
      <c r="G444" s="55" t="str">
        <f t="shared" ca="1" si="52"/>
        <v/>
      </c>
      <c r="H444" s="50"/>
      <c r="I444" s="55" t="str">
        <f t="shared" ca="1" si="53"/>
        <v/>
      </c>
      <c r="J444" s="50"/>
      <c r="K444" s="55" t="str">
        <f t="shared" ca="1" si="54"/>
        <v/>
      </c>
      <c r="L444" s="64" t="str">
        <f>IF(B444="","",D444+F444+H444+J444+#REF!+#REF!+#REF!+#REF!+#REF!)</f>
        <v/>
      </c>
      <c r="M444" s="55" t="str">
        <f t="shared" ca="1" si="55"/>
        <v/>
      </c>
    </row>
    <row r="445" spans="1:13" ht="19.95" customHeight="1" x14ac:dyDescent="0.25">
      <c r="A445" s="52"/>
      <c r="B445" s="51"/>
      <c r="C445" s="54" t="str">
        <f>IF(B445="","",VLOOKUP(B445,学生信息汇总!A:E,2,0))</f>
        <v/>
      </c>
      <c r="D445" s="50"/>
      <c r="E445" s="55" t="str">
        <f t="shared" ca="1" si="51"/>
        <v/>
      </c>
      <c r="F445" s="51"/>
      <c r="G445" s="55" t="str">
        <f t="shared" ca="1" si="52"/>
        <v/>
      </c>
      <c r="H445" s="50"/>
      <c r="I445" s="55" t="str">
        <f t="shared" ca="1" si="53"/>
        <v/>
      </c>
      <c r="J445" s="50"/>
      <c r="K445" s="55" t="str">
        <f t="shared" ca="1" si="54"/>
        <v/>
      </c>
      <c r="L445" s="64" t="str">
        <f>IF(B445="","",D445+F445+H445+J445+#REF!+#REF!+#REF!+#REF!+#REF!)</f>
        <v/>
      </c>
      <c r="M445" s="55" t="str">
        <f t="shared" ca="1" si="55"/>
        <v/>
      </c>
    </row>
    <row r="446" spans="1:13" ht="19.95" customHeight="1" x14ac:dyDescent="0.25">
      <c r="A446" s="52"/>
      <c r="B446" s="51"/>
      <c r="C446" s="54" t="str">
        <f>IF(B446="","",VLOOKUP(B446,学生信息汇总!A:E,2,0))</f>
        <v/>
      </c>
      <c r="D446" s="50"/>
      <c r="E446" s="55" t="str">
        <f t="shared" ca="1" si="51"/>
        <v/>
      </c>
      <c r="F446" s="51"/>
      <c r="G446" s="55" t="str">
        <f t="shared" ca="1" si="52"/>
        <v/>
      </c>
      <c r="H446" s="50"/>
      <c r="I446" s="55" t="str">
        <f t="shared" ca="1" si="53"/>
        <v/>
      </c>
      <c r="J446" s="50"/>
      <c r="K446" s="55" t="str">
        <f t="shared" ca="1" si="54"/>
        <v/>
      </c>
      <c r="L446" s="64" t="str">
        <f>IF(B446="","",D446+F446+H446+J446+#REF!+#REF!+#REF!+#REF!+#REF!)</f>
        <v/>
      </c>
      <c r="M446" s="55" t="str">
        <f t="shared" ca="1" si="55"/>
        <v/>
      </c>
    </row>
    <row r="447" spans="1:13" ht="19.95" customHeight="1" x14ac:dyDescent="0.25">
      <c r="A447" s="52"/>
      <c r="B447" s="51"/>
      <c r="C447" s="54" t="str">
        <f>IF(B447="","",VLOOKUP(B447,学生信息汇总!A:E,2,0))</f>
        <v/>
      </c>
      <c r="D447" s="50"/>
      <c r="E447" s="55" t="str">
        <f t="shared" ca="1" si="51"/>
        <v/>
      </c>
      <c r="F447" s="51"/>
      <c r="G447" s="55" t="str">
        <f t="shared" ca="1" si="52"/>
        <v/>
      </c>
      <c r="H447" s="50"/>
      <c r="I447" s="55" t="str">
        <f t="shared" ca="1" si="53"/>
        <v/>
      </c>
      <c r="J447" s="50"/>
      <c r="K447" s="55" t="str">
        <f t="shared" ca="1" si="54"/>
        <v/>
      </c>
      <c r="L447" s="64" t="str">
        <f>IF(B447="","",D447+F447+H447+J447+#REF!+#REF!+#REF!+#REF!+#REF!)</f>
        <v/>
      </c>
      <c r="M447" s="55" t="str">
        <f t="shared" ca="1" si="55"/>
        <v/>
      </c>
    </row>
    <row r="448" spans="1:13" ht="19.95" customHeight="1" x14ac:dyDescent="0.25">
      <c r="A448" s="52"/>
      <c r="B448" s="51"/>
      <c r="C448" s="54" t="str">
        <f>IF(B448="","",VLOOKUP(B448,学生信息汇总!A:E,2,0))</f>
        <v/>
      </c>
      <c r="D448" s="50"/>
      <c r="E448" s="55" t="str">
        <f t="shared" ca="1" si="51"/>
        <v/>
      </c>
      <c r="F448" s="51"/>
      <c r="G448" s="55" t="str">
        <f t="shared" ca="1" si="52"/>
        <v/>
      </c>
      <c r="H448" s="50"/>
      <c r="I448" s="55" t="str">
        <f t="shared" ca="1" si="53"/>
        <v/>
      </c>
      <c r="J448" s="50"/>
      <c r="K448" s="55" t="str">
        <f t="shared" ca="1" si="54"/>
        <v/>
      </c>
      <c r="L448" s="64" t="str">
        <f>IF(B448="","",D448+F448+H448+J448+#REF!+#REF!+#REF!+#REF!+#REF!)</f>
        <v/>
      </c>
      <c r="M448" s="55" t="str">
        <f t="shared" ca="1" si="55"/>
        <v/>
      </c>
    </row>
    <row r="449" spans="1:13" ht="19.95" customHeight="1" x14ac:dyDescent="0.25">
      <c r="A449" s="52"/>
      <c r="B449" s="51"/>
      <c r="C449" s="54" t="str">
        <f>IF(B449="","",VLOOKUP(B449,学生信息汇总!A:E,2,0))</f>
        <v/>
      </c>
      <c r="D449" s="50"/>
      <c r="E449" s="55" t="str">
        <f t="shared" ca="1" si="51"/>
        <v/>
      </c>
      <c r="F449" s="51"/>
      <c r="G449" s="55" t="str">
        <f t="shared" ca="1" si="52"/>
        <v/>
      </c>
      <c r="H449" s="50"/>
      <c r="I449" s="55" t="str">
        <f t="shared" ca="1" si="53"/>
        <v/>
      </c>
      <c r="J449" s="50"/>
      <c r="K449" s="55" t="str">
        <f t="shared" ca="1" si="54"/>
        <v/>
      </c>
      <c r="L449" s="64" t="str">
        <f>IF(B449="","",D449+F449+H449+J449+#REF!+#REF!+#REF!+#REF!+#REF!)</f>
        <v/>
      </c>
      <c r="M449" s="55" t="str">
        <f t="shared" ca="1" si="55"/>
        <v/>
      </c>
    </row>
    <row r="450" spans="1:13" ht="19.95" customHeight="1" x14ac:dyDescent="0.25">
      <c r="A450" s="52"/>
      <c r="B450" s="51"/>
      <c r="C450" s="54" t="str">
        <f>IF(B450="","",VLOOKUP(B450,学生信息汇总!A:E,2,0))</f>
        <v/>
      </c>
      <c r="D450" s="50"/>
      <c r="E450" s="55" t="str">
        <f t="shared" ca="1" si="51"/>
        <v/>
      </c>
      <c r="F450" s="51"/>
      <c r="G450" s="55" t="str">
        <f t="shared" ca="1" si="52"/>
        <v/>
      </c>
      <c r="H450" s="50"/>
      <c r="I450" s="55" t="str">
        <f t="shared" ca="1" si="53"/>
        <v/>
      </c>
      <c r="J450" s="50"/>
      <c r="K450" s="55" t="str">
        <f t="shared" ca="1" si="54"/>
        <v/>
      </c>
      <c r="L450" s="64" t="str">
        <f>IF(B450="","",D450+F450+H450+J450+#REF!+#REF!+#REF!+#REF!+#REF!)</f>
        <v/>
      </c>
      <c r="M450" s="55" t="str">
        <f t="shared" ca="1" si="55"/>
        <v/>
      </c>
    </row>
    <row r="451" spans="1:13" ht="19.95" customHeight="1" x14ac:dyDescent="0.25">
      <c r="A451" s="52"/>
      <c r="B451" s="51"/>
      <c r="C451" s="54" t="str">
        <f>IF(B451="","",VLOOKUP(B451,学生信息汇总!A:E,2,0))</f>
        <v/>
      </c>
      <c r="D451" s="50"/>
      <c r="E451" s="55" t="str">
        <f t="shared" ca="1" si="51"/>
        <v/>
      </c>
      <c r="F451" s="51"/>
      <c r="G451" s="55" t="str">
        <f t="shared" ca="1" si="52"/>
        <v/>
      </c>
      <c r="H451" s="50"/>
      <c r="I451" s="55" t="str">
        <f t="shared" ca="1" si="53"/>
        <v/>
      </c>
      <c r="J451" s="50"/>
      <c r="K451" s="55" t="str">
        <f t="shared" ca="1" si="54"/>
        <v/>
      </c>
      <c r="L451" s="64" t="str">
        <f>IF(B451="","",D451+F451+H451+J451+#REF!+#REF!+#REF!+#REF!+#REF!)</f>
        <v/>
      </c>
      <c r="M451" s="55" t="str">
        <f t="shared" ca="1" si="55"/>
        <v/>
      </c>
    </row>
    <row r="452" spans="1:13" ht="19.95" customHeight="1" x14ac:dyDescent="0.25">
      <c r="A452" s="52"/>
      <c r="B452" s="51"/>
      <c r="C452" s="54" t="str">
        <f>IF(B452="","",VLOOKUP(B452,学生信息汇总!A:E,2,0))</f>
        <v/>
      </c>
      <c r="D452" s="50"/>
      <c r="E452" s="55" t="str">
        <f t="shared" ca="1" si="51"/>
        <v/>
      </c>
      <c r="F452" s="51"/>
      <c r="G452" s="55" t="str">
        <f t="shared" ca="1" si="52"/>
        <v/>
      </c>
      <c r="H452" s="50"/>
      <c r="I452" s="55" t="str">
        <f t="shared" ca="1" si="53"/>
        <v/>
      </c>
      <c r="J452" s="50"/>
      <c r="K452" s="55" t="str">
        <f t="shared" ca="1" si="54"/>
        <v/>
      </c>
      <c r="L452" s="64" t="str">
        <f>IF(B452="","",D452+F452+H452+J452+#REF!+#REF!+#REF!+#REF!+#REF!)</f>
        <v/>
      </c>
      <c r="M452" s="55" t="str">
        <f t="shared" ca="1" si="55"/>
        <v/>
      </c>
    </row>
    <row r="453" spans="1:13" ht="19.95" customHeight="1" x14ac:dyDescent="0.25">
      <c r="A453" s="52"/>
      <c r="B453" s="51"/>
      <c r="C453" s="54" t="str">
        <f>IF(B453="","",VLOOKUP(B453,学生信息汇总!A:E,2,0))</f>
        <v/>
      </c>
      <c r="D453" s="50"/>
      <c r="E453" s="55" t="str">
        <f t="shared" ca="1" si="51"/>
        <v/>
      </c>
      <c r="F453" s="51"/>
      <c r="G453" s="55" t="str">
        <f t="shared" ca="1" si="52"/>
        <v/>
      </c>
      <c r="H453" s="50"/>
      <c r="I453" s="55" t="str">
        <f t="shared" ca="1" si="53"/>
        <v/>
      </c>
      <c r="J453" s="50"/>
      <c r="K453" s="55" t="str">
        <f t="shared" ca="1" si="54"/>
        <v/>
      </c>
      <c r="L453" s="64" t="str">
        <f>IF(B453="","",D453+F453+H453+J453+#REF!+#REF!+#REF!+#REF!+#REF!)</f>
        <v/>
      </c>
      <c r="M453" s="55" t="str">
        <f t="shared" ca="1" si="55"/>
        <v/>
      </c>
    </row>
    <row r="454" spans="1:13" ht="19.95" customHeight="1" x14ac:dyDescent="0.25">
      <c r="A454" s="52"/>
      <c r="B454" s="51"/>
      <c r="C454" s="54" t="str">
        <f>IF(B454="","",VLOOKUP(B454,学生信息汇总!A:E,2,0))</f>
        <v/>
      </c>
      <c r="D454" s="50"/>
      <c r="E454" s="55" t="str">
        <f t="shared" ca="1" si="51"/>
        <v/>
      </c>
      <c r="F454" s="51"/>
      <c r="G454" s="55" t="str">
        <f t="shared" ca="1" si="52"/>
        <v/>
      </c>
      <c r="H454" s="50"/>
      <c r="I454" s="55" t="str">
        <f t="shared" ca="1" si="53"/>
        <v/>
      </c>
      <c r="J454" s="50"/>
      <c r="K454" s="55" t="str">
        <f t="shared" ca="1" si="54"/>
        <v/>
      </c>
      <c r="L454" s="64" t="str">
        <f>IF(B454="","",D454+F454+H454+J454+#REF!+#REF!+#REF!+#REF!+#REF!)</f>
        <v/>
      </c>
      <c r="M454" s="55" t="str">
        <f t="shared" ca="1" si="55"/>
        <v/>
      </c>
    </row>
    <row r="455" spans="1:13" ht="19.95" customHeight="1" x14ac:dyDescent="0.25">
      <c r="A455" s="52"/>
      <c r="B455" s="51"/>
      <c r="C455" s="54" t="str">
        <f>IF(B455="","",VLOOKUP(B455,学生信息汇总!A:E,2,0))</f>
        <v/>
      </c>
      <c r="D455" s="50"/>
      <c r="E455" s="55" t="str">
        <f t="shared" ca="1" si="51"/>
        <v/>
      </c>
      <c r="F455" s="51"/>
      <c r="G455" s="55" t="str">
        <f t="shared" ca="1" si="52"/>
        <v/>
      </c>
      <c r="H455" s="50"/>
      <c r="I455" s="55" t="str">
        <f t="shared" ca="1" si="53"/>
        <v/>
      </c>
      <c r="J455" s="50"/>
      <c r="K455" s="55" t="str">
        <f t="shared" ca="1" si="54"/>
        <v/>
      </c>
      <c r="L455" s="64" t="str">
        <f>IF(B455="","",D455+F455+H455+J455+#REF!+#REF!+#REF!+#REF!+#REF!)</f>
        <v/>
      </c>
      <c r="M455" s="55" t="str">
        <f t="shared" ca="1" si="55"/>
        <v/>
      </c>
    </row>
    <row r="456" spans="1:13" ht="19.95" customHeight="1" x14ac:dyDescent="0.25">
      <c r="A456" s="52"/>
      <c r="B456" s="51"/>
      <c r="C456" s="54" t="str">
        <f>IF(B456="","",VLOOKUP(B456,学生信息汇总!A:E,2,0))</f>
        <v/>
      </c>
      <c r="D456" s="50"/>
      <c r="E456" s="55" t="str">
        <f t="shared" ca="1" si="51"/>
        <v/>
      </c>
      <c r="F456" s="51"/>
      <c r="G456" s="55" t="str">
        <f t="shared" ca="1" si="52"/>
        <v/>
      </c>
      <c r="H456" s="50"/>
      <c r="I456" s="55" t="str">
        <f t="shared" ca="1" si="53"/>
        <v/>
      </c>
      <c r="J456" s="50"/>
      <c r="K456" s="55" t="str">
        <f t="shared" ca="1" si="54"/>
        <v/>
      </c>
      <c r="L456" s="64" t="str">
        <f>IF(B456="","",D456+F456+H456+J456+#REF!+#REF!+#REF!+#REF!+#REF!)</f>
        <v/>
      </c>
      <c r="M456" s="55" t="str">
        <f t="shared" ca="1" si="55"/>
        <v/>
      </c>
    </row>
    <row r="457" spans="1:13" ht="19.95" customHeight="1" x14ac:dyDescent="0.25">
      <c r="A457" s="52"/>
      <c r="B457" s="51"/>
      <c r="C457" s="54" t="str">
        <f>IF(B457="","",VLOOKUP(B457,学生信息汇总!A:E,2,0))</f>
        <v/>
      </c>
      <c r="D457" s="50"/>
      <c r="E457" s="55" t="str">
        <f t="shared" ca="1" si="51"/>
        <v/>
      </c>
      <c r="F457" s="51"/>
      <c r="G457" s="55" t="str">
        <f t="shared" ca="1" si="52"/>
        <v/>
      </c>
      <c r="H457" s="50"/>
      <c r="I457" s="55" t="str">
        <f t="shared" ca="1" si="53"/>
        <v/>
      </c>
      <c r="J457" s="50"/>
      <c r="K457" s="55" t="str">
        <f t="shared" ca="1" si="54"/>
        <v/>
      </c>
      <c r="L457" s="64" t="str">
        <f>IF(B457="","",D457+F457+H457+J457+#REF!+#REF!+#REF!+#REF!+#REF!)</f>
        <v/>
      </c>
      <c r="M457" s="55" t="str">
        <f t="shared" ca="1" si="55"/>
        <v/>
      </c>
    </row>
    <row r="458" spans="1:13" ht="19.95" customHeight="1" x14ac:dyDescent="0.25">
      <c r="A458" s="52"/>
      <c r="B458" s="51"/>
      <c r="C458" s="54" t="str">
        <f>IF(B458="","",VLOOKUP(B458,学生信息汇总!A:E,2,0))</f>
        <v/>
      </c>
      <c r="D458" s="50"/>
      <c r="E458" s="55" t="str">
        <f t="shared" ca="1" si="51"/>
        <v/>
      </c>
      <c r="F458" s="51"/>
      <c r="G458" s="55" t="str">
        <f t="shared" ca="1" si="52"/>
        <v/>
      </c>
      <c r="H458" s="50"/>
      <c r="I458" s="55" t="str">
        <f t="shared" ca="1" si="53"/>
        <v/>
      </c>
      <c r="J458" s="50"/>
      <c r="K458" s="55" t="str">
        <f t="shared" ca="1" si="54"/>
        <v/>
      </c>
      <c r="L458" s="64" t="str">
        <f>IF(B458="","",D458+F458+H458+J458+#REF!+#REF!+#REF!+#REF!+#REF!)</f>
        <v/>
      </c>
      <c r="M458" s="55" t="str">
        <f t="shared" ca="1" si="55"/>
        <v/>
      </c>
    </row>
    <row r="459" spans="1:13" ht="19.95" customHeight="1" x14ac:dyDescent="0.25">
      <c r="A459" s="52"/>
      <c r="B459" s="51"/>
      <c r="C459" s="54" t="str">
        <f>IF(B459="","",VLOOKUP(B459,学生信息汇总!A:E,2,0))</f>
        <v/>
      </c>
      <c r="D459" s="50"/>
      <c r="E459" s="55" t="str">
        <f t="shared" ca="1" si="51"/>
        <v/>
      </c>
      <c r="F459" s="51"/>
      <c r="G459" s="55" t="str">
        <f t="shared" ca="1" si="52"/>
        <v/>
      </c>
      <c r="H459" s="50"/>
      <c r="I459" s="55" t="str">
        <f t="shared" ca="1" si="53"/>
        <v/>
      </c>
      <c r="J459" s="50"/>
      <c r="K459" s="55" t="str">
        <f t="shared" ca="1" si="54"/>
        <v/>
      </c>
      <c r="L459" s="64" t="str">
        <f>IF(B459="","",D459+F459+H459+J459+#REF!+#REF!+#REF!+#REF!+#REF!)</f>
        <v/>
      </c>
      <c r="M459" s="55" t="str">
        <f t="shared" ca="1" si="55"/>
        <v/>
      </c>
    </row>
    <row r="460" spans="1:13" ht="19.95" customHeight="1" x14ac:dyDescent="0.25">
      <c r="A460" s="52"/>
      <c r="B460" s="51"/>
      <c r="C460" s="54" t="str">
        <f>IF(B460="","",VLOOKUP(B460,学生信息汇总!A:E,2,0))</f>
        <v/>
      </c>
      <c r="D460" s="50"/>
      <c r="E460" s="55" t="str">
        <f t="shared" ca="1" si="51"/>
        <v/>
      </c>
      <c r="F460" s="51"/>
      <c r="G460" s="55" t="str">
        <f t="shared" ca="1" si="52"/>
        <v/>
      </c>
      <c r="H460" s="50"/>
      <c r="I460" s="55" t="str">
        <f t="shared" ca="1" si="53"/>
        <v/>
      </c>
      <c r="J460" s="50"/>
      <c r="K460" s="55" t="str">
        <f t="shared" ca="1" si="54"/>
        <v/>
      </c>
      <c r="L460" s="64" t="str">
        <f>IF(B460="","",D460+F460+H460+J460+#REF!+#REF!+#REF!+#REF!+#REF!)</f>
        <v/>
      </c>
      <c r="M460" s="55" t="str">
        <f t="shared" ca="1" si="55"/>
        <v/>
      </c>
    </row>
    <row r="461" spans="1:13" ht="19.95" customHeight="1" x14ac:dyDescent="0.25">
      <c r="A461" s="52"/>
      <c r="B461" s="51"/>
      <c r="C461" s="54" t="str">
        <f>IF(B461="","",VLOOKUP(B461,学生信息汇总!A:E,2,0))</f>
        <v/>
      </c>
      <c r="D461" s="50"/>
      <c r="E461" s="55" t="str">
        <f t="shared" ca="1" si="51"/>
        <v/>
      </c>
      <c r="F461" s="51"/>
      <c r="G461" s="55" t="str">
        <f t="shared" ca="1" si="52"/>
        <v/>
      </c>
      <c r="H461" s="50"/>
      <c r="I461" s="55" t="str">
        <f t="shared" ca="1" si="53"/>
        <v/>
      </c>
      <c r="J461" s="50"/>
      <c r="K461" s="55" t="str">
        <f t="shared" ca="1" si="54"/>
        <v/>
      </c>
      <c r="L461" s="64" t="str">
        <f>IF(B461="","",D461+F461+H461+J461+#REF!+#REF!+#REF!+#REF!+#REF!)</f>
        <v/>
      </c>
      <c r="M461" s="55" t="str">
        <f t="shared" ca="1" si="55"/>
        <v/>
      </c>
    </row>
    <row r="462" spans="1:13" ht="19.95" customHeight="1" x14ac:dyDescent="0.25">
      <c r="A462" s="52"/>
      <c r="B462" s="51"/>
      <c r="C462" s="54" t="str">
        <f>IF(B462="","",VLOOKUP(B462,学生信息汇总!A:E,2,0))</f>
        <v/>
      </c>
      <c r="D462" s="50"/>
      <c r="E462" s="55" t="str">
        <f t="shared" ca="1" si="51"/>
        <v/>
      </c>
      <c r="F462" s="51"/>
      <c r="G462" s="55" t="str">
        <f t="shared" ca="1" si="52"/>
        <v/>
      </c>
      <c r="H462" s="50"/>
      <c r="I462" s="55" t="str">
        <f t="shared" ca="1" si="53"/>
        <v/>
      </c>
      <c r="J462" s="50"/>
      <c r="K462" s="55" t="str">
        <f t="shared" ca="1" si="54"/>
        <v/>
      </c>
      <c r="L462" s="64" t="str">
        <f>IF(B462="","",D462+F462+H462+J462+#REF!+#REF!+#REF!+#REF!+#REF!)</f>
        <v/>
      </c>
      <c r="M462" s="55" t="str">
        <f t="shared" ca="1" si="55"/>
        <v/>
      </c>
    </row>
    <row r="463" spans="1:13" ht="19.95" customHeight="1" x14ac:dyDescent="0.25">
      <c r="A463" s="52"/>
      <c r="B463" s="51"/>
      <c r="C463" s="54" t="str">
        <f>IF(B463="","",VLOOKUP(B463,学生信息汇总!A:E,2,0))</f>
        <v/>
      </c>
      <c r="D463" s="50"/>
      <c r="E463" s="55" t="str">
        <f t="shared" ca="1" si="51"/>
        <v/>
      </c>
      <c r="F463" s="51"/>
      <c r="G463" s="55" t="str">
        <f t="shared" ca="1" si="52"/>
        <v/>
      </c>
      <c r="H463" s="50"/>
      <c r="I463" s="55" t="str">
        <f t="shared" ca="1" si="53"/>
        <v/>
      </c>
      <c r="J463" s="50"/>
      <c r="K463" s="55" t="str">
        <f t="shared" ca="1" si="54"/>
        <v/>
      </c>
      <c r="L463" s="64" t="str">
        <f>IF(B463="","",D463+F463+H463+J463+#REF!+#REF!+#REF!+#REF!+#REF!)</f>
        <v/>
      </c>
      <c r="M463" s="55" t="str">
        <f t="shared" ca="1" si="55"/>
        <v/>
      </c>
    </row>
    <row r="464" spans="1:13" ht="19.95" customHeight="1" x14ac:dyDescent="0.25">
      <c r="A464" s="52"/>
      <c r="B464" s="51"/>
      <c r="C464" s="54" t="str">
        <f>IF(B464="","",VLOOKUP(B464,学生信息汇总!A:E,2,0))</f>
        <v/>
      </c>
      <c r="D464" s="50"/>
      <c r="E464" s="55" t="str">
        <f t="shared" ca="1" si="51"/>
        <v/>
      </c>
      <c r="F464" s="51"/>
      <c r="G464" s="55" t="str">
        <f t="shared" ca="1" si="52"/>
        <v/>
      </c>
      <c r="H464" s="50"/>
      <c r="I464" s="55" t="str">
        <f t="shared" ca="1" si="53"/>
        <v/>
      </c>
      <c r="J464" s="50"/>
      <c r="K464" s="55" t="str">
        <f t="shared" ca="1" si="54"/>
        <v/>
      </c>
      <c r="L464" s="64" t="str">
        <f>IF(B464="","",D464+F464+H464+J464+#REF!+#REF!+#REF!+#REF!+#REF!)</f>
        <v/>
      </c>
      <c r="M464" s="55" t="str">
        <f t="shared" ca="1" si="55"/>
        <v/>
      </c>
    </row>
    <row r="465" spans="1:13" ht="19.95" customHeight="1" x14ac:dyDescent="0.25">
      <c r="A465" s="52"/>
      <c r="B465" s="51"/>
      <c r="C465" s="54" t="str">
        <f>IF(B465="","",VLOOKUP(B465,学生信息汇总!A:E,2,0))</f>
        <v/>
      </c>
      <c r="D465" s="50"/>
      <c r="E465" s="55" t="str">
        <f t="shared" ca="1" si="51"/>
        <v/>
      </c>
      <c r="F465" s="51"/>
      <c r="G465" s="55" t="str">
        <f t="shared" ca="1" si="52"/>
        <v/>
      </c>
      <c r="H465" s="50"/>
      <c r="I465" s="55" t="str">
        <f t="shared" ca="1" si="53"/>
        <v/>
      </c>
      <c r="J465" s="50"/>
      <c r="K465" s="55" t="str">
        <f t="shared" ca="1" si="54"/>
        <v/>
      </c>
      <c r="L465" s="64" t="str">
        <f>IF(B465="","",D465+F465+H465+J465+#REF!+#REF!+#REF!+#REF!+#REF!)</f>
        <v/>
      </c>
      <c r="M465" s="55" t="str">
        <f t="shared" ca="1" si="55"/>
        <v/>
      </c>
    </row>
    <row r="466" spans="1:13" ht="19.95" customHeight="1" x14ac:dyDescent="0.25">
      <c r="A466" s="52"/>
      <c r="B466" s="51"/>
      <c r="C466" s="54" t="str">
        <f>IF(B466="","",VLOOKUP(B466,学生信息汇总!A:E,2,0))</f>
        <v/>
      </c>
      <c r="D466" s="50"/>
      <c r="E466" s="55" t="str">
        <f t="shared" ca="1" si="51"/>
        <v/>
      </c>
      <c r="F466" s="51"/>
      <c r="G466" s="55" t="str">
        <f t="shared" ca="1" si="52"/>
        <v/>
      </c>
      <c r="H466" s="50"/>
      <c r="I466" s="55" t="str">
        <f t="shared" ca="1" si="53"/>
        <v/>
      </c>
      <c r="J466" s="50"/>
      <c r="K466" s="55" t="str">
        <f t="shared" ca="1" si="54"/>
        <v/>
      </c>
      <c r="L466" s="64" t="str">
        <f>IF(B466="","",D466+F466+H466+J466+#REF!+#REF!+#REF!+#REF!+#REF!)</f>
        <v/>
      </c>
      <c r="M466" s="55" t="str">
        <f t="shared" ca="1" si="55"/>
        <v/>
      </c>
    </row>
    <row r="467" spans="1:13" ht="19.95" customHeight="1" x14ac:dyDescent="0.25">
      <c r="A467" s="52"/>
      <c r="B467" s="51"/>
      <c r="C467" s="54" t="str">
        <f>IF(B467="","",VLOOKUP(B467,学生信息汇总!A:E,2,0))</f>
        <v/>
      </c>
      <c r="D467" s="50"/>
      <c r="E467" s="55" t="str">
        <f t="shared" ca="1" si="51"/>
        <v/>
      </c>
      <c r="F467" s="51"/>
      <c r="G467" s="55" t="str">
        <f t="shared" ca="1" si="52"/>
        <v/>
      </c>
      <c r="H467" s="50"/>
      <c r="I467" s="55" t="str">
        <f t="shared" ca="1" si="53"/>
        <v/>
      </c>
      <c r="J467" s="50"/>
      <c r="K467" s="55" t="str">
        <f t="shared" ca="1" si="54"/>
        <v/>
      </c>
      <c r="L467" s="64" t="str">
        <f>IF(B467="","",D467+F467+H467+J467+#REF!+#REF!+#REF!+#REF!+#REF!)</f>
        <v/>
      </c>
      <c r="M467" s="55" t="str">
        <f t="shared" ca="1" si="55"/>
        <v/>
      </c>
    </row>
    <row r="468" spans="1:13" ht="19.95" customHeight="1" x14ac:dyDescent="0.25">
      <c r="A468" s="52"/>
      <c r="B468" s="51"/>
      <c r="C468" s="54" t="str">
        <f>IF(B468="","",VLOOKUP(B468,学生信息汇总!A:E,2,0))</f>
        <v/>
      </c>
      <c r="D468" s="50"/>
      <c r="E468" s="55" t="str">
        <f t="shared" ca="1" si="51"/>
        <v/>
      </c>
      <c r="F468" s="51"/>
      <c r="G468" s="55" t="str">
        <f t="shared" ca="1" si="52"/>
        <v/>
      </c>
      <c r="H468" s="50"/>
      <c r="I468" s="55" t="str">
        <f t="shared" ca="1" si="53"/>
        <v/>
      </c>
      <c r="J468" s="50"/>
      <c r="K468" s="55" t="str">
        <f t="shared" ca="1" si="54"/>
        <v/>
      </c>
      <c r="L468" s="64" t="str">
        <f>IF(B468="","",D468+F468+H468+J468+#REF!+#REF!+#REF!+#REF!+#REF!)</f>
        <v/>
      </c>
      <c r="M468" s="55" t="str">
        <f t="shared" ca="1" si="55"/>
        <v/>
      </c>
    </row>
    <row r="469" spans="1:13" ht="19.95" customHeight="1" x14ac:dyDescent="0.25">
      <c r="A469" s="52"/>
      <c r="B469" s="51"/>
      <c r="C469" s="54" t="str">
        <f>IF(B469="","",VLOOKUP(B469,学生信息汇总!A:E,2,0))</f>
        <v/>
      </c>
      <c r="D469" s="50"/>
      <c r="E469" s="55" t="str">
        <f t="shared" ca="1" si="51"/>
        <v/>
      </c>
      <c r="F469" s="51"/>
      <c r="G469" s="55" t="str">
        <f t="shared" ca="1" si="52"/>
        <v/>
      </c>
      <c r="H469" s="50"/>
      <c r="I469" s="55" t="str">
        <f t="shared" ca="1" si="53"/>
        <v/>
      </c>
      <c r="J469" s="50"/>
      <c r="K469" s="55" t="str">
        <f t="shared" ca="1" si="54"/>
        <v/>
      </c>
      <c r="L469" s="64" t="str">
        <f>IF(B469="","",D469+F469+H469+J469+#REF!+#REF!+#REF!+#REF!+#REF!)</f>
        <v/>
      </c>
      <c r="M469" s="55" t="str">
        <f t="shared" ca="1" si="55"/>
        <v/>
      </c>
    </row>
    <row r="470" spans="1:13" ht="19.95" customHeight="1" x14ac:dyDescent="0.25">
      <c r="A470" s="52"/>
      <c r="B470" s="51"/>
      <c r="C470" s="54" t="str">
        <f>IF(B470="","",VLOOKUP(B470,学生信息汇总!A:E,2,0))</f>
        <v/>
      </c>
      <c r="D470" s="50"/>
      <c r="E470" s="55" t="str">
        <f t="shared" ca="1" si="51"/>
        <v/>
      </c>
      <c r="F470" s="51"/>
      <c r="G470" s="55" t="str">
        <f t="shared" ca="1" si="52"/>
        <v/>
      </c>
      <c r="H470" s="50"/>
      <c r="I470" s="55" t="str">
        <f t="shared" ca="1" si="53"/>
        <v/>
      </c>
      <c r="J470" s="50"/>
      <c r="K470" s="55" t="str">
        <f t="shared" ca="1" si="54"/>
        <v/>
      </c>
      <c r="L470" s="64" t="str">
        <f>IF(B470="","",D470+F470+H470+J470+#REF!+#REF!+#REF!+#REF!+#REF!)</f>
        <v/>
      </c>
      <c r="M470" s="55" t="str">
        <f t="shared" ca="1" si="55"/>
        <v/>
      </c>
    </row>
    <row r="471" spans="1:13" ht="19.95" customHeight="1" x14ac:dyDescent="0.25">
      <c r="A471" s="52"/>
      <c r="B471" s="51"/>
      <c r="C471" s="54" t="str">
        <f>IF(B471="","",VLOOKUP(B471,学生信息汇总!A:E,2,0))</f>
        <v/>
      </c>
      <c r="D471" s="50"/>
      <c r="E471" s="55" t="str">
        <f t="shared" ca="1" si="51"/>
        <v/>
      </c>
      <c r="F471" s="51"/>
      <c r="G471" s="55" t="str">
        <f t="shared" ca="1" si="52"/>
        <v/>
      </c>
      <c r="H471" s="50"/>
      <c r="I471" s="55" t="str">
        <f t="shared" ca="1" si="53"/>
        <v/>
      </c>
      <c r="J471" s="50"/>
      <c r="K471" s="55" t="str">
        <f t="shared" ca="1" si="54"/>
        <v/>
      </c>
      <c r="L471" s="64" t="str">
        <f>IF(B471="","",D471+F471+H471+J471+#REF!+#REF!+#REF!+#REF!+#REF!)</f>
        <v/>
      </c>
      <c r="M471" s="55" t="str">
        <f t="shared" ca="1" si="55"/>
        <v/>
      </c>
    </row>
    <row r="472" spans="1:13" ht="19.95" customHeight="1" x14ac:dyDescent="0.25">
      <c r="A472" s="52"/>
      <c r="B472" s="51"/>
      <c r="C472" s="54" t="str">
        <f>IF(B472="","",VLOOKUP(B472,学生信息汇总!A:E,2,0))</f>
        <v/>
      </c>
      <c r="D472" s="50"/>
      <c r="E472" s="55" t="str">
        <f t="shared" ca="1" si="51"/>
        <v/>
      </c>
      <c r="F472" s="51"/>
      <c r="G472" s="55" t="str">
        <f t="shared" ca="1" si="52"/>
        <v/>
      </c>
      <c r="H472" s="50"/>
      <c r="I472" s="55" t="str">
        <f t="shared" ca="1" si="53"/>
        <v/>
      </c>
      <c r="J472" s="50"/>
      <c r="K472" s="55" t="str">
        <f t="shared" ca="1" si="54"/>
        <v/>
      </c>
      <c r="L472" s="64" t="str">
        <f>IF(B472="","",D472+F472+H472+J472+#REF!+#REF!+#REF!+#REF!+#REF!)</f>
        <v/>
      </c>
      <c r="M472" s="55" t="str">
        <f t="shared" ca="1" si="55"/>
        <v/>
      </c>
    </row>
    <row r="473" spans="1:13" ht="19.95" customHeight="1" x14ac:dyDescent="0.25">
      <c r="A473" s="52"/>
      <c r="B473" s="51"/>
      <c r="C473" s="54" t="str">
        <f>IF(B473="","",VLOOKUP(B473,学生信息汇总!A:E,2,0))</f>
        <v/>
      </c>
      <c r="D473" s="50"/>
      <c r="E473" s="55" t="str">
        <f t="shared" ca="1" si="51"/>
        <v/>
      </c>
      <c r="F473" s="51"/>
      <c r="G473" s="55" t="str">
        <f t="shared" ca="1" si="52"/>
        <v/>
      </c>
      <c r="H473" s="50"/>
      <c r="I473" s="55" t="str">
        <f t="shared" ca="1" si="53"/>
        <v/>
      </c>
      <c r="J473" s="50"/>
      <c r="K473" s="55" t="str">
        <f t="shared" ca="1" si="54"/>
        <v/>
      </c>
      <c r="L473" s="64" t="str">
        <f>IF(B473="","",D473+F473+H473+J473+#REF!+#REF!+#REF!+#REF!+#REF!)</f>
        <v/>
      </c>
      <c r="M473" s="55" t="str">
        <f t="shared" ca="1" si="55"/>
        <v/>
      </c>
    </row>
    <row r="474" spans="1:13" ht="19.95" customHeight="1" x14ac:dyDescent="0.25">
      <c r="A474" s="52"/>
      <c r="B474" s="51"/>
      <c r="C474" s="54" t="str">
        <f>IF(B474="","",VLOOKUP(B474,学生信息汇总!A:E,2,0))</f>
        <v/>
      </c>
      <c r="D474" s="50"/>
      <c r="E474" s="55" t="str">
        <f t="shared" ca="1" si="51"/>
        <v/>
      </c>
      <c r="F474" s="51"/>
      <c r="G474" s="55" t="str">
        <f t="shared" ca="1" si="52"/>
        <v/>
      </c>
      <c r="H474" s="50"/>
      <c r="I474" s="55" t="str">
        <f t="shared" ca="1" si="53"/>
        <v/>
      </c>
      <c r="J474" s="50"/>
      <c r="K474" s="55" t="str">
        <f t="shared" ca="1" si="54"/>
        <v/>
      </c>
      <c r="L474" s="64" t="str">
        <f>IF(B474="","",D474+F474+H474+J474+#REF!+#REF!+#REF!+#REF!+#REF!)</f>
        <v/>
      </c>
      <c r="M474" s="55" t="str">
        <f t="shared" ca="1" si="55"/>
        <v/>
      </c>
    </row>
    <row r="475" spans="1:13" ht="19.95" customHeight="1" x14ac:dyDescent="0.25">
      <c r="A475" s="52"/>
      <c r="B475" s="51"/>
      <c r="C475" s="54" t="str">
        <f>IF(B475="","",VLOOKUP(B475,学生信息汇总!A:E,2,0))</f>
        <v/>
      </c>
      <c r="D475" s="50"/>
      <c r="E475" s="55" t="str">
        <f t="shared" ca="1" si="51"/>
        <v/>
      </c>
      <c r="F475" s="51"/>
      <c r="G475" s="55" t="str">
        <f t="shared" ca="1" si="52"/>
        <v/>
      </c>
      <c r="H475" s="50"/>
      <c r="I475" s="55" t="str">
        <f t="shared" ca="1" si="53"/>
        <v/>
      </c>
      <c r="J475" s="50"/>
      <c r="K475" s="55" t="str">
        <f t="shared" ca="1" si="54"/>
        <v/>
      </c>
      <c r="L475" s="64" t="str">
        <f>IF(B475="","",D475+F475+H475+J475+#REF!+#REF!+#REF!+#REF!+#REF!)</f>
        <v/>
      </c>
      <c r="M475" s="55" t="str">
        <f t="shared" ca="1" si="55"/>
        <v/>
      </c>
    </row>
    <row r="476" spans="1:13" ht="19.95" customHeight="1" x14ac:dyDescent="0.25">
      <c r="A476" s="52"/>
      <c r="B476" s="51"/>
      <c r="C476" s="54" t="str">
        <f>IF(B476="","",VLOOKUP(B476,学生信息汇总!A:E,2,0))</f>
        <v/>
      </c>
      <c r="D476" s="50"/>
      <c r="E476" s="55" t="str">
        <f t="shared" ca="1" si="51"/>
        <v/>
      </c>
      <c r="F476" s="51"/>
      <c r="G476" s="55" t="str">
        <f t="shared" ca="1" si="52"/>
        <v/>
      </c>
      <c r="H476" s="50"/>
      <c r="I476" s="55" t="str">
        <f t="shared" ca="1" si="53"/>
        <v/>
      </c>
      <c r="J476" s="50"/>
      <c r="K476" s="55" t="str">
        <f t="shared" ca="1" si="54"/>
        <v/>
      </c>
      <c r="L476" s="64" t="str">
        <f>IF(B476="","",D476+F476+H476+J476+#REF!+#REF!+#REF!+#REF!+#REF!)</f>
        <v/>
      </c>
      <c r="M476" s="55" t="str">
        <f t="shared" ca="1" si="55"/>
        <v/>
      </c>
    </row>
    <row r="477" spans="1:13" ht="19.95" customHeight="1" x14ac:dyDescent="0.25">
      <c r="A477" s="52"/>
      <c r="B477" s="51"/>
      <c r="C477" s="54" t="str">
        <f>IF(B477="","",VLOOKUP(B477,学生信息汇总!A:E,2,0))</f>
        <v/>
      </c>
      <c r="D477" s="50"/>
      <c r="E477" s="55" t="str">
        <f t="shared" ca="1" si="51"/>
        <v/>
      </c>
      <c r="F477" s="51"/>
      <c r="G477" s="55" t="str">
        <f t="shared" ca="1" si="52"/>
        <v/>
      </c>
      <c r="H477" s="50"/>
      <c r="I477" s="55" t="str">
        <f t="shared" ca="1" si="53"/>
        <v/>
      </c>
      <c r="J477" s="50"/>
      <c r="K477" s="55" t="str">
        <f t="shared" ca="1" si="54"/>
        <v/>
      </c>
      <c r="L477" s="64" t="str">
        <f>IF(B477="","",D477+F477+H477+J477+#REF!+#REF!+#REF!+#REF!+#REF!)</f>
        <v/>
      </c>
      <c r="M477" s="55" t="str">
        <f t="shared" ca="1" si="55"/>
        <v/>
      </c>
    </row>
    <row r="478" spans="1:13" ht="19.95" customHeight="1" x14ac:dyDescent="0.25">
      <c r="A478" s="52"/>
      <c r="B478" s="51"/>
      <c r="C478" s="54" t="str">
        <f>IF(B478="","",VLOOKUP(B478,学生信息汇总!A:E,2,0))</f>
        <v/>
      </c>
      <c r="D478" s="50"/>
      <c r="E478" s="55" t="str">
        <f t="shared" ca="1" si="51"/>
        <v/>
      </c>
      <c r="F478" s="51"/>
      <c r="G478" s="55" t="str">
        <f t="shared" ca="1" si="52"/>
        <v/>
      </c>
      <c r="H478" s="50"/>
      <c r="I478" s="55" t="str">
        <f t="shared" ca="1" si="53"/>
        <v/>
      </c>
      <c r="J478" s="50"/>
      <c r="K478" s="55" t="str">
        <f t="shared" ca="1" si="54"/>
        <v/>
      </c>
      <c r="L478" s="64" t="str">
        <f>IF(B478="","",D478+F478+H478+J478+#REF!+#REF!+#REF!+#REF!+#REF!)</f>
        <v/>
      </c>
      <c r="M478" s="55" t="str">
        <f t="shared" ca="1" si="55"/>
        <v/>
      </c>
    </row>
    <row r="479" spans="1:13" ht="19.95" customHeight="1" x14ac:dyDescent="0.25">
      <c r="A479" s="52"/>
      <c r="B479" s="51"/>
      <c r="C479" s="54" t="str">
        <f>IF(B479="","",VLOOKUP(B479,学生信息汇总!A:E,2,0))</f>
        <v/>
      </c>
      <c r="D479" s="50"/>
      <c r="E479" s="55" t="str">
        <f t="shared" ca="1" si="51"/>
        <v/>
      </c>
      <c r="F479" s="51"/>
      <c r="G479" s="55" t="str">
        <f t="shared" ca="1" si="52"/>
        <v/>
      </c>
      <c r="H479" s="50"/>
      <c r="I479" s="55" t="str">
        <f t="shared" ca="1" si="53"/>
        <v/>
      </c>
      <c r="J479" s="50"/>
      <c r="K479" s="55" t="str">
        <f t="shared" ca="1" si="54"/>
        <v/>
      </c>
      <c r="L479" s="64" t="str">
        <f>IF(B479="","",D479+F479+H479+J479+#REF!+#REF!+#REF!+#REF!+#REF!)</f>
        <v/>
      </c>
      <c r="M479" s="55" t="str">
        <f t="shared" ca="1" si="55"/>
        <v/>
      </c>
    </row>
    <row r="480" spans="1:13" ht="19.95" customHeight="1" x14ac:dyDescent="0.25">
      <c r="A480" s="52"/>
      <c r="B480" s="51"/>
      <c r="C480" s="54" t="str">
        <f>IF(B480="","",VLOOKUP(B480,学生信息汇总!A:E,2,0))</f>
        <v/>
      </c>
      <c r="D480" s="50"/>
      <c r="E480" s="55" t="str">
        <f t="shared" ca="1" si="51"/>
        <v/>
      </c>
      <c r="F480" s="51"/>
      <c r="G480" s="55" t="str">
        <f t="shared" ca="1" si="52"/>
        <v/>
      </c>
      <c r="H480" s="50"/>
      <c r="I480" s="55" t="str">
        <f t="shared" ca="1" si="53"/>
        <v/>
      </c>
      <c r="J480" s="50"/>
      <c r="K480" s="55" t="str">
        <f t="shared" ca="1" si="54"/>
        <v/>
      </c>
      <c r="L480" s="64" t="str">
        <f>IF(B480="","",D480+F480+H480+J480+#REF!+#REF!+#REF!+#REF!+#REF!)</f>
        <v/>
      </c>
      <c r="M480" s="55" t="str">
        <f t="shared" ca="1" si="55"/>
        <v/>
      </c>
    </row>
    <row r="481" spans="1:13" ht="19.95" customHeight="1" x14ac:dyDescent="0.25">
      <c r="A481" s="52"/>
      <c r="B481" s="51"/>
      <c r="C481" s="54" t="str">
        <f>IF(B481="","",VLOOKUP(B481,学生信息汇总!A:E,2,0))</f>
        <v/>
      </c>
      <c r="D481" s="50"/>
      <c r="E481" s="55" t="str">
        <f t="shared" ca="1" si="51"/>
        <v/>
      </c>
      <c r="F481" s="51"/>
      <c r="G481" s="55" t="str">
        <f t="shared" ca="1" si="52"/>
        <v/>
      </c>
      <c r="H481" s="50"/>
      <c r="I481" s="55" t="str">
        <f t="shared" ca="1" si="53"/>
        <v/>
      </c>
      <c r="J481" s="50"/>
      <c r="K481" s="55" t="str">
        <f t="shared" ca="1" si="54"/>
        <v/>
      </c>
      <c r="L481" s="64" t="str">
        <f>IF(B481="","",D481+F481+H481+J481+#REF!+#REF!+#REF!+#REF!+#REF!)</f>
        <v/>
      </c>
      <c r="M481" s="55" t="str">
        <f t="shared" ca="1" si="55"/>
        <v/>
      </c>
    </row>
    <row r="482" spans="1:13" ht="19.95" customHeight="1" x14ac:dyDescent="0.25">
      <c r="A482" s="52"/>
      <c r="B482" s="51"/>
      <c r="C482" s="54" t="str">
        <f>IF(B482="","",VLOOKUP(B482,学生信息汇总!A:E,2,0))</f>
        <v/>
      </c>
      <c r="D482" s="50"/>
      <c r="E482" s="55" t="str">
        <f t="shared" ca="1" si="51"/>
        <v/>
      </c>
      <c r="F482" s="51"/>
      <c r="G482" s="55" t="str">
        <f t="shared" ca="1" si="52"/>
        <v/>
      </c>
      <c r="H482" s="50"/>
      <c r="I482" s="55" t="str">
        <f t="shared" ca="1" si="53"/>
        <v/>
      </c>
      <c r="J482" s="50"/>
      <c r="K482" s="55" t="str">
        <f t="shared" ca="1" si="54"/>
        <v/>
      </c>
      <c r="L482" s="64" t="str">
        <f>IF(B482="","",D482+F482+H482+J482+#REF!+#REF!+#REF!+#REF!+#REF!)</f>
        <v/>
      </c>
      <c r="M482" s="55" t="str">
        <f t="shared" ca="1" si="55"/>
        <v/>
      </c>
    </row>
    <row r="483" spans="1:13" ht="19.95" customHeight="1" x14ac:dyDescent="0.25">
      <c r="A483" s="52"/>
      <c r="B483" s="51"/>
      <c r="C483" s="54" t="str">
        <f>IF(B483="","",VLOOKUP(B483,学生信息汇总!A:E,2,0))</f>
        <v/>
      </c>
      <c r="D483" s="50"/>
      <c r="E483" s="55" t="str">
        <f t="shared" ca="1" si="51"/>
        <v/>
      </c>
      <c r="F483" s="51"/>
      <c r="G483" s="55" t="str">
        <f t="shared" ca="1" si="52"/>
        <v/>
      </c>
      <c r="H483" s="50"/>
      <c r="I483" s="55" t="str">
        <f t="shared" ca="1" si="53"/>
        <v/>
      </c>
      <c r="J483" s="50"/>
      <c r="K483" s="55" t="str">
        <f t="shared" ca="1" si="54"/>
        <v/>
      </c>
      <c r="L483" s="64" t="str">
        <f>IF(B483="","",D483+F483+H483+J483+#REF!+#REF!+#REF!+#REF!+#REF!)</f>
        <v/>
      </c>
      <c r="M483" s="55" t="str">
        <f t="shared" ca="1" si="55"/>
        <v/>
      </c>
    </row>
    <row r="484" spans="1:13" ht="19.95" customHeight="1" x14ac:dyDescent="0.25">
      <c r="A484" s="52"/>
      <c r="B484" s="51"/>
      <c r="C484" s="54" t="str">
        <f>IF(B484="","",VLOOKUP(B484,学生信息汇总!A:E,2,0))</f>
        <v/>
      </c>
      <c r="D484" s="50"/>
      <c r="E484" s="55" t="str">
        <f t="shared" ca="1" si="51"/>
        <v/>
      </c>
      <c r="F484" s="51"/>
      <c r="G484" s="55" t="str">
        <f t="shared" ca="1" si="52"/>
        <v/>
      </c>
      <c r="H484" s="50"/>
      <c r="I484" s="55" t="str">
        <f t="shared" ca="1" si="53"/>
        <v/>
      </c>
      <c r="J484" s="50"/>
      <c r="K484" s="55" t="str">
        <f t="shared" ca="1" si="54"/>
        <v/>
      </c>
      <c r="L484" s="64" t="str">
        <f>IF(B484="","",D484+F484+H484+J484+#REF!+#REF!+#REF!+#REF!+#REF!)</f>
        <v/>
      </c>
      <c r="M484" s="55" t="str">
        <f t="shared" ca="1" si="55"/>
        <v/>
      </c>
    </row>
    <row r="485" spans="1:13" ht="19.95" customHeight="1" x14ac:dyDescent="0.25">
      <c r="A485" s="52"/>
      <c r="B485" s="51"/>
      <c r="C485" s="54" t="str">
        <f>IF(B485="","",VLOOKUP(B485,学生信息汇总!A:E,2,0))</f>
        <v/>
      </c>
      <c r="D485" s="50"/>
      <c r="E485" s="55" t="str">
        <f t="shared" ca="1" si="51"/>
        <v/>
      </c>
      <c r="F485" s="51"/>
      <c r="G485" s="55" t="str">
        <f t="shared" ca="1" si="52"/>
        <v/>
      </c>
      <c r="H485" s="50"/>
      <c r="I485" s="55" t="str">
        <f t="shared" ca="1" si="53"/>
        <v/>
      </c>
      <c r="J485" s="50"/>
      <c r="K485" s="55" t="str">
        <f t="shared" ca="1" si="54"/>
        <v/>
      </c>
      <c r="L485" s="64" t="str">
        <f>IF(B485="","",D485+F485+H485+J485+#REF!+#REF!+#REF!+#REF!+#REF!)</f>
        <v/>
      </c>
      <c r="M485" s="55" t="str">
        <f t="shared" ca="1" si="55"/>
        <v/>
      </c>
    </row>
    <row r="486" spans="1:13" ht="19.95" customHeight="1" x14ac:dyDescent="0.25">
      <c r="A486" s="52"/>
      <c r="B486" s="51"/>
      <c r="C486" s="54" t="str">
        <f>IF(B486="","",VLOOKUP(B486,学生信息汇总!A:E,2,0))</f>
        <v/>
      </c>
      <c r="D486" s="50"/>
      <c r="E486" s="55" t="str">
        <f t="shared" ca="1" si="51"/>
        <v/>
      </c>
      <c r="F486" s="51"/>
      <c r="G486" s="55" t="str">
        <f t="shared" ca="1" si="52"/>
        <v/>
      </c>
      <c r="H486" s="50"/>
      <c r="I486" s="55" t="str">
        <f t="shared" ca="1" si="53"/>
        <v/>
      </c>
      <c r="J486" s="50"/>
      <c r="K486" s="55" t="str">
        <f t="shared" ca="1" si="54"/>
        <v/>
      </c>
      <c r="L486" s="64" t="str">
        <f>IF(B486="","",D486+F486+H486+J486+#REF!+#REF!+#REF!+#REF!+#REF!)</f>
        <v/>
      </c>
      <c r="M486" s="55" t="str">
        <f t="shared" ca="1" si="55"/>
        <v/>
      </c>
    </row>
    <row r="487" spans="1:13" ht="19.95" customHeight="1" x14ac:dyDescent="0.25">
      <c r="A487" s="52"/>
      <c r="B487" s="51"/>
      <c r="C487" s="54" t="str">
        <f>IF(B487="","",VLOOKUP(B487,学生信息汇总!A:E,2,0))</f>
        <v/>
      </c>
      <c r="D487" s="50"/>
      <c r="E487" s="55" t="str">
        <f t="shared" ca="1" si="51"/>
        <v/>
      </c>
      <c r="F487" s="51"/>
      <c r="G487" s="55" t="str">
        <f t="shared" ca="1" si="52"/>
        <v/>
      </c>
      <c r="H487" s="50"/>
      <c r="I487" s="55" t="str">
        <f t="shared" ca="1" si="53"/>
        <v/>
      </c>
      <c r="J487" s="50"/>
      <c r="K487" s="55" t="str">
        <f t="shared" ca="1" si="54"/>
        <v/>
      </c>
      <c r="L487" s="64" t="str">
        <f>IF(B487="","",D487+F487+H487+J487+#REF!+#REF!+#REF!+#REF!+#REF!)</f>
        <v/>
      </c>
      <c r="M487" s="55" t="str">
        <f t="shared" ca="1" si="55"/>
        <v/>
      </c>
    </row>
    <row r="488" spans="1:13" ht="19.95" customHeight="1" x14ac:dyDescent="0.25">
      <c r="A488" s="52"/>
      <c r="B488" s="51"/>
      <c r="C488" s="54" t="str">
        <f>IF(B488="","",VLOOKUP(B488,学生信息汇总!A:E,2,0))</f>
        <v/>
      </c>
      <c r="D488" s="50"/>
      <c r="E488" s="55" t="str">
        <f t="shared" ca="1" si="51"/>
        <v/>
      </c>
      <c r="F488" s="51"/>
      <c r="G488" s="55" t="str">
        <f t="shared" ca="1" si="52"/>
        <v/>
      </c>
      <c r="H488" s="50"/>
      <c r="I488" s="55" t="str">
        <f t="shared" ca="1" si="53"/>
        <v/>
      </c>
      <c r="J488" s="50"/>
      <c r="K488" s="55" t="str">
        <f t="shared" ca="1" si="54"/>
        <v/>
      </c>
      <c r="L488" s="64" t="str">
        <f>IF(B488="","",D488+F488+H488+J488+#REF!+#REF!+#REF!+#REF!+#REF!)</f>
        <v/>
      </c>
      <c r="M488" s="55" t="str">
        <f t="shared" ca="1" si="55"/>
        <v/>
      </c>
    </row>
    <row r="489" spans="1:13" ht="19.95" customHeight="1" x14ac:dyDescent="0.25">
      <c r="A489" s="52"/>
      <c r="B489" s="51"/>
      <c r="C489" s="54" t="str">
        <f>IF(B489="","",VLOOKUP(B489,学生信息汇总!A:E,2,0))</f>
        <v/>
      </c>
      <c r="D489" s="50"/>
      <c r="E489" s="55" t="str">
        <f t="shared" ca="1" si="51"/>
        <v/>
      </c>
      <c r="F489" s="51"/>
      <c r="G489" s="55" t="str">
        <f t="shared" ca="1" si="52"/>
        <v/>
      </c>
      <c r="H489" s="50"/>
      <c r="I489" s="55" t="str">
        <f t="shared" ca="1" si="53"/>
        <v/>
      </c>
      <c r="J489" s="50"/>
      <c r="K489" s="55" t="str">
        <f t="shared" ca="1" si="54"/>
        <v/>
      </c>
      <c r="L489" s="64" t="str">
        <f>IF(B489="","",D489+F489+H489+J489+#REF!+#REF!+#REF!+#REF!+#REF!)</f>
        <v/>
      </c>
      <c r="M489" s="55" t="str">
        <f t="shared" ca="1" si="55"/>
        <v/>
      </c>
    </row>
    <row r="490" spans="1:13" ht="19.95" customHeight="1" x14ac:dyDescent="0.25">
      <c r="A490" s="52"/>
      <c r="B490" s="51"/>
      <c r="C490" s="54" t="str">
        <f>IF(B490="","",VLOOKUP(B490,学生信息汇总!A:E,2,0))</f>
        <v/>
      </c>
      <c r="D490" s="50"/>
      <c r="E490" s="55" t="str">
        <f t="shared" ca="1" si="51"/>
        <v/>
      </c>
      <c r="F490" s="51"/>
      <c r="G490" s="55" t="str">
        <f t="shared" ca="1" si="52"/>
        <v/>
      </c>
      <c r="H490" s="50"/>
      <c r="I490" s="55" t="str">
        <f t="shared" ca="1" si="53"/>
        <v/>
      </c>
      <c r="J490" s="50"/>
      <c r="K490" s="55" t="str">
        <f t="shared" ca="1" si="54"/>
        <v/>
      </c>
      <c r="L490" s="64" t="str">
        <f>IF(B490="","",D490+F490+H490+J490+#REF!+#REF!+#REF!+#REF!+#REF!)</f>
        <v/>
      </c>
      <c r="M490" s="55" t="str">
        <f t="shared" ca="1" si="55"/>
        <v/>
      </c>
    </row>
    <row r="491" spans="1:13" ht="19.95" customHeight="1" x14ac:dyDescent="0.25">
      <c r="A491" s="52"/>
      <c r="B491" s="51"/>
      <c r="C491" s="54" t="str">
        <f>IF(B491="","",VLOOKUP(B491,学生信息汇总!A:E,2,0))</f>
        <v/>
      </c>
      <c r="D491" s="50"/>
      <c r="E491" s="55" t="str">
        <f t="shared" ca="1" si="51"/>
        <v/>
      </c>
      <c r="F491" s="51"/>
      <c r="G491" s="55" t="str">
        <f t="shared" ca="1" si="52"/>
        <v/>
      </c>
      <c r="H491" s="50"/>
      <c r="I491" s="55" t="str">
        <f t="shared" ca="1" si="53"/>
        <v/>
      </c>
      <c r="J491" s="50"/>
      <c r="K491" s="55" t="str">
        <f t="shared" ca="1" si="54"/>
        <v/>
      </c>
      <c r="L491" s="64" t="str">
        <f>IF(B491="","",D491+F491+H491+J491+#REF!+#REF!+#REF!+#REF!+#REF!)</f>
        <v/>
      </c>
      <c r="M491" s="55" t="str">
        <f t="shared" ca="1" si="55"/>
        <v/>
      </c>
    </row>
    <row r="492" spans="1:13" ht="19.95" customHeight="1" x14ac:dyDescent="0.25">
      <c r="A492" s="52"/>
      <c r="B492" s="51"/>
      <c r="C492" s="54" t="str">
        <f>IF(B492="","",VLOOKUP(B492,学生信息汇总!A:E,2,0))</f>
        <v/>
      </c>
      <c r="D492" s="50"/>
      <c r="E492" s="55" t="str">
        <f t="shared" ref="E492:E555" ca="1" si="56">IF(D492="","",RANK(D492,INDIRECT(ADDRESS(MATCH(VLOOKUP(A492,A:A,1,0),A:A,0),6)&amp;":"&amp;ADDRESS((MATCH(VLOOKUP(A492,A:A,1,0),A:A,0)+COUNTIF(A:A,A492)-1),6))))</f>
        <v/>
      </c>
      <c r="F492" s="51"/>
      <c r="G492" s="55" t="str">
        <f t="shared" ref="G492:G555" ca="1" si="57">IF(F492="","",RANK(F492,INDIRECT(ADDRESS(MATCH(VLOOKUP(A492,A:A,1,0),A:A,0),8)&amp;":"&amp;ADDRESS((MATCH(VLOOKUP(A492,A:A,1,0),A:A,0)+COUNTIF(A:A,A492)-1),8))))</f>
        <v/>
      </c>
      <c r="H492" s="50"/>
      <c r="I492" s="55" t="str">
        <f t="shared" ref="I492:I555" ca="1" si="58">IF(H492="","",RANK(H492,INDIRECT(ADDRESS(MATCH(VLOOKUP(A492,A:A,1,0),A:A,0),10)&amp;":"&amp;ADDRESS((MATCH(VLOOKUP(A492,A:A,1,0),A:A,0)+COUNTIF(A:A,A492)-1),10))))</f>
        <v/>
      </c>
      <c r="J492" s="50"/>
      <c r="K492" s="55" t="str">
        <f t="shared" ref="K492:K555" ca="1" si="59">IF(J492="","",RANK(J492,INDIRECT(ADDRESS(MATCH(VLOOKUP(A492,A:A,1,0),A:A,0),12)&amp;":"&amp;ADDRESS((MATCH(VLOOKUP(A492,A:A,1,0),A:A,0)+COUNTIF(A:A,A492)-1),12))))</f>
        <v/>
      </c>
      <c r="L492" s="64" t="str">
        <f>IF(B492="","",D492+F492+H492+J492+#REF!+#REF!+#REF!+#REF!+#REF!)</f>
        <v/>
      </c>
      <c r="M492" s="55" t="str">
        <f t="shared" ref="M492:M555" ca="1" si="60">IF(L492="","",RANK(L492,INDIRECT(ADDRESS(MATCH(VLOOKUP(A492,A:A,1,0),A:A,0),26)&amp;":"&amp;ADDRESS((MATCH(VLOOKUP(A492,A:A,1,0),A:A,0)+COUNTIF(A:A,A492)-1),26))))</f>
        <v/>
      </c>
    </row>
    <row r="493" spans="1:13" ht="19.95" customHeight="1" x14ac:dyDescent="0.25">
      <c r="A493" s="52"/>
      <c r="B493" s="51"/>
      <c r="C493" s="54" t="str">
        <f>IF(B493="","",VLOOKUP(B493,学生信息汇总!A:E,2,0))</f>
        <v/>
      </c>
      <c r="D493" s="50"/>
      <c r="E493" s="55" t="str">
        <f t="shared" ca="1" si="56"/>
        <v/>
      </c>
      <c r="F493" s="51"/>
      <c r="G493" s="55" t="str">
        <f t="shared" ca="1" si="57"/>
        <v/>
      </c>
      <c r="H493" s="50"/>
      <c r="I493" s="55" t="str">
        <f t="shared" ca="1" si="58"/>
        <v/>
      </c>
      <c r="J493" s="50"/>
      <c r="K493" s="55" t="str">
        <f t="shared" ca="1" si="59"/>
        <v/>
      </c>
      <c r="L493" s="64" t="str">
        <f>IF(B493="","",D493+F493+H493+J493+#REF!+#REF!+#REF!+#REF!+#REF!)</f>
        <v/>
      </c>
      <c r="M493" s="55" t="str">
        <f t="shared" ca="1" si="60"/>
        <v/>
      </c>
    </row>
    <row r="494" spans="1:13" ht="19.95" customHeight="1" x14ac:dyDescent="0.25">
      <c r="A494" s="52"/>
      <c r="B494" s="51"/>
      <c r="C494" s="54" t="str">
        <f>IF(B494="","",VLOOKUP(B494,学生信息汇总!A:E,2,0))</f>
        <v/>
      </c>
      <c r="D494" s="50"/>
      <c r="E494" s="55" t="str">
        <f t="shared" ca="1" si="56"/>
        <v/>
      </c>
      <c r="F494" s="51"/>
      <c r="G494" s="55" t="str">
        <f t="shared" ca="1" si="57"/>
        <v/>
      </c>
      <c r="H494" s="50"/>
      <c r="I494" s="55" t="str">
        <f t="shared" ca="1" si="58"/>
        <v/>
      </c>
      <c r="J494" s="50"/>
      <c r="K494" s="55" t="str">
        <f t="shared" ca="1" si="59"/>
        <v/>
      </c>
      <c r="L494" s="64" t="str">
        <f>IF(B494="","",D494+F494+H494+J494+#REF!+#REF!+#REF!+#REF!+#REF!)</f>
        <v/>
      </c>
      <c r="M494" s="55" t="str">
        <f t="shared" ca="1" si="60"/>
        <v/>
      </c>
    </row>
    <row r="495" spans="1:13" ht="19.95" customHeight="1" x14ac:dyDescent="0.25">
      <c r="A495" s="52"/>
      <c r="B495" s="51"/>
      <c r="C495" s="54" t="str">
        <f>IF(B495="","",VLOOKUP(B495,学生信息汇总!A:E,2,0))</f>
        <v/>
      </c>
      <c r="D495" s="50"/>
      <c r="E495" s="55" t="str">
        <f t="shared" ca="1" si="56"/>
        <v/>
      </c>
      <c r="F495" s="51"/>
      <c r="G495" s="55" t="str">
        <f t="shared" ca="1" si="57"/>
        <v/>
      </c>
      <c r="H495" s="50"/>
      <c r="I495" s="55" t="str">
        <f t="shared" ca="1" si="58"/>
        <v/>
      </c>
      <c r="J495" s="50"/>
      <c r="K495" s="55" t="str">
        <f t="shared" ca="1" si="59"/>
        <v/>
      </c>
      <c r="L495" s="64" t="str">
        <f>IF(B495="","",D495+F495+H495+J495+#REF!+#REF!+#REF!+#REF!+#REF!)</f>
        <v/>
      </c>
      <c r="M495" s="55" t="str">
        <f t="shared" ca="1" si="60"/>
        <v/>
      </c>
    </row>
    <row r="496" spans="1:13" ht="19.95" customHeight="1" x14ac:dyDescent="0.25">
      <c r="A496" s="52"/>
      <c r="B496" s="51"/>
      <c r="C496" s="54" t="str">
        <f>IF(B496="","",VLOOKUP(B496,学生信息汇总!A:E,2,0))</f>
        <v/>
      </c>
      <c r="D496" s="50"/>
      <c r="E496" s="55" t="str">
        <f t="shared" ca="1" si="56"/>
        <v/>
      </c>
      <c r="F496" s="51"/>
      <c r="G496" s="55" t="str">
        <f t="shared" ca="1" si="57"/>
        <v/>
      </c>
      <c r="H496" s="50"/>
      <c r="I496" s="55" t="str">
        <f t="shared" ca="1" si="58"/>
        <v/>
      </c>
      <c r="J496" s="50"/>
      <c r="K496" s="55" t="str">
        <f t="shared" ca="1" si="59"/>
        <v/>
      </c>
      <c r="L496" s="64" t="str">
        <f>IF(B496="","",D496+F496+H496+J496+#REF!+#REF!+#REF!+#REF!+#REF!)</f>
        <v/>
      </c>
      <c r="M496" s="55" t="str">
        <f t="shared" ca="1" si="60"/>
        <v/>
      </c>
    </row>
    <row r="497" spans="1:13" ht="19.95" customHeight="1" x14ac:dyDescent="0.25">
      <c r="A497" s="52"/>
      <c r="B497" s="51"/>
      <c r="C497" s="54" t="str">
        <f>IF(B497="","",VLOOKUP(B497,学生信息汇总!A:E,2,0))</f>
        <v/>
      </c>
      <c r="D497" s="50"/>
      <c r="E497" s="55" t="str">
        <f t="shared" ca="1" si="56"/>
        <v/>
      </c>
      <c r="F497" s="51"/>
      <c r="G497" s="55" t="str">
        <f t="shared" ca="1" si="57"/>
        <v/>
      </c>
      <c r="H497" s="50"/>
      <c r="I497" s="55" t="str">
        <f t="shared" ca="1" si="58"/>
        <v/>
      </c>
      <c r="J497" s="50"/>
      <c r="K497" s="55" t="str">
        <f t="shared" ca="1" si="59"/>
        <v/>
      </c>
      <c r="L497" s="64" t="str">
        <f>IF(B497="","",D497+F497+H497+J497+#REF!+#REF!+#REF!+#REF!+#REF!)</f>
        <v/>
      </c>
      <c r="M497" s="55" t="str">
        <f t="shared" ca="1" si="60"/>
        <v/>
      </c>
    </row>
    <row r="498" spans="1:13" ht="19.95" customHeight="1" x14ac:dyDescent="0.25">
      <c r="A498" s="52"/>
      <c r="B498" s="51"/>
      <c r="C498" s="54" t="str">
        <f>IF(B498="","",VLOOKUP(B498,学生信息汇总!A:E,2,0))</f>
        <v/>
      </c>
      <c r="D498" s="50"/>
      <c r="E498" s="55" t="str">
        <f t="shared" ca="1" si="56"/>
        <v/>
      </c>
      <c r="F498" s="51"/>
      <c r="G498" s="55" t="str">
        <f t="shared" ca="1" si="57"/>
        <v/>
      </c>
      <c r="H498" s="50"/>
      <c r="I498" s="55" t="str">
        <f t="shared" ca="1" si="58"/>
        <v/>
      </c>
      <c r="J498" s="50"/>
      <c r="K498" s="55" t="str">
        <f t="shared" ca="1" si="59"/>
        <v/>
      </c>
      <c r="L498" s="64" t="str">
        <f>IF(B498="","",D498+F498+H498+J498+#REF!+#REF!+#REF!+#REF!+#REF!)</f>
        <v/>
      </c>
      <c r="M498" s="55" t="str">
        <f t="shared" ca="1" si="60"/>
        <v/>
      </c>
    </row>
    <row r="499" spans="1:13" ht="19.95" customHeight="1" x14ac:dyDescent="0.25">
      <c r="A499" s="52"/>
      <c r="B499" s="51"/>
      <c r="C499" s="54" t="str">
        <f>IF(B499="","",VLOOKUP(B499,学生信息汇总!A:E,2,0))</f>
        <v/>
      </c>
      <c r="D499" s="50"/>
      <c r="E499" s="55" t="str">
        <f t="shared" ca="1" si="56"/>
        <v/>
      </c>
      <c r="F499" s="51"/>
      <c r="G499" s="55" t="str">
        <f t="shared" ca="1" si="57"/>
        <v/>
      </c>
      <c r="H499" s="50"/>
      <c r="I499" s="55" t="str">
        <f t="shared" ca="1" si="58"/>
        <v/>
      </c>
      <c r="J499" s="50"/>
      <c r="K499" s="55" t="str">
        <f t="shared" ca="1" si="59"/>
        <v/>
      </c>
      <c r="L499" s="64" t="str">
        <f>IF(B499="","",D499+F499+H499+J499+#REF!+#REF!+#REF!+#REF!+#REF!)</f>
        <v/>
      </c>
      <c r="M499" s="55" t="str">
        <f t="shared" ca="1" si="60"/>
        <v/>
      </c>
    </row>
    <row r="500" spans="1:13" ht="19.95" customHeight="1" x14ac:dyDescent="0.25">
      <c r="A500" s="52"/>
      <c r="B500" s="51"/>
      <c r="C500" s="54" t="str">
        <f>IF(B500="","",VLOOKUP(B500,学生信息汇总!A:E,2,0))</f>
        <v/>
      </c>
      <c r="D500" s="50"/>
      <c r="E500" s="55" t="str">
        <f t="shared" ca="1" si="56"/>
        <v/>
      </c>
      <c r="F500" s="51"/>
      <c r="G500" s="55" t="str">
        <f t="shared" ca="1" si="57"/>
        <v/>
      </c>
      <c r="H500" s="50"/>
      <c r="I500" s="55" t="str">
        <f t="shared" ca="1" si="58"/>
        <v/>
      </c>
      <c r="J500" s="50"/>
      <c r="K500" s="55" t="str">
        <f t="shared" ca="1" si="59"/>
        <v/>
      </c>
      <c r="L500" s="64" t="str">
        <f>IF(B500="","",D500+F500+H500+J500+#REF!+#REF!+#REF!+#REF!+#REF!)</f>
        <v/>
      </c>
      <c r="M500" s="55" t="str">
        <f t="shared" ca="1" si="60"/>
        <v/>
      </c>
    </row>
    <row r="501" spans="1:13" ht="19.95" customHeight="1" x14ac:dyDescent="0.25">
      <c r="A501" s="52"/>
      <c r="B501" s="51"/>
      <c r="C501" s="54" t="str">
        <f>IF(B501="","",VLOOKUP(B501,学生信息汇总!A:E,2,0))</f>
        <v/>
      </c>
      <c r="D501" s="50"/>
      <c r="E501" s="55" t="str">
        <f t="shared" ca="1" si="56"/>
        <v/>
      </c>
      <c r="F501" s="51"/>
      <c r="G501" s="55" t="str">
        <f t="shared" ca="1" si="57"/>
        <v/>
      </c>
      <c r="H501" s="50"/>
      <c r="I501" s="55" t="str">
        <f t="shared" ca="1" si="58"/>
        <v/>
      </c>
      <c r="J501" s="50"/>
      <c r="K501" s="55" t="str">
        <f t="shared" ca="1" si="59"/>
        <v/>
      </c>
      <c r="L501" s="64" t="str">
        <f>IF(B501="","",D501+F501+H501+J501+#REF!+#REF!+#REF!+#REF!+#REF!)</f>
        <v/>
      </c>
      <c r="M501" s="55" t="str">
        <f t="shared" ca="1" si="60"/>
        <v/>
      </c>
    </row>
    <row r="502" spans="1:13" ht="19.95" customHeight="1" x14ac:dyDescent="0.25">
      <c r="A502" s="52"/>
      <c r="B502" s="51"/>
      <c r="C502" s="54" t="str">
        <f>IF(B502="","",VLOOKUP(B502,学生信息汇总!A:E,2,0))</f>
        <v/>
      </c>
      <c r="D502" s="50"/>
      <c r="E502" s="55" t="str">
        <f t="shared" ca="1" si="56"/>
        <v/>
      </c>
      <c r="F502" s="51"/>
      <c r="G502" s="55" t="str">
        <f t="shared" ca="1" si="57"/>
        <v/>
      </c>
      <c r="H502" s="50"/>
      <c r="I502" s="55" t="str">
        <f t="shared" ca="1" si="58"/>
        <v/>
      </c>
      <c r="J502" s="50"/>
      <c r="K502" s="55" t="str">
        <f t="shared" ca="1" si="59"/>
        <v/>
      </c>
      <c r="L502" s="64" t="str">
        <f>IF(B502="","",D502+F502+H502+J502+#REF!+#REF!+#REF!+#REF!+#REF!)</f>
        <v/>
      </c>
      <c r="M502" s="55" t="str">
        <f t="shared" ca="1" si="60"/>
        <v/>
      </c>
    </row>
    <row r="503" spans="1:13" ht="19.95" customHeight="1" x14ac:dyDescent="0.25">
      <c r="A503" s="52"/>
      <c r="B503" s="51"/>
      <c r="C503" s="54" t="str">
        <f>IF(B503="","",VLOOKUP(B503,学生信息汇总!A:E,2,0))</f>
        <v/>
      </c>
      <c r="D503" s="50"/>
      <c r="E503" s="55" t="str">
        <f t="shared" ca="1" si="56"/>
        <v/>
      </c>
      <c r="F503" s="51"/>
      <c r="G503" s="55" t="str">
        <f t="shared" ca="1" si="57"/>
        <v/>
      </c>
      <c r="H503" s="50"/>
      <c r="I503" s="55" t="str">
        <f t="shared" ca="1" si="58"/>
        <v/>
      </c>
      <c r="J503" s="50"/>
      <c r="K503" s="55" t="str">
        <f t="shared" ca="1" si="59"/>
        <v/>
      </c>
      <c r="L503" s="64" t="str">
        <f>IF(B503="","",D503+F503+H503+J503+#REF!+#REF!+#REF!+#REF!+#REF!)</f>
        <v/>
      </c>
      <c r="M503" s="55" t="str">
        <f t="shared" ca="1" si="60"/>
        <v/>
      </c>
    </row>
    <row r="504" spans="1:13" ht="19.95" customHeight="1" x14ac:dyDescent="0.25">
      <c r="A504" s="52"/>
      <c r="B504" s="51"/>
      <c r="C504" s="54" t="str">
        <f>IF(B504="","",VLOOKUP(B504,学生信息汇总!A:E,2,0))</f>
        <v/>
      </c>
      <c r="D504" s="50"/>
      <c r="E504" s="55" t="str">
        <f t="shared" ca="1" si="56"/>
        <v/>
      </c>
      <c r="F504" s="51"/>
      <c r="G504" s="55" t="str">
        <f t="shared" ca="1" si="57"/>
        <v/>
      </c>
      <c r="H504" s="50"/>
      <c r="I504" s="55" t="str">
        <f t="shared" ca="1" si="58"/>
        <v/>
      </c>
      <c r="J504" s="50"/>
      <c r="K504" s="55" t="str">
        <f t="shared" ca="1" si="59"/>
        <v/>
      </c>
      <c r="L504" s="64" t="str">
        <f>IF(B504="","",D504+F504+H504+J504+#REF!+#REF!+#REF!+#REF!+#REF!)</f>
        <v/>
      </c>
      <c r="M504" s="55" t="str">
        <f t="shared" ca="1" si="60"/>
        <v/>
      </c>
    </row>
    <row r="505" spans="1:13" ht="19.95" customHeight="1" x14ac:dyDescent="0.25">
      <c r="A505" s="52"/>
      <c r="B505" s="51"/>
      <c r="C505" s="54" t="str">
        <f>IF(B505="","",VLOOKUP(B505,学生信息汇总!A:E,2,0))</f>
        <v/>
      </c>
      <c r="D505" s="50"/>
      <c r="E505" s="55" t="str">
        <f t="shared" ca="1" si="56"/>
        <v/>
      </c>
      <c r="F505" s="51"/>
      <c r="G505" s="55" t="str">
        <f t="shared" ca="1" si="57"/>
        <v/>
      </c>
      <c r="H505" s="50"/>
      <c r="I505" s="55" t="str">
        <f t="shared" ca="1" si="58"/>
        <v/>
      </c>
      <c r="J505" s="50"/>
      <c r="K505" s="55" t="str">
        <f t="shared" ca="1" si="59"/>
        <v/>
      </c>
      <c r="L505" s="64" t="str">
        <f>IF(B505="","",D505+F505+H505+J505+#REF!+#REF!+#REF!+#REF!+#REF!)</f>
        <v/>
      </c>
      <c r="M505" s="55" t="str">
        <f t="shared" ca="1" si="60"/>
        <v/>
      </c>
    </row>
    <row r="506" spans="1:13" ht="19.95" customHeight="1" x14ac:dyDescent="0.25">
      <c r="A506" s="52"/>
      <c r="B506" s="51"/>
      <c r="C506" s="54" t="str">
        <f>IF(B506="","",VLOOKUP(B506,学生信息汇总!A:E,2,0))</f>
        <v/>
      </c>
      <c r="D506" s="50"/>
      <c r="E506" s="55" t="str">
        <f t="shared" ca="1" si="56"/>
        <v/>
      </c>
      <c r="F506" s="51"/>
      <c r="G506" s="55" t="str">
        <f t="shared" ca="1" si="57"/>
        <v/>
      </c>
      <c r="H506" s="50"/>
      <c r="I506" s="55" t="str">
        <f t="shared" ca="1" si="58"/>
        <v/>
      </c>
      <c r="J506" s="50"/>
      <c r="K506" s="55" t="str">
        <f t="shared" ca="1" si="59"/>
        <v/>
      </c>
      <c r="L506" s="64" t="str">
        <f>IF(B506="","",D506+F506+H506+J506+#REF!+#REF!+#REF!+#REF!+#REF!)</f>
        <v/>
      </c>
      <c r="M506" s="55" t="str">
        <f t="shared" ca="1" si="60"/>
        <v/>
      </c>
    </row>
    <row r="507" spans="1:13" ht="19.95" customHeight="1" x14ac:dyDescent="0.25">
      <c r="A507" s="52"/>
      <c r="B507" s="51"/>
      <c r="C507" s="54" t="str">
        <f>IF(B507="","",VLOOKUP(B507,学生信息汇总!A:E,2,0))</f>
        <v/>
      </c>
      <c r="D507" s="50"/>
      <c r="E507" s="55" t="str">
        <f t="shared" ca="1" si="56"/>
        <v/>
      </c>
      <c r="F507" s="51"/>
      <c r="G507" s="55" t="str">
        <f t="shared" ca="1" si="57"/>
        <v/>
      </c>
      <c r="H507" s="50"/>
      <c r="I507" s="55" t="str">
        <f t="shared" ca="1" si="58"/>
        <v/>
      </c>
      <c r="J507" s="50"/>
      <c r="K507" s="55" t="str">
        <f t="shared" ca="1" si="59"/>
        <v/>
      </c>
      <c r="L507" s="64" t="str">
        <f>IF(B507="","",D507+F507+H507+J507+#REF!+#REF!+#REF!+#REF!+#REF!)</f>
        <v/>
      </c>
      <c r="M507" s="55" t="str">
        <f t="shared" ca="1" si="60"/>
        <v/>
      </c>
    </row>
    <row r="508" spans="1:13" ht="19.95" customHeight="1" x14ac:dyDescent="0.25">
      <c r="A508" s="52"/>
      <c r="B508" s="51"/>
      <c r="C508" s="54" t="str">
        <f>IF(B508="","",VLOOKUP(B508,学生信息汇总!A:E,2,0))</f>
        <v/>
      </c>
      <c r="D508" s="50"/>
      <c r="E508" s="55" t="str">
        <f t="shared" ca="1" si="56"/>
        <v/>
      </c>
      <c r="F508" s="51"/>
      <c r="G508" s="55" t="str">
        <f t="shared" ca="1" si="57"/>
        <v/>
      </c>
      <c r="H508" s="50"/>
      <c r="I508" s="55" t="str">
        <f t="shared" ca="1" si="58"/>
        <v/>
      </c>
      <c r="J508" s="50"/>
      <c r="K508" s="55" t="str">
        <f t="shared" ca="1" si="59"/>
        <v/>
      </c>
      <c r="L508" s="64" t="str">
        <f>IF(B508="","",D508+F508+H508+J508+#REF!+#REF!+#REF!+#REF!+#REF!)</f>
        <v/>
      </c>
      <c r="M508" s="55" t="str">
        <f t="shared" ca="1" si="60"/>
        <v/>
      </c>
    </row>
    <row r="509" spans="1:13" ht="19.95" customHeight="1" x14ac:dyDescent="0.25">
      <c r="A509" s="52"/>
      <c r="B509" s="51"/>
      <c r="C509" s="54" t="str">
        <f>IF(B509="","",VLOOKUP(B509,学生信息汇总!A:E,2,0))</f>
        <v/>
      </c>
      <c r="D509" s="50"/>
      <c r="E509" s="55" t="str">
        <f t="shared" ca="1" si="56"/>
        <v/>
      </c>
      <c r="F509" s="51"/>
      <c r="G509" s="55" t="str">
        <f t="shared" ca="1" si="57"/>
        <v/>
      </c>
      <c r="H509" s="50"/>
      <c r="I509" s="55" t="str">
        <f t="shared" ca="1" si="58"/>
        <v/>
      </c>
      <c r="J509" s="50"/>
      <c r="K509" s="55" t="str">
        <f t="shared" ca="1" si="59"/>
        <v/>
      </c>
      <c r="L509" s="64" t="str">
        <f>IF(B509="","",D509+F509+H509+J509+#REF!+#REF!+#REF!+#REF!+#REF!)</f>
        <v/>
      </c>
      <c r="M509" s="55" t="str">
        <f t="shared" ca="1" si="60"/>
        <v/>
      </c>
    </row>
    <row r="510" spans="1:13" ht="19.95" customHeight="1" x14ac:dyDescent="0.25">
      <c r="A510" s="52"/>
      <c r="B510" s="51"/>
      <c r="C510" s="54" t="str">
        <f>IF(B510="","",VLOOKUP(B510,学生信息汇总!A:E,2,0))</f>
        <v/>
      </c>
      <c r="D510" s="50"/>
      <c r="E510" s="55" t="str">
        <f t="shared" ca="1" si="56"/>
        <v/>
      </c>
      <c r="F510" s="51"/>
      <c r="G510" s="55" t="str">
        <f t="shared" ca="1" si="57"/>
        <v/>
      </c>
      <c r="H510" s="50"/>
      <c r="I510" s="55" t="str">
        <f t="shared" ca="1" si="58"/>
        <v/>
      </c>
      <c r="J510" s="50"/>
      <c r="K510" s="55" t="str">
        <f t="shared" ca="1" si="59"/>
        <v/>
      </c>
      <c r="L510" s="64" t="str">
        <f>IF(B510="","",D510+F510+H510+J510+#REF!+#REF!+#REF!+#REF!+#REF!)</f>
        <v/>
      </c>
      <c r="M510" s="55" t="str">
        <f t="shared" ca="1" si="60"/>
        <v/>
      </c>
    </row>
    <row r="511" spans="1:13" ht="19.95" customHeight="1" x14ac:dyDescent="0.25">
      <c r="A511" s="52"/>
      <c r="B511" s="51"/>
      <c r="C511" s="54" t="str">
        <f>IF(B511="","",VLOOKUP(B511,学生信息汇总!A:E,2,0))</f>
        <v/>
      </c>
      <c r="D511" s="50"/>
      <c r="E511" s="55" t="str">
        <f t="shared" ca="1" si="56"/>
        <v/>
      </c>
      <c r="F511" s="51"/>
      <c r="G511" s="55" t="str">
        <f t="shared" ca="1" si="57"/>
        <v/>
      </c>
      <c r="H511" s="50"/>
      <c r="I511" s="55" t="str">
        <f t="shared" ca="1" si="58"/>
        <v/>
      </c>
      <c r="J511" s="50"/>
      <c r="K511" s="55" t="str">
        <f t="shared" ca="1" si="59"/>
        <v/>
      </c>
      <c r="L511" s="64" t="str">
        <f>IF(B511="","",D511+F511+H511+J511+#REF!+#REF!+#REF!+#REF!+#REF!)</f>
        <v/>
      </c>
      <c r="M511" s="55" t="str">
        <f t="shared" ca="1" si="60"/>
        <v/>
      </c>
    </row>
    <row r="512" spans="1:13" ht="19.95" customHeight="1" x14ac:dyDescent="0.25">
      <c r="A512" s="52"/>
      <c r="B512" s="51"/>
      <c r="C512" s="54" t="str">
        <f>IF(B512="","",VLOOKUP(B512,学生信息汇总!A:E,2,0))</f>
        <v/>
      </c>
      <c r="D512" s="50"/>
      <c r="E512" s="55" t="str">
        <f t="shared" ca="1" si="56"/>
        <v/>
      </c>
      <c r="F512" s="51"/>
      <c r="G512" s="55" t="str">
        <f t="shared" ca="1" si="57"/>
        <v/>
      </c>
      <c r="H512" s="50"/>
      <c r="I512" s="55" t="str">
        <f t="shared" ca="1" si="58"/>
        <v/>
      </c>
      <c r="J512" s="50"/>
      <c r="K512" s="55" t="str">
        <f t="shared" ca="1" si="59"/>
        <v/>
      </c>
      <c r="L512" s="64" t="str">
        <f>IF(B512="","",D512+F512+H512+J512+#REF!+#REF!+#REF!+#REF!+#REF!)</f>
        <v/>
      </c>
      <c r="M512" s="55" t="str">
        <f t="shared" ca="1" si="60"/>
        <v/>
      </c>
    </row>
    <row r="513" spans="1:13" ht="19.95" customHeight="1" x14ac:dyDescent="0.25">
      <c r="A513" s="52"/>
      <c r="B513" s="51"/>
      <c r="C513" s="54" t="str">
        <f>IF(B513="","",VLOOKUP(B513,学生信息汇总!A:E,2,0))</f>
        <v/>
      </c>
      <c r="D513" s="50"/>
      <c r="E513" s="55" t="str">
        <f t="shared" ca="1" si="56"/>
        <v/>
      </c>
      <c r="F513" s="51"/>
      <c r="G513" s="55" t="str">
        <f t="shared" ca="1" si="57"/>
        <v/>
      </c>
      <c r="H513" s="50"/>
      <c r="I513" s="55" t="str">
        <f t="shared" ca="1" si="58"/>
        <v/>
      </c>
      <c r="J513" s="50"/>
      <c r="K513" s="55" t="str">
        <f t="shared" ca="1" si="59"/>
        <v/>
      </c>
      <c r="L513" s="64" t="str">
        <f>IF(B513="","",D513+F513+H513+J513+#REF!+#REF!+#REF!+#REF!+#REF!)</f>
        <v/>
      </c>
      <c r="M513" s="55" t="str">
        <f t="shared" ca="1" si="60"/>
        <v/>
      </c>
    </row>
    <row r="514" spans="1:13" ht="19.95" customHeight="1" x14ac:dyDescent="0.25">
      <c r="A514" s="52"/>
      <c r="B514" s="51"/>
      <c r="C514" s="54" t="str">
        <f>IF(B514="","",VLOOKUP(B514,学生信息汇总!A:E,2,0))</f>
        <v/>
      </c>
      <c r="D514" s="50"/>
      <c r="E514" s="55" t="str">
        <f t="shared" ca="1" si="56"/>
        <v/>
      </c>
      <c r="F514" s="51"/>
      <c r="G514" s="55" t="str">
        <f t="shared" ca="1" si="57"/>
        <v/>
      </c>
      <c r="H514" s="50"/>
      <c r="I514" s="55" t="str">
        <f t="shared" ca="1" si="58"/>
        <v/>
      </c>
      <c r="J514" s="50"/>
      <c r="K514" s="55" t="str">
        <f t="shared" ca="1" si="59"/>
        <v/>
      </c>
      <c r="L514" s="64" t="str">
        <f>IF(B514="","",D514+F514+H514+J514+#REF!+#REF!+#REF!+#REF!+#REF!)</f>
        <v/>
      </c>
      <c r="M514" s="55" t="str">
        <f t="shared" ca="1" si="60"/>
        <v/>
      </c>
    </row>
    <row r="515" spans="1:13" ht="19.95" customHeight="1" x14ac:dyDescent="0.25">
      <c r="A515" s="52"/>
      <c r="B515" s="51"/>
      <c r="C515" s="54" t="str">
        <f>IF(B515="","",VLOOKUP(B515,学生信息汇总!A:E,2,0))</f>
        <v/>
      </c>
      <c r="D515" s="50"/>
      <c r="E515" s="55" t="str">
        <f t="shared" ca="1" si="56"/>
        <v/>
      </c>
      <c r="F515" s="51"/>
      <c r="G515" s="55" t="str">
        <f t="shared" ca="1" si="57"/>
        <v/>
      </c>
      <c r="H515" s="50"/>
      <c r="I515" s="55" t="str">
        <f t="shared" ca="1" si="58"/>
        <v/>
      </c>
      <c r="J515" s="50"/>
      <c r="K515" s="55" t="str">
        <f t="shared" ca="1" si="59"/>
        <v/>
      </c>
      <c r="L515" s="64" t="str">
        <f>IF(B515="","",D515+F515+H515+J515+#REF!+#REF!+#REF!+#REF!+#REF!)</f>
        <v/>
      </c>
      <c r="M515" s="55" t="str">
        <f t="shared" ca="1" si="60"/>
        <v/>
      </c>
    </row>
    <row r="516" spans="1:13" ht="19.95" customHeight="1" x14ac:dyDescent="0.25">
      <c r="A516" s="52"/>
      <c r="B516" s="51"/>
      <c r="C516" s="54" t="str">
        <f>IF(B516="","",VLOOKUP(B516,学生信息汇总!A:E,2,0))</f>
        <v/>
      </c>
      <c r="D516" s="50"/>
      <c r="E516" s="55" t="str">
        <f t="shared" ca="1" si="56"/>
        <v/>
      </c>
      <c r="F516" s="51"/>
      <c r="G516" s="55" t="str">
        <f t="shared" ca="1" si="57"/>
        <v/>
      </c>
      <c r="H516" s="50"/>
      <c r="I516" s="55" t="str">
        <f t="shared" ca="1" si="58"/>
        <v/>
      </c>
      <c r="J516" s="50"/>
      <c r="K516" s="55" t="str">
        <f t="shared" ca="1" si="59"/>
        <v/>
      </c>
      <c r="L516" s="64" t="str">
        <f>IF(B516="","",D516+F516+H516+J516+#REF!+#REF!+#REF!+#REF!+#REF!)</f>
        <v/>
      </c>
      <c r="M516" s="55" t="str">
        <f t="shared" ca="1" si="60"/>
        <v/>
      </c>
    </row>
    <row r="517" spans="1:13" ht="19.95" customHeight="1" x14ac:dyDescent="0.25">
      <c r="A517" s="52"/>
      <c r="B517" s="51"/>
      <c r="C517" s="54" t="str">
        <f>IF(B517="","",VLOOKUP(B517,学生信息汇总!A:E,2,0))</f>
        <v/>
      </c>
      <c r="D517" s="50"/>
      <c r="E517" s="55" t="str">
        <f t="shared" ca="1" si="56"/>
        <v/>
      </c>
      <c r="F517" s="51"/>
      <c r="G517" s="55" t="str">
        <f t="shared" ca="1" si="57"/>
        <v/>
      </c>
      <c r="H517" s="50"/>
      <c r="I517" s="55" t="str">
        <f t="shared" ca="1" si="58"/>
        <v/>
      </c>
      <c r="J517" s="50"/>
      <c r="K517" s="55" t="str">
        <f t="shared" ca="1" si="59"/>
        <v/>
      </c>
      <c r="L517" s="64" t="str">
        <f>IF(B517="","",D517+F517+H517+J517+#REF!+#REF!+#REF!+#REF!+#REF!)</f>
        <v/>
      </c>
      <c r="M517" s="55" t="str">
        <f t="shared" ca="1" si="60"/>
        <v/>
      </c>
    </row>
    <row r="518" spans="1:13" ht="19.95" customHeight="1" x14ac:dyDescent="0.25">
      <c r="A518" s="52"/>
      <c r="B518" s="51"/>
      <c r="C518" s="54" t="str">
        <f>IF(B518="","",VLOOKUP(B518,学生信息汇总!A:E,2,0))</f>
        <v/>
      </c>
      <c r="D518" s="50"/>
      <c r="E518" s="55" t="str">
        <f t="shared" ca="1" si="56"/>
        <v/>
      </c>
      <c r="F518" s="51"/>
      <c r="G518" s="55" t="str">
        <f t="shared" ca="1" si="57"/>
        <v/>
      </c>
      <c r="H518" s="50"/>
      <c r="I518" s="55" t="str">
        <f t="shared" ca="1" si="58"/>
        <v/>
      </c>
      <c r="J518" s="50"/>
      <c r="K518" s="55" t="str">
        <f t="shared" ca="1" si="59"/>
        <v/>
      </c>
      <c r="L518" s="64" t="str">
        <f>IF(B518="","",D518+F518+H518+J518+#REF!+#REF!+#REF!+#REF!+#REF!)</f>
        <v/>
      </c>
      <c r="M518" s="55" t="str">
        <f t="shared" ca="1" si="60"/>
        <v/>
      </c>
    </row>
    <row r="519" spans="1:13" ht="19.95" customHeight="1" x14ac:dyDescent="0.25">
      <c r="A519" s="52"/>
      <c r="B519" s="51"/>
      <c r="C519" s="54" t="str">
        <f>IF(B519="","",VLOOKUP(B519,学生信息汇总!A:E,2,0))</f>
        <v/>
      </c>
      <c r="D519" s="50"/>
      <c r="E519" s="55" t="str">
        <f t="shared" ca="1" si="56"/>
        <v/>
      </c>
      <c r="F519" s="51"/>
      <c r="G519" s="55" t="str">
        <f t="shared" ca="1" si="57"/>
        <v/>
      </c>
      <c r="H519" s="50"/>
      <c r="I519" s="55" t="str">
        <f t="shared" ca="1" si="58"/>
        <v/>
      </c>
      <c r="J519" s="50"/>
      <c r="K519" s="55" t="str">
        <f t="shared" ca="1" si="59"/>
        <v/>
      </c>
      <c r="L519" s="64" t="str">
        <f>IF(B519="","",D519+F519+H519+J519+#REF!+#REF!+#REF!+#REF!+#REF!)</f>
        <v/>
      </c>
      <c r="M519" s="55" t="str">
        <f t="shared" ca="1" si="60"/>
        <v/>
      </c>
    </row>
    <row r="520" spans="1:13" ht="19.95" customHeight="1" x14ac:dyDescent="0.25">
      <c r="A520" s="52"/>
      <c r="B520" s="51"/>
      <c r="C520" s="54" t="str">
        <f>IF(B520="","",VLOOKUP(B520,学生信息汇总!A:E,2,0))</f>
        <v/>
      </c>
      <c r="D520" s="50"/>
      <c r="E520" s="55" t="str">
        <f t="shared" ca="1" si="56"/>
        <v/>
      </c>
      <c r="F520" s="51"/>
      <c r="G520" s="55" t="str">
        <f t="shared" ca="1" si="57"/>
        <v/>
      </c>
      <c r="H520" s="50"/>
      <c r="I520" s="55" t="str">
        <f t="shared" ca="1" si="58"/>
        <v/>
      </c>
      <c r="J520" s="50"/>
      <c r="K520" s="55" t="str">
        <f t="shared" ca="1" si="59"/>
        <v/>
      </c>
      <c r="L520" s="64" t="str">
        <f>IF(B520="","",D520+F520+H520+J520+#REF!+#REF!+#REF!+#REF!+#REF!)</f>
        <v/>
      </c>
      <c r="M520" s="55" t="str">
        <f t="shared" ca="1" si="60"/>
        <v/>
      </c>
    </row>
    <row r="521" spans="1:13" ht="19.95" customHeight="1" x14ac:dyDescent="0.25">
      <c r="A521" s="52"/>
      <c r="B521" s="51"/>
      <c r="C521" s="54" t="str">
        <f>IF(B521="","",VLOOKUP(B521,学生信息汇总!A:E,2,0))</f>
        <v/>
      </c>
      <c r="D521" s="50"/>
      <c r="E521" s="55" t="str">
        <f t="shared" ca="1" si="56"/>
        <v/>
      </c>
      <c r="F521" s="51"/>
      <c r="G521" s="55" t="str">
        <f t="shared" ca="1" si="57"/>
        <v/>
      </c>
      <c r="H521" s="50"/>
      <c r="I521" s="55" t="str">
        <f t="shared" ca="1" si="58"/>
        <v/>
      </c>
      <c r="J521" s="50"/>
      <c r="K521" s="55" t="str">
        <f t="shared" ca="1" si="59"/>
        <v/>
      </c>
      <c r="L521" s="64" t="str">
        <f>IF(B521="","",D521+F521+H521+J521+#REF!+#REF!+#REF!+#REF!+#REF!)</f>
        <v/>
      </c>
      <c r="M521" s="55" t="str">
        <f t="shared" ca="1" si="60"/>
        <v/>
      </c>
    </row>
    <row r="522" spans="1:13" ht="19.95" customHeight="1" x14ac:dyDescent="0.25">
      <c r="A522" s="52"/>
      <c r="B522" s="51"/>
      <c r="C522" s="54" t="str">
        <f>IF(B522="","",VLOOKUP(B522,学生信息汇总!A:E,2,0))</f>
        <v/>
      </c>
      <c r="D522" s="50"/>
      <c r="E522" s="55" t="str">
        <f t="shared" ca="1" si="56"/>
        <v/>
      </c>
      <c r="F522" s="51"/>
      <c r="G522" s="55" t="str">
        <f t="shared" ca="1" si="57"/>
        <v/>
      </c>
      <c r="H522" s="50"/>
      <c r="I522" s="55" t="str">
        <f t="shared" ca="1" si="58"/>
        <v/>
      </c>
      <c r="J522" s="50"/>
      <c r="K522" s="55" t="str">
        <f t="shared" ca="1" si="59"/>
        <v/>
      </c>
      <c r="L522" s="64" t="str">
        <f>IF(B522="","",D522+F522+H522+J522+#REF!+#REF!+#REF!+#REF!+#REF!)</f>
        <v/>
      </c>
      <c r="M522" s="55" t="str">
        <f t="shared" ca="1" si="60"/>
        <v/>
      </c>
    </row>
    <row r="523" spans="1:13" ht="19.95" customHeight="1" x14ac:dyDescent="0.25">
      <c r="A523" s="52"/>
      <c r="B523" s="51"/>
      <c r="C523" s="54" t="str">
        <f>IF(B523="","",VLOOKUP(B523,学生信息汇总!A:E,2,0))</f>
        <v/>
      </c>
      <c r="D523" s="50"/>
      <c r="E523" s="55" t="str">
        <f t="shared" ca="1" si="56"/>
        <v/>
      </c>
      <c r="F523" s="51"/>
      <c r="G523" s="55" t="str">
        <f t="shared" ca="1" si="57"/>
        <v/>
      </c>
      <c r="H523" s="50"/>
      <c r="I523" s="55" t="str">
        <f t="shared" ca="1" si="58"/>
        <v/>
      </c>
      <c r="J523" s="50"/>
      <c r="K523" s="55" t="str">
        <f t="shared" ca="1" si="59"/>
        <v/>
      </c>
      <c r="L523" s="64" t="str">
        <f>IF(B523="","",D523+F523+H523+J523+#REF!+#REF!+#REF!+#REF!+#REF!)</f>
        <v/>
      </c>
      <c r="M523" s="55" t="str">
        <f t="shared" ca="1" si="60"/>
        <v/>
      </c>
    </row>
    <row r="524" spans="1:13" ht="19.95" customHeight="1" x14ac:dyDescent="0.25">
      <c r="A524" s="52"/>
      <c r="B524" s="51"/>
      <c r="C524" s="54" t="str">
        <f>IF(B524="","",VLOOKUP(B524,学生信息汇总!A:E,2,0))</f>
        <v/>
      </c>
      <c r="D524" s="50"/>
      <c r="E524" s="55" t="str">
        <f t="shared" ca="1" si="56"/>
        <v/>
      </c>
      <c r="F524" s="51"/>
      <c r="G524" s="55" t="str">
        <f t="shared" ca="1" si="57"/>
        <v/>
      </c>
      <c r="H524" s="50"/>
      <c r="I524" s="55" t="str">
        <f t="shared" ca="1" si="58"/>
        <v/>
      </c>
      <c r="J524" s="50"/>
      <c r="K524" s="55" t="str">
        <f t="shared" ca="1" si="59"/>
        <v/>
      </c>
      <c r="L524" s="64" t="str">
        <f>IF(B524="","",D524+F524+H524+J524+#REF!+#REF!+#REF!+#REF!+#REF!)</f>
        <v/>
      </c>
      <c r="M524" s="55" t="str">
        <f t="shared" ca="1" si="60"/>
        <v/>
      </c>
    </row>
    <row r="525" spans="1:13" ht="19.95" customHeight="1" x14ac:dyDescent="0.25">
      <c r="A525" s="52"/>
      <c r="B525" s="51"/>
      <c r="C525" s="54" t="str">
        <f>IF(B525="","",VLOOKUP(B525,学生信息汇总!A:E,2,0))</f>
        <v/>
      </c>
      <c r="D525" s="50"/>
      <c r="E525" s="55" t="str">
        <f t="shared" ca="1" si="56"/>
        <v/>
      </c>
      <c r="F525" s="51"/>
      <c r="G525" s="55" t="str">
        <f t="shared" ca="1" si="57"/>
        <v/>
      </c>
      <c r="H525" s="50"/>
      <c r="I525" s="55" t="str">
        <f t="shared" ca="1" si="58"/>
        <v/>
      </c>
      <c r="J525" s="50"/>
      <c r="K525" s="55" t="str">
        <f t="shared" ca="1" si="59"/>
        <v/>
      </c>
      <c r="L525" s="64" t="str">
        <f>IF(B525="","",D525+F525+H525+J525+#REF!+#REF!+#REF!+#REF!+#REF!)</f>
        <v/>
      </c>
      <c r="M525" s="55" t="str">
        <f t="shared" ca="1" si="60"/>
        <v/>
      </c>
    </row>
    <row r="526" spans="1:13" ht="19.95" customHeight="1" x14ac:dyDescent="0.25">
      <c r="A526" s="52"/>
      <c r="B526" s="51"/>
      <c r="C526" s="54" t="str">
        <f>IF(B526="","",VLOOKUP(B526,学生信息汇总!A:E,2,0))</f>
        <v/>
      </c>
      <c r="D526" s="50"/>
      <c r="E526" s="55" t="str">
        <f t="shared" ca="1" si="56"/>
        <v/>
      </c>
      <c r="F526" s="51"/>
      <c r="G526" s="55" t="str">
        <f t="shared" ca="1" si="57"/>
        <v/>
      </c>
      <c r="H526" s="50"/>
      <c r="I526" s="55" t="str">
        <f t="shared" ca="1" si="58"/>
        <v/>
      </c>
      <c r="J526" s="50"/>
      <c r="K526" s="55" t="str">
        <f t="shared" ca="1" si="59"/>
        <v/>
      </c>
      <c r="L526" s="64" t="str">
        <f>IF(B526="","",D526+F526+H526+J526+#REF!+#REF!+#REF!+#REF!+#REF!)</f>
        <v/>
      </c>
      <c r="M526" s="55" t="str">
        <f t="shared" ca="1" si="60"/>
        <v/>
      </c>
    </row>
    <row r="527" spans="1:13" ht="19.95" customHeight="1" x14ac:dyDescent="0.25">
      <c r="A527" s="52"/>
      <c r="B527" s="51"/>
      <c r="C527" s="54" t="str">
        <f>IF(B527="","",VLOOKUP(B527,学生信息汇总!A:E,2,0))</f>
        <v/>
      </c>
      <c r="D527" s="50"/>
      <c r="E527" s="55" t="str">
        <f t="shared" ca="1" si="56"/>
        <v/>
      </c>
      <c r="F527" s="51"/>
      <c r="G527" s="55" t="str">
        <f t="shared" ca="1" si="57"/>
        <v/>
      </c>
      <c r="H527" s="50"/>
      <c r="I527" s="55" t="str">
        <f t="shared" ca="1" si="58"/>
        <v/>
      </c>
      <c r="J527" s="50"/>
      <c r="K527" s="55" t="str">
        <f t="shared" ca="1" si="59"/>
        <v/>
      </c>
      <c r="L527" s="64" t="str">
        <f>IF(B527="","",D527+F527+H527+J527+#REF!+#REF!+#REF!+#REF!+#REF!)</f>
        <v/>
      </c>
      <c r="M527" s="55" t="str">
        <f t="shared" ca="1" si="60"/>
        <v/>
      </c>
    </row>
    <row r="528" spans="1:13" ht="19.95" customHeight="1" x14ac:dyDescent="0.25">
      <c r="A528" s="52"/>
      <c r="B528" s="51"/>
      <c r="C528" s="54" t="str">
        <f>IF(B528="","",VLOOKUP(B528,学生信息汇总!A:E,2,0))</f>
        <v/>
      </c>
      <c r="D528" s="50"/>
      <c r="E528" s="55" t="str">
        <f t="shared" ca="1" si="56"/>
        <v/>
      </c>
      <c r="F528" s="51"/>
      <c r="G528" s="55" t="str">
        <f t="shared" ca="1" si="57"/>
        <v/>
      </c>
      <c r="H528" s="50"/>
      <c r="I528" s="55" t="str">
        <f t="shared" ca="1" si="58"/>
        <v/>
      </c>
      <c r="J528" s="50"/>
      <c r="K528" s="55" t="str">
        <f t="shared" ca="1" si="59"/>
        <v/>
      </c>
      <c r="L528" s="64" t="str">
        <f>IF(B528="","",D528+F528+H528+J528+#REF!+#REF!+#REF!+#REF!+#REF!)</f>
        <v/>
      </c>
      <c r="M528" s="55" t="str">
        <f t="shared" ca="1" si="60"/>
        <v/>
      </c>
    </row>
    <row r="529" spans="1:13" ht="19.95" customHeight="1" x14ac:dyDescent="0.25">
      <c r="A529" s="52"/>
      <c r="B529" s="51"/>
      <c r="C529" s="54" t="str">
        <f>IF(B529="","",VLOOKUP(B529,学生信息汇总!A:E,2,0))</f>
        <v/>
      </c>
      <c r="D529" s="50"/>
      <c r="E529" s="55" t="str">
        <f t="shared" ca="1" si="56"/>
        <v/>
      </c>
      <c r="F529" s="51"/>
      <c r="G529" s="55" t="str">
        <f t="shared" ca="1" si="57"/>
        <v/>
      </c>
      <c r="H529" s="50"/>
      <c r="I529" s="55" t="str">
        <f t="shared" ca="1" si="58"/>
        <v/>
      </c>
      <c r="J529" s="50"/>
      <c r="K529" s="55" t="str">
        <f t="shared" ca="1" si="59"/>
        <v/>
      </c>
      <c r="L529" s="64" t="str">
        <f>IF(B529="","",D529+F529+H529+J529+#REF!+#REF!+#REF!+#REF!+#REF!)</f>
        <v/>
      </c>
      <c r="M529" s="55" t="str">
        <f t="shared" ca="1" si="60"/>
        <v/>
      </c>
    </row>
    <row r="530" spans="1:13" ht="19.95" customHeight="1" x14ac:dyDescent="0.25">
      <c r="A530" s="52"/>
      <c r="B530" s="51"/>
      <c r="C530" s="54" t="str">
        <f>IF(B530="","",VLOOKUP(B530,学生信息汇总!A:E,2,0))</f>
        <v/>
      </c>
      <c r="D530" s="50"/>
      <c r="E530" s="55" t="str">
        <f t="shared" ca="1" si="56"/>
        <v/>
      </c>
      <c r="F530" s="51"/>
      <c r="G530" s="55" t="str">
        <f t="shared" ca="1" si="57"/>
        <v/>
      </c>
      <c r="H530" s="50"/>
      <c r="I530" s="55" t="str">
        <f t="shared" ca="1" si="58"/>
        <v/>
      </c>
      <c r="J530" s="50"/>
      <c r="K530" s="55" t="str">
        <f t="shared" ca="1" si="59"/>
        <v/>
      </c>
      <c r="L530" s="64" t="str">
        <f>IF(B530="","",D530+F530+H530+J530+#REF!+#REF!+#REF!+#REF!+#REF!)</f>
        <v/>
      </c>
      <c r="M530" s="55" t="str">
        <f t="shared" ca="1" si="60"/>
        <v/>
      </c>
    </row>
    <row r="531" spans="1:13" ht="19.95" customHeight="1" x14ac:dyDescent="0.25">
      <c r="A531" s="52"/>
      <c r="B531" s="51"/>
      <c r="C531" s="54" t="str">
        <f>IF(B531="","",VLOOKUP(B531,学生信息汇总!A:E,2,0))</f>
        <v/>
      </c>
      <c r="D531" s="50"/>
      <c r="E531" s="55" t="str">
        <f t="shared" ca="1" si="56"/>
        <v/>
      </c>
      <c r="F531" s="51"/>
      <c r="G531" s="55" t="str">
        <f t="shared" ca="1" si="57"/>
        <v/>
      </c>
      <c r="H531" s="50"/>
      <c r="I531" s="55" t="str">
        <f t="shared" ca="1" si="58"/>
        <v/>
      </c>
      <c r="J531" s="50"/>
      <c r="K531" s="55" t="str">
        <f t="shared" ca="1" si="59"/>
        <v/>
      </c>
      <c r="L531" s="64" t="str">
        <f>IF(B531="","",D531+F531+H531+J531+#REF!+#REF!+#REF!+#REF!+#REF!)</f>
        <v/>
      </c>
      <c r="M531" s="55" t="str">
        <f t="shared" ca="1" si="60"/>
        <v/>
      </c>
    </row>
    <row r="532" spans="1:13" ht="19.95" customHeight="1" x14ac:dyDescent="0.25">
      <c r="A532" s="52"/>
      <c r="B532" s="51"/>
      <c r="C532" s="54" t="str">
        <f>IF(B532="","",VLOOKUP(B532,学生信息汇总!A:E,2,0))</f>
        <v/>
      </c>
      <c r="D532" s="50"/>
      <c r="E532" s="55" t="str">
        <f t="shared" ca="1" si="56"/>
        <v/>
      </c>
      <c r="F532" s="51"/>
      <c r="G532" s="55" t="str">
        <f t="shared" ca="1" si="57"/>
        <v/>
      </c>
      <c r="H532" s="50"/>
      <c r="I532" s="55" t="str">
        <f t="shared" ca="1" si="58"/>
        <v/>
      </c>
      <c r="J532" s="50"/>
      <c r="K532" s="55" t="str">
        <f t="shared" ca="1" si="59"/>
        <v/>
      </c>
      <c r="L532" s="64" t="str">
        <f>IF(B532="","",D532+F532+H532+J532+#REF!+#REF!+#REF!+#REF!+#REF!)</f>
        <v/>
      </c>
      <c r="M532" s="55" t="str">
        <f t="shared" ca="1" si="60"/>
        <v/>
      </c>
    </row>
    <row r="533" spans="1:13" ht="19.95" customHeight="1" x14ac:dyDescent="0.25">
      <c r="A533" s="52"/>
      <c r="B533" s="51"/>
      <c r="C533" s="54" t="str">
        <f>IF(B533="","",VLOOKUP(B533,学生信息汇总!A:E,2,0))</f>
        <v/>
      </c>
      <c r="D533" s="50"/>
      <c r="E533" s="55" t="str">
        <f t="shared" ca="1" si="56"/>
        <v/>
      </c>
      <c r="F533" s="51"/>
      <c r="G533" s="55" t="str">
        <f t="shared" ca="1" si="57"/>
        <v/>
      </c>
      <c r="H533" s="50"/>
      <c r="I533" s="55" t="str">
        <f t="shared" ca="1" si="58"/>
        <v/>
      </c>
      <c r="J533" s="50"/>
      <c r="K533" s="55" t="str">
        <f t="shared" ca="1" si="59"/>
        <v/>
      </c>
      <c r="L533" s="64" t="str">
        <f>IF(B533="","",D533+F533+H533+J533+#REF!+#REF!+#REF!+#REF!+#REF!)</f>
        <v/>
      </c>
      <c r="M533" s="55" t="str">
        <f t="shared" ca="1" si="60"/>
        <v/>
      </c>
    </row>
    <row r="534" spans="1:13" ht="19.95" customHeight="1" x14ac:dyDescent="0.25">
      <c r="A534" s="52"/>
      <c r="B534" s="51"/>
      <c r="C534" s="54" t="str">
        <f>IF(B534="","",VLOOKUP(B534,学生信息汇总!A:E,2,0))</f>
        <v/>
      </c>
      <c r="D534" s="50"/>
      <c r="E534" s="55" t="str">
        <f t="shared" ca="1" si="56"/>
        <v/>
      </c>
      <c r="F534" s="51"/>
      <c r="G534" s="55" t="str">
        <f t="shared" ca="1" si="57"/>
        <v/>
      </c>
      <c r="H534" s="50"/>
      <c r="I534" s="55" t="str">
        <f t="shared" ca="1" si="58"/>
        <v/>
      </c>
      <c r="J534" s="50"/>
      <c r="K534" s="55" t="str">
        <f t="shared" ca="1" si="59"/>
        <v/>
      </c>
      <c r="L534" s="64" t="str">
        <f>IF(B534="","",D534+F534+H534+J534+#REF!+#REF!+#REF!+#REF!+#REF!)</f>
        <v/>
      </c>
      <c r="M534" s="55" t="str">
        <f t="shared" ca="1" si="60"/>
        <v/>
      </c>
    </row>
    <row r="535" spans="1:13" ht="19.95" customHeight="1" x14ac:dyDescent="0.25">
      <c r="A535" s="52"/>
      <c r="B535" s="51"/>
      <c r="C535" s="54" t="str">
        <f>IF(B535="","",VLOOKUP(B535,学生信息汇总!A:E,2,0))</f>
        <v/>
      </c>
      <c r="D535" s="50"/>
      <c r="E535" s="55" t="str">
        <f t="shared" ca="1" si="56"/>
        <v/>
      </c>
      <c r="F535" s="51"/>
      <c r="G535" s="55" t="str">
        <f t="shared" ca="1" si="57"/>
        <v/>
      </c>
      <c r="H535" s="50"/>
      <c r="I535" s="55" t="str">
        <f t="shared" ca="1" si="58"/>
        <v/>
      </c>
      <c r="J535" s="50"/>
      <c r="K535" s="55" t="str">
        <f t="shared" ca="1" si="59"/>
        <v/>
      </c>
      <c r="L535" s="64" t="str">
        <f>IF(B535="","",D535+F535+H535+J535+#REF!+#REF!+#REF!+#REF!+#REF!)</f>
        <v/>
      </c>
      <c r="M535" s="55" t="str">
        <f t="shared" ca="1" si="60"/>
        <v/>
      </c>
    </row>
    <row r="536" spans="1:13" ht="19.95" customHeight="1" x14ac:dyDescent="0.25">
      <c r="A536" s="52"/>
      <c r="B536" s="51"/>
      <c r="C536" s="54" t="str">
        <f>IF(B536="","",VLOOKUP(B536,学生信息汇总!A:E,2,0))</f>
        <v/>
      </c>
      <c r="D536" s="50"/>
      <c r="E536" s="55" t="str">
        <f t="shared" ca="1" si="56"/>
        <v/>
      </c>
      <c r="F536" s="51"/>
      <c r="G536" s="55" t="str">
        <f t="shared" ca="1" si="57"/>
        <v/>
      </c>
      <c r="H536" s="50"/>
      <c r="I536" s="55" t="str">
        <f t="shared" ca="1" si="58"/>
        <v/>
      </c>
      <c r="J536" s="50"/>
      <c r="K536" s="55" t="str">
        <f t="shared" ca="1" si="59"/>
        <v/>
      </c>
      <c r="L536" s="64" t="str">
        <f>IF(B536="","",D536+F536+H536+J536+#REF!+#REF!+#REF!+#REF!+#REF!)</f>
        <v/>
      </c>
      <c r="M536" s="55" t="str">
        <f t="shared" ca="1" si="60"/>
        <v/>
      </c>
    </row>
    <row r="537" spans="1:13" ht="19.95" customHeight="1" x14ac:dyDescent="0.25">
      <c r="A537" s="52"/>
      <c r="B537" s="51"/>
      <c r="C537" s="54" t="str">
        <f>IF(B537="","",VLOOKUP(B537,学生信息汇总!A:E,2,0))</f>
        <v/>
      </c>
      <c r="D537" s="50"/>
      <c r="E537" s="55" t="str">
        <f t="shared" ca="1" si="56"/>
        <v/>
      </c>
      <c r="F537" s="51"/>
      <c r="G537" s="55" t="str">
        <f t="shared" ca="1" si="57"/>
        <v/>
      </c>
      <c r="H537" s="50"/>
      <c r="I537" s="55" t="str">
        <f t="shared" ca="1" si="58"/>
        <v/>
      </c>
      <c r="J537" s="50"/>
      <c r="K537" s="55" t="str">
        <f t="shared" ca="1" si="59"/>
        <v/>
      </c>
      <c r="L537" s="64" t="str">
        <f>IF(B537="","",D537+F537+H537+J537+#REF!+#REF!+#REF!+#REF!+#REF!)</f>
        <v/>
      </c>
      <c r="M537" s="55" t="str">
        <f t="shared" ca="1" si="60"/>
        <v/>
      </c>
    </row>
    <row r="538" spans="1:13" ht="19.95" customHeight="1" x14ac:dyDescent="0.25">
      <c r="A538" s="52"/>
      <c r="B538" s="51"/>
      <c r="C538" s="54" t="str">
        <f>IF(B538="","",VLOOKUP(B538,学生信息汇总!A:E,2,0))</f>
        <v/>
      </c>
      <c r="D538" s="50"/>
      <c r="E538" s="55" t="str">
        <f t="shared" ca="1" si="56"/>
        <v/>
      </c>
      <c r="F538" s="51"/>
      <c r="G538" s="55" t="str">
        <f t="shared" ca="1" si="57"/>
        <v/>
      </c>
      <c r="H538" s="50"/>
      <c r="I538" s="55" t="str">
        <f t="shared" ca="1" si="58"/>
        <v/>
      </c>
      <c r="J538" s="50"/>
      <c r="K538" s="55" t="str">
        <f t="shared" ca="1" si="59"/>
        <v/>
      </c>
      <c r="L538" s="64" t="str">
        <f>IF(B538="","",D538+F538+H538+J538+#REF!+#REF!+#REF!+#REF!+#REF!)</f>
        <v/>
      </c>
      <c r="M538" s="55" t="str">
        <f t="shared" ca="1" si="60"/>
        <v/>
      </c>
    </row>
    <row r="539" spans="1:13" ht="19.95" customHeight="1" x14ac:dyDescent="0.25">
      <c r="A539" s="52"/>
      <c r="B539" s="51"/>
      <c r="C539" s="54" t="str">
        <f>IF(B539="","",VLOOKUP(B539,学生信息汇总!A:E,2,0))</f>
        <v/>
      </c>
      <c r="D539" s="50"/>
      <c r="E539" s="55" t="str">
        <f t="shared" ca="1" si="56"/>
        <v/>
      </c>
      <c r="F539" s="51"/>
      <c r="G539" s="55" t="str">
        <f t="shared" ca="1" si="57"/>
        <v/>
      </c>
      <c r="H539" s="50"/>
      <c r="I539" s="55" t="str">
        <f t="shared" ca="1" si="58"/>
        <v/>
      </c>
      <c r="J539" s="50"/>
      <c r="K539" s="55" t="str">
        <f t="shared" ca="1" si="59"/>
        <v/>
      </c>
      <c r="L539" s="64" t="str">
        <f>IF(B539="","",D539+F539+H539+J539+#REF!+#REF!+#REF!+#REF!+#REF!)</f>
        <v/>
      </c>
      <c r="M539" s="55" t="str">
        <f t="shared" ca="1" si="60"/>
        <v/>
      </c>
    </row>
    <row r="540" spans="1:13" ht="19.95" customHeight="1" x14ac:dyDescent="0.25">
      <c r="A540" s="52"/>
      <c r="B540" s="51"/>
      <c r="C540" s="54" t="str">
        <f>IF(B540="","",VLOOKUP(B540,学生信息汇总!A:E,2,0))</f>
        <v/>
      </c>
      <c r="D540" s="50"/>
      <c r="E540" s="55" t="str">
        <f t="shared" ca="1" si="56"/>
        <v/>
      </c>
      <c r="F540" s="51"/>
      <c r="G540" s="55" t="str">
        <f t="shared" ca="1" si="57"/>
        <v/>
      </c>
      <c r="H540" s="50"/>
      <c r="I540" s="55" t="str">
        <f t="shared" ca="1" si="58"/>
        <v/>
      </c>
      <c r="J540" s="50"/>
      <c r="K540" s="55" t="str">
        <f t="shared" ca="1" si="59"/>
        <v/>
      </c>
      <c r="L540" s="64" t="str">
        <f>IF(B540="","",D540+F540+H540+J540+#REF!+#REF!+#REF!+#REF!+#REF!)</f>
        <v/>
      </c>
      <c r="M540" s="55" t="str">
        <f t="shared" ca="1" si="60"/>
        <v/>
      </c>
    </row>
    <row r="541" spans="1:13" ht="19.95" customHeight="1" x14ac:dyDescent="0.25">
      <c r="A541" s="52"/>
      <c r="B541" s="51"/>
      <c r="C541" s="54" t="str">
        <f>IF(B541="","",VLOOKUP(B541,学生信息汇总!A:E,2,0))</f>
        <v/>
      </c>
      <c r="D541" s="50"/>
      <c r="E541" s="55" t="str">
        <f t="shared" ca="1" si="56"/>
        <v/>
      </c>
      <c r="F541" s="51"/>
      <c r="G541" s="55" t="str">
        <f t="shared" ca="1" si="57"/>
        <v/>
      </c>
      <c r="H541" s="50"/>
      <c r="I541" s="55" t="str">
        <f t="shared" ca="1" si="58"/>
        <v/>
      </c>
      <c r="J541" s="50"/>
      <c r="K541" s="55" t="str">
        <f t="shared" ca="1" si="59"/>
        <v/>
      </c>
      <c r="L541" s="64" t="str">
        <f>IF(B541="","",D541+F541+H541+J541+#REF!+#REF!+#REF!+#REF!+#REF!)</f>
        <v/>
      </c>
      <c r="M541" s="55" t="str">
        <f t="shared" ca="1" si="60"/>
        <v/>
      </c>
    </row>
    <row r="542" spans="1:13" ht="19.95" customHeight="1" x14ac:dyDescent="0.25">
      <c r="A542" s="52"/>
      <c r="B542" s="51"/>
      <c r="C542" s="54" t="str">
        <f>IF(B542="","",VLOOKUP(B542,学生信息汇总!A:E,2,0))</f>
        <v/>
      </c>
      <c r="D542" s="50"/>
      <c r="E542" s="55" t="str">
        <f t="shared" ca="1" si="56"/>
        <v/>
      </c>
      <c r="F542" s="51"/>
      <c r="G542" s="55" t="str">
        <f t="shared" ca="1" si="57"/>
        <v/>
      </c>
      <c r="H542" s="50"/>
      <c r="I542" s="55" t="str">
        <f t="shared" ca="1" si="58"/>
        <v/>
      </c>
      <c r="J542" s="50"/>
      <c r="K542" s="55" t="str">
        <f t="shared" ca="1" si="59"/>
        <v/>
      </c>
      <c r="L542" s="64" t="str">
        <f>IF(B542="","",D542+F542+H542+J542+#REF!+#REF!+#REF!+#REF!+#REF!)</f>
        <v/>
      </c>
      <c r="M542" s="55" t="str">
        <f t="shared" ca="1" si="60"/>
        <v/>
      </c>
    </row>
    <row r="543" spans="1:13" ht="19.95" customHeight="1" x14ac:dyDescent="0.25">
      <c r="A543" s="52"/>
      <c r="B543" s="51"/>
      <c r="C543" s="54" t="str">
        <f>IF(B543="","",VLOOKUP(B543,学生信息汇总!A:E,2,0))</f>
        <v/>
      </c>
      <c r="D543" s="50"/>
      <c r="E543" s="55" t="str">
        <f t="shared" ca="1" si="56"/>
        <v/>
      </c>
      <c r="F543" s="51"/>
      <c r="G543" s="55" t="str">
        <f t="shared" ca="1" si="57"/>
        <v/>
      </c>
      <c r="H543" s="50"/>
      <c r="I543" s="55" t="str">
        <f t="shared" ca="1" si="58"/>
        <v/>
      </c>
      <c r="J543" s="50"/>
      <c r="K543" s="55" t="str">
        <f t="shared" ca="1" si="59"/>
        <v/>
      </c>
      <c r="L543" s="64" t="str">
        <f>IF(B543="","",D543+F543+H543+J543+#REF!+#REF!+#REF!+#REF!+#REF!)</f>
        <v/>
      </c>
      <c r="M543" s="55" t="str">
        <f t="shared" ca="1" si="60"/>
        <v/>
      </c>
    </row>
    <row r="544" spans="1:13" ht="19.95" customHeight="1" x14ac:dyDescent="0.25">
      <c r="A544" s="52"/>
      <c r="B544" s="51"/>
      <c r="C544" s="54" t="str">
        <f>IF(B544="","",VLOOKUP(B544,学生信息汇总!A:E,2,0))</f>
        <v/>
      </c>
      <c r="D544" s="50"/>
      <c r="E544" s="55" t="str">
        <f t="shared" ca="1" si="56"/>
        <v/>
      </c>
      <c r="F544" s="51"/>
      <c r="G544" s="55" t="str">
        <f t="shared" ca="1" si="57"/>
        <v/>
      </c>
      <c r="H544" s="50"/>
      <c r="I544" s="55" t="str">
        <f t="shared" ca="1" si="58"/>
        <v/>
      </c>
      <c r="J544" s="50"/>
      <c r="K544" s="55" t="str">
        <f t="shared" ca="1" si="59"/>
        <v/>
      </c>
      <c r="L544" s="64" t="str">
        <f>IF(B544="","",D544+F544+H544+J544+#REF!+#REF!+#REF!+#REF!+#REF!)</f>
        <v/>
      </c>
      <c r="M544" s="55" t="str">
        <f t="shared" ca="1" si="60"/>
        <v/>
      </c>
    </row>
    <row r="545" spans="1:13" ht="19.95" customHeight="1" x14ac:dyDescent="0.25">
      <c r="A545" s="52"/>
      <c r="B545" s="51"/>
      <c r="C545" s="54" t="str">
        <f>IF(B545="","",VLOOKUP(B545,学生信息汇总!A:E,2,0))</f>
        <v/>
      </c>
      <c r="D545" s="50"/>
      <c r="E545" s="55" t="str">
        <f t="shared" ca="1" si="56"/>
        <v/>
      </c>
      <c r="F545" s="51"/>
      <c r="G545" s="55" t="str">
        <f t="shared" ca="1" si="57"/>
        <v/>
      </c>
      <c r="H545" s="50"/>
      <c r="I545" s="55" t="str">
        <f t="shared" ca="1" si="58"/>
        <v/>
      </c>
      <c r="J545" s="50"/>
      <c r="K545" s="55" t="str">
        <f t="shared" ca="1" si="59"/>
        <v/>
      </c>
      <c r="L545" s="64" t="str">
        <f>IF(B545="","",D545+F545+H545+J545+#REF!+#REF!+#REF!+#REF!+#REF!)</f>
        <v/>
      </c>
      <c r="M545" s="55" t="str">
        <f t="shared" ca="1" si="60"/>
        <v/>
      </c>
    </row>
    <row r="546" spans="1:13" ht="19.95" customHeight="1" x14ac:dyDescent="0.25">
      <c r="A546" s="52"/>
      <c r="B546" s="51"/>
      <c r="C546" s="54" t="str">
        <f>IF(B546="","",VLOOKUP(B546,学生信息汇总!A:E,2,0))</f>
        <v/>
      </c>
      <c r="D546" s="50"/>
      <c r="E546" s="55" t="str">
        <f t="shared" ca="1" si="56"/>
        <v/>
      </c>
      <c r="F546" s="51"/>
      <c r="G546" s="55" t="str">
        <f t="shared" ca="1" si="57"/>
        <v/>
      </c>
      <c r="H546" s="50"/>
      <c r="I546" s="55" t="str">
        <f t="shared" ca="1" si="58"/>
        <v/>
      </c>
      <c r="J546" s="50"/>
      <c r="K546" s="55" t="str">
        <f t="shared" ca="1" si="59"/>
        <v/>
      </c>
      <c r="L546" s="64" t="str">
        <f>IF(B546="","",D546+F546+H546+J546+#REF!+#REF!+#REF!+#REF!+#REF!)</f>
        <v/>
      </c>
      <c r="M546" s="55" t="str">
        <f t="shared" ca="1" si="60"/>
        <v/>
      </c>
    </row>
    <row r="547" spans="1:13" ht="19.95" customHeight="1" x14ac:dyDescent="0.25">
      <c r="A547" s="52"/>
      <c r="B547" s="51"/>
      <c r="C547" s="54" t="str">
        <f>IF(B547="","",VLOOKUP(B547,学生信息汇总!A:E,2,0))</f>
        <v/>
      </c>
      <c r="D547" s="50"/>
      <c r="E547" s="55" t="str">
        <f t="shared" ca="1" si="56"/>
        <v/>
      </c>
      <c r="F547" s="51"/>
      <c r="G547" s="55" t="str">
        <f t="shared" ca="1" si="57"/>
        <v/>
      </c>
      <c r="H547" s="50"/>
      <c r="I547" s="55" t="str">
        <f t="shared" ca="1" si="58"/>
        <v/>
      </c>
      <c r="J547" s="50"/>
      <c r="K547" s="55" t="str">
        <f t="shared" ca="1" si="59"/>
        <v/>
      </c>
      <c r="L547" s="64" t="str">
        <f>IF(B547="","",D547+F547+H547+J547+#REF!+#REF!+#REF!+#REF!+#REF!)</f>
        <v/>
      </c>
      <c r="M547" s="55" t="str">
        <f t="shared" ca="1" si="60"/>
        <v/>
      </c>
    </row>
    <row r="548" spans="1:13" ht="19.95" customHeight="1" x14ac:dyDescent="0.25">
      <c r="A548" s="52"/>
      <c r="B548" s="51"/>
      <c r="C548" s="54" t="str">
        <f>IF(B548="","",VLOOKUP(B548,学生信息汇总!A:E,2,0))</f>
        <v/>
      </c>
      <c r="D548" s="50"/>
      <c r="E548" s="55" t="str">
        <f t="shared" ca="1" si="56"/>
        <v/>
      </c>
      <c r="F548" s="51"/>
      <c r="G548" s="55" t="str">
        <f t="shared" ca="1" si="57"/>
        <v/>
      </c>
      <c r="H548" s="50"/>
      <c r="I548" s="55" t="str">
        <f t="shared" ca="1" si="58"/>
        <v/>
      </c>
      <c r="J548" s="50"/>
      <c r="K548" s="55" t="str">
        <f t="shared" ca="1" si="59"/>
        <v/>
      </c>
      <c r="L548" s="64" t="str">
        <f>IF(B548="","",D548+F548+H548+J548+#REF!+#REF!+#REF!+#REF!+#REF!)</f>
        <v/>
      </c>
      <c r="M548" s="55" t="str">
        <f t="shared" ca="1" si="60"/>
        <v/>
      </c>
    </row>
    <row r="549" spans="1:13" ht="19.95" customHeight="1" x14ac:dyDescent="0.25">
      <c r="A549" s="52"/>
      <c r="B549" s="51"/>
      <c r="C549" s="54" t="str">
        <f>IF(B549="","",VLOOKUP(B549,学生信息汇总!A:E,2,0))</f>
        <v/>
      </c>
      <c r="D549" s="50"/>
      <c r="E549" s="55" t="str">
        <f t="shared" ca="1" si="56"/>
        <v/>
      </c>
      <c r="F549" s="51"/>
      <c r="G549" s="55" t="str">
        <f t="shared" ca="1" si="57"/>
        <v/>
      </c>
      <c r="H549" s="50"/>
      <c r="I549" s="55" t="str">
        <f t="shared" ca="1" si="58"/>
        <v/>
      </c>
      <c r="J549" s="50"/>
      <c r="K549" s="55" t="str">
        <f t="shared" ca="1" si="59"/>
        <v/>
      </c>
      <c r="L549" s="64" t="str">
        <f>IF(B549="","",D549+F549+H549+J549+#REF!+#REF!+#REF!+#REF!+#REF!)</f>
        <v/>
      </c>
      <c r="M549" s="55" t="str">
        <f t="shared" ca="1" si="60"/>
        <v/>
      </c>
    </row>
    <row r="550" spans="1:13" ht="19.95" customHeight="1" x14ac:dyDescent="0.25">
      <c r="A550" s="52"/>
      <c r="B550" s="51"/>
      <c r="C550" s="54" t="str">
        <f>IF(B550="","",VLOOKUP(B550,学生信息汇总!A:E,2,0))</f>
        <v/>
      </c>
      <c r="D550" s="50"/>
      <c r="E550" s="55" t="str">
        <f t="shared" ca="1" si="56"/>
        <v/>
      </c>
      <c r="F550" s="51"/>
      <c r="G550" s="55" t="str">
        <f t="shared" ca="1" si="57"/>
        <v/>
      </c>
      <c r="H550" s="50"/>
      <c r="I550" s="55" t="str">
        <f t="shared" ca="1" si="58"/>
        <v/>
      </c>
      <c r="J550" s="50"/>
      <c r="K550" s="55" t="str">
        <f t="shared" ca="1" si="59"/>
        <v/>
      </c>
      <c r="L550" s="64" t="str">
        <f>IF(B550="","",D550+F550+H550+J550+#REF!+#REF!+#REF!+#REF!+#REF!)</f>
        <v/>
      </c>
      <c r="M550" s="55" t="str">
        <f t="shared" ca="1" si="60"/>
        <v/>
      </c>
    </row>
    <row r="551" spans="1:13" ht="19.95" customHeight="1" x14ac:dyDescent="0.25">
      <c r="A551" s="52"/>
      <c r="B551" s="51"/>
      <c r="C551" s="54" t="str">
        <f>IF(B551="","",VLOOKUP(B551,学生信息汇总!A:E,2,0))</f>
        <v/>
      </c>
      <c r="D551" s="50"/>
      <c r="E551" s="55" t="str">
        <f t="shared" ca="1" si="56"/>
        <v/>
      </c>
      <c r="F551" s="51"/>
      <c r="G551" s="55" t="str">
        <f t="shared" ca="1" si="57"/>
        <v/>
      </c>
      <c r="H551" s="50"/>
      <c r="I551" s="55" t="str">
        <f t="shared" ca="1" si="58"/>
        <v/>
      </c>
      <c r="J551" s="50"/>
      <c r="K551" s="55" t="str">
        <f t="shared" ca="1" si="59"/>
        <v/>
      </c>
      <c r="L551" s="64" t="str">
        <f>IF(B551="","",D551+F551+H551+J551+#REF!+#REF!+#REF!+#REF!+#REF!)</f>
        <v/>
      </c>
      <c r="M551" s="55" t="str">
        <f t="shared" ca="1" si="60"/>
        <v/>
      </c>
    </row>
    <row r="552" spans="1:13" ht="19.95" customHeight="1" x14ac:dyDescent="0.25">
      <c r="A552" s="52"/>
      <c r="B552" s="51"/>
      <c r="C552" s="54" t="str">
        <f>IF(B552="","",VLOOKUP(B552,学生信息汇总!A:E,2,0))</f>
        <v/>
      </c>
      <c r="D552" s="50"/>
      <c r="E552" s="55" t="str">
        <f t="shared" ca="1" si="56"/>
        <v/>
      </c>
      <c r="F552" s="51"/>
      <c r="G552" s="55" t="str">
        <f t="shared" ca="1" si="57"/>
        <v/>
      </c>
      <c r="H552" s="50"/>
      <c r="I552" s="55" t="str">
        <f t="shared" ca="1" si="58"/>
        <v/>
      </c>
      <c r="J552" s="50"/>
      <c r="K552" s="55" t="str">
        <f t="shared" ca="1" si="59"/>
        <v/>
      </c>
      <c r="L552" s="64" t="str">
        <f>IF(B552="","",D552+F552+H552+J552+#REF!+#REF!+#REF!+#REF!+#REF!)</f>
        <v/>
      </c>
      <c r="M552" s="55" t="str">
        <f t="shared" ca="1" si="60"/>
        <v/>
      </c>
    </row>
    <row r="553" spans="1:13" ht="19.95" customHeight="1" x14ac:dyDescent="0.25">
      <c r="A553" s="52"/>
      <c r="B553" s="51"/>
      <c r="C553" s="54" t="str">
        <f>IF(B553="","",VLOOKUP(B553,学生信息汇总!A:E,2,0))</f>
        <v/>
      </c>
      <c r="D553" s="50"/>
      <c r="E553" s="55" t="str">
        <f t="shared" ca="1" si="56"/>
        <v/>
      </c>
      <c r="F553" s="51"/>
      <c r="G553" s="55" t="str">
        <f t="shared" ca="1" si="57"/>
        <v/>
      </c>
      <c r="H553" s="50"/>
      <c r="I553" s="55" t="str">
        <f t="shared" ca="1" si="58"/>
        <v/>
      </c>
      <c r="J553" s="50"/>
      <c r="K553" s="55" t="str">
        <f t="shared" ca="1" si="59"/>
        <v/>
      </c>
      <c r="L553" s="64" t="str">
        <f>IF(B553="","",D553+F553+H553+J553+#REF!+#REF!+#REF!+#REF!+#REF!)</f>
        <v/>
      </c>
      <c r="M553" s="55" t="str">
        <f t="shared" ca="1" si="60"/>
        <v/>
      </c>
    </row>
    <row r="554" spans="1:13" ht="19.95" customHeight="1" x14ac:dyDescent="0.25">
      <c r="A554" s="52"/>
      <c r="B554" s="51"/>
      <c r="C554" s="54" t="str">
        <f>IF(B554="","",VLOOKUP(B554,学生信息汇总!A:E,2,0))</f>
        <v/>
      </c>
      <c r="D554" s="50"/>
      <c r="E554" s="55" t="str">
        <f t="shared" ca="1" si="56"/>
        <v/>
      </c>
      <c r="F554" s="51"/>
      <c r="G554" s="55" t="str">
        <f t="shared" ca="1" si="57"/>
        <v/>
      </c>
      <c r="H554" s="50"/>
      <c r="I554" s="55" t="str">
        <f t="shared" ca="1" si="58"/>
        <v/>
      </c>
      <c r="J554" s="50"/>
      <c r="K554" s="55" t="str">
        <f t="shared" ca="1" si="59"/>
        <v/>
      </c>
      <c r="L554" s="64" t="str">
        <f>IF(B554="","",D554+F554+H554+J554+#REF!+#REF!+#REF!+#REF!+#REF!)</f>
        <v/>
      </c>
      <c r="M554" s="55" t="str">
        <f t="shared" ca="1" si="60"/>
        <v/>
      </c>
    </row>
    <row r="555" spans="1:13" ht="19.95" customHeight="1" x14ac:dyDescent="0.25">
      <c r="A555" s="52"/>
      <c r="B555" s="51"/>
      <c r="C555" s="54" t="str">
        <f>IF(B555="","",VLOOKUP(B555,学生信息汇总!A:E,2,0))</f>
        <v/>
      </c>
      <c r="D555" s="50"/>
      <c r="E555" s="55" t="str">
        <f t="shared" ca="1" si="56"/>
        <v/>
      </c>
      <c r="F555" s="51"/>
      <c r="G555" s="55" t="str">
        <f t="shared" ca="1" si="57"/>
        <v/>
      </c>
      <c r="H555" s="50"/>
      <c r="I555" s="55" t="str">
        <f t="shared" ca="1" si="58"/>
        <v/>
      </c>
      <c r="J555" s="50"/>
      <c r="K555" s="55" t="str">
        <f t="shared" ca="1" si="59"/>
        <v/>
      </c>
      <c r="L555" s="64" t="str">
        <f>IF(B555="","",D555+F555+H555+J555+#REF!+#REF!+#REF!+#REF!+#REF!)</f>
        <v/>
      </c>
      <c r="M555" s="55" t="str">
        <f t="shared" ca="1" si="60"/>
        <v/>
      </c>
    </row>
    <row r="556" spans="1:13" ht="19.95" customHeight="1" x14ac:dyDescent="0.25">
      <c r="A556" s="52"/>
      <c r="B556" s="51"/>
      <c r="C556" s="54" t="str">
        <f>IF(B556="","",VLOOKUP(B556,学生信息汇总!A:E,2,0))</f>
        <v/>
      </c>
      <c r="D556" s="50"/>
      <c r="E556" s="55" t="str">
        <f t="shared" ref="E556:E619" ca="1" si="61">IF(D556="","",RANK(D556,INDIRECT(ADDRESS(MATCH(VLOOKUP(A556,A:A,1,0),A:A,0),6)&amp;":"&amp;ADDRESS((MATCH(VLOOKUP(A556,A:A,1,0),A:A,0)+COUNTIF(A:A,A556)-1),6))))</f>
        <v/>
      </c>
      <c r="F556" s="51"/>
      <c r="G556" s="55" t="str">
        <f t="shared" ref="G556:G619" ca="1" si="62">IF(F556="","",RANK(F556,INDIRECT(ADDRESS(MATCH(VLOOKUP(A556,A:A,1,0),A:A,0),8)&amp;":"&amp;ADDRESS((MATCH(VLOOKUP(A556,A:A,1,0),A:A,0)+COUNTIF(A:A,A556)-1),8))))</f>
        <v/>
      </c>
      <c r="H556" s="50"/>
      <c r="I556" s="55" t="str">
        <f t="shared" ref="I556:I619" ca="1" si="63">IF(H556="","",RANK(H556,INDIRECT(ADDRESS(MATCH(VLOOKUP(A556,A:A,1,0),A:A,0),10)&amp;":"&amp;ADDRESS((MATCH(VLOOKUP(A556,A:A,1,0),A:A,0)+COUNTIF(A:A,A556)-1),10))))</f>
        <v/>
      </c>
      <c r="J556" s="50"/>
      <c r="K556" s="55" t="str">
        <f t="shared" ref="K556:K619" ca="1" si="64">IF(J556="","",RANK(J556,INDIRECT(ADDRESS(MATCH(VLOOKUP(A556,A:A,1,0),A:A,0),12)&amp;":"&amp;ADDRESS((MATCH(VLOOKUP(A556,A:A,1,0),A:A,0)+COUNTIF(A:A,A556)-1),12))))</f>
        <v/>
      </c>
      <c r="L556" s="64" t="str">
        <f>IF(B556="","",D556+F556+H556+J556+#REF!+#REF!+#REF!+#REF!+#REF!)</f>
        <v/>
      </c>
      <c r="M556" s="55" t="str">
        <f t="shared" ref="M556:M619" ca="1" si="65">IF(L556="","",RANK(L556,INDIRECT(ADDRESS(MATCH(VLOOKUP(A556,A:A,1,0),A:A,0),26)&amp;":"&amp;ADDRESS((MATCH(VLOOKUP(A556,A:A,1,0),A:A,0)+COUNTIF(A:A,A556)-1),26))))</f>
        <v/>
      </c>
    </row>
    <row r="557" spans="1:13" ht="19.95" customHeight="1" x14ac:dyDescent="0.25">
      <c r="A557" s="52"/>
      <c r="B557" s="51"/>
      <c r="C557" s="54" t="str">
        <f>IF(B557="","",VLOOKUP(B557,学生信息汇总!A:E,2,0))</f>
        <v/>
      </c>
      <c r="D557" s="50"/>
      <c r="E557" s="55" t="str">
        <f t="shared" ca="1" si="61"/>
        <v/>
      </c>
      <c r="F557" s="51"/>
      <c r="G557" s="55" t="str">
        <f t="shared" ca="1" si="62"/>
        <v/>
      </c>
      <c r="H557" s="50"/>
      <c r="I557" s="55" t="str">
        <f t="shared" ca="1" si="63"/>
        <v/>
      </c>
      <c r="J557" s="50"/>
      <c r="K557" s="55" t="str">
        <f t="shared" ca="1" si="64"/>
        <v/>
      </c>
      <c r="L557" s="64" t="str">
        <f>IF(B557="","",D557+F557+H557+J557+#REF!+#REF!+#REF!+#REF!+#REF!)</f>
        <v/>
      </c>
      <c r="M557" s="55" t="str">
        <f t="shared" ca="1" si="65"/>
        <v/>
      </c>
    </row>
    <row r="558" spans="1:13" ht="19.95" customHeight="1" x14ac:dyDescent="0.25">
      <c r="A558" s="52"/>
      <c r="B558" s="51"/>
      <c r="C558" s="54" t="str">
        <f>IF(B558="","",VLOOKUP(B558,学生信息汇总!A:E,2,0))</f>
        <v/>
      </c>
      <c r="D558" s="50"/>
      <c r="E558" s="55" t="str">
        <f t="shared" ca="1" si="61"/>
        <v/>
      </c>
      <c r="F558" s="51"/>
      <c r="G558" s="55" t="str">
        <f t="shared" ca="1" si="62"/>
        <v/>
      </c>
      <c r="H558" s="50"/>
      <c r="I558" s="55" t="str">
        <f t="shared" ca="1" si="63"/>
        <v/>
      </c>
      <c r="J558" s="50"/>
      <c r="K558" s="55" t="str">
        <f t="shared" ca="1" si="64"/>
        <v/>
      </c>
      <c r="L558" s="64" t="str">
        <f>IF(B558="","",D558+F558+H558+J558+#REF!+#REF!+#REF!+#REF!+#REF!)</f>
        <v/>
      </c>
      <c r="M558" s="55" t="str">
        <f t="shared" ca="1" si="65"/>
        <v/>
      </c>
    </row>
    <row r="559" spans="1:13" ht="19.95" customHeight="1" x14ac:dyDescent="0.25">
      <c r="A559" s="52"/>
      <c r="B559" s="51"/>
      <c r="C559" s="54" t="str">
        <f>IF(B559="","",VLOOKUP(B559,学生信息汇总!A:E,2,0))</f>
        <v/>
      </c>
      <c r="D559" s="50"/>
      <c r="E559" s="55" t="str">
        <f t="shared" ca="1" si="61"/>
        <v/>
      </c>
      <c r="F559" s="51"/>
      <c r="G559" s="55" t="str">
        <f t="shared" ca="1" si="62"/>
        <v/>
      </c>
      <c r="H559" s="50"/>
      <c r="I559" s="55" t="str">
        <f t="shared" ca="1" si="63"/>
        <v/>
      </c>
      <c r="J559" s="50"/>
      <c r="K559" s="55" t="str">
        <f t="shared" ca="1" si="64"/>
        <v/>
      </c>
      <c r="L559" s="64" t="str">
        <f>IF(B559="","",D559+F559+H559+J559+#REF!+#REF!+#REF!+#REF!+#REF!)</f>
        <v/>
      </c>
      <c r="M559" s="55" t="str">
        <f t="shared" ca="1" si="65"/>
        <v/>
      </c>
    </row>
    <row r="560" spans="1:13" ht="19.95" customHeight="1" x14ac:dyDescent="0.25">
      <c r="A560" s="52"/>
      <c r="B560" s="51"/>
      <c r="C560" s="54" t="str">
        <f>IF(B560="","",VLOOKUP(B560,学生信息汇总!A:E,2,0))</f>
        <v/>
      </c>
      <c r="D560" s="50"/>
      <c r="E560" s="55" t="str">
        <f t="shared" ca="1" si="61"/>
        <v/>
      </c>
      <c r="F560" s="51"/>
      <c r="G560" s="55" t="str">
        <f t="shared" ca="1" si="62"/>
        <v/>
      </c>
      <c r="H560" s="50"/>
      <c r="I560" s="55" t="str">
        <f t="shared" ca="1" si="63"/>
        <v/>
      </c>
      <c r="J560" s="50"/>
      <c r="K560" s="55" t="str">
        <f t="shared" ca="1" si="64"/>
        <v/>
      </c>
      <c r="L560" s="64" t="str">
        <f>IF(B560="","",D560+F560+H560+J560+#REF!+#REF!+#REF!+#REF!+#REF!)</f>
        <v/>
      </c>
      <c r="M560" s="55" t="str">
        <f t="shared" ca="1" si="65"/>
        <v/>
      </c>
    </row>
    <row r="561" spans="1:13" ht="19.95" customHeight="1" x14ac:dyDescent="0.25">
      <c r="A561" s="52"/>
      <c r="B561" s="51"/>
      <c r="C561" s="54" t="str">
        <f>IF(B561="","",VLOOKUP(B561,学生信息汇总!A:E,2,0))</f>
        <v/>
      </c>
      <c r="D561" s="50"/>
      <c r="E561" s="55" t="str">
        <f t="shared" ca="1" si="61"/>
        <v/>
      </c>
      <c r="F561" s="51"/>
      <c r="G561" s="55" t="str">
        <f t="shared" ca="1" si="62"/>
        <v/>
      </c>
      <c r="H561" s="50"/>
      <c r="I561" s="55" t="str">
        <f t="shared" ca="1" si="63"/>
        <v/>
      </c>
      <c r="J561" s="50"/>
      <c r="K561" s="55" t="str">
        <f t="shared" ca="1" si="64"/>
        <v/>
      </c>
      <c r="L561" s="64" t="str">
        <f>IF(B561="","",D561+F561+H561+J561+#REF!+#REF!+#REF!+#REF!+#REF!)</f>
        <v/>
      </c>
      <c r="M561" s="55" t="str">
        <f t="shared" ca="1" si="65"/>
        <v/>
      </c>
    </row>
    <row r="562" spans="1:13" ht="19.95" customHeight="1" x14ac:dyDescent="0.25">
      <c r="A562" s="52"/>
      <c r="B562" s="51"/>
      <c r="C562" s="54" t="str">
        <f>IF(B562="","",VLOOKUP(B562,学生信息汇总!A:E,2,0))</f>
        <v/>
      </c>
      <c r="D562" s="50"/>
      <c r="E562" s="55" t="str">
        <f t="shared" ca="1" si="61"/>
        <v/>
      </c>
      <c r="F562" s="51"/>
      <c r="G562" s="55" t="str">
        <f t="shared" ca="1" si="62"/>
        <v/>
      </c>
      <c r="H562" s="50"/>
      <c r="I562" s="55" t="str">
        <f t="shared" ca="1" si="63"/>
        <v/>
      </c>
      <c r="J562" s="50"/>
      <c r="K562" s="55" t="str">
        <f t="shared" ca="1" si="64"/>
        <v/>
      </c>
      <c r="L562" s="64" t="str">
        <f>IF(B562="","",D562+F562+H562+J562+#REF!+#REF!+#REF!+#REF!+#REF!)</f>
        <v/>
      </c>
      <c r="M562" s="55" t="str">
        <f t="shared" ca="1" si="65"/>
        <v/>
      </c>
    </row>
    <row r="563" spans="1:13" ht="19.95" customHeight="1" x14ac:dyDescent="0.25">
      <c r="A563" s="52"/>
      <c r="B563" s="51"/>
      <c r="C563" s="54" t="str">
        <f>IF(B563="","",VLOOKUP(B563,学生信息汇总!A:E,2,0))</f>
        <v/>
      </c>
      <c r="D563" s="50"/>
      <c r="E563" s="55" t="str">
        <f t="shared" ca="1" si="61"/>
        <v/>
      </c>
      <c r="F563" s="51"/>
      <c r="G563" s="55" t="str">
        <f t="shared" ca="1" si="62"/>
        <v/>
      </c>
      <c r="H563" s="50"/>
      <c r="I563" s="55" t="str">
        <f t="shared" ca="1" si="63"/>
        <v/>
      </c>
      <c r="J563" s="50"/>
      <c r="K563" s="55" t="str">
        <f t="shared" ca="1" si="64"/>
        <v/>
      </c>
      <c r="L563" s="64" t="str">
        <f>IF(B563="","",D563+F563+H563+J563+#REF!+#REF!+#REF!+#REF!+#REF!)</f>
        <v/>
      </c>
      <c r="M563" s="55" t="str">
        <f t="shared" ca="1" si="65"/>
        <v/>
      </c>
    </row>
    <row r="564" spans="1:13" ht="19.95" customHeight="1" x14ac:dyDescent="0.25">
      <c r="A564" s="52"/>
      <c r="B564" s="51"/>
      <c r="C564" s="54" t="str">
        <f>IF(B564="","",VLOOKUP(B564,学生信息汇总!A:E,2,0))</f>
        <v/>
      </c>
      <c r="D564" s="50"/>
      <c r="E564" s="55" t="str">
        <f t="shared" ca="1" si="61"/>
        <v/>
      </c>
      <c r="F564" s="51"/>
      <c r="G564" s="55" t="str">
        <f t="shared" ca="1" si="62"/>
        <v/>
      </c>
      <c r="H564" s="50"/>
      <c r="I564" s="55" t="str">
        <f t="shared" ca="1" si="63"/>
        <v/>
      </c>
      <c r="J564" s="50"/>
      <c r="K564" s="55" t="str">
        <f t="shared" ca="1" si="64"/>
        <v/>
      </c>
      <c r="L564" s="64" t="str">
        <f>IF(B564="","",D564+F564+H564+J564+#REF!+#REF!+#REF!+#REF!+#REF!)</f>
        <v/>
      </c>
      <c r="M564" s="55" t="str">
        <f t="shared" ca="1" si="65"/>
        <v/>
      </c>
    </row>
    <row r="565" spans="1:13" ht="19.95" customHeight="1" x14ac:dyDescent="0.25">
      <c r="A565" s="52"/>
      <c r="B565" s="51"/>
      <c r="C565" s="54" t="str">
        <f>IF(B565="","",VLOOKUP(B565,学生信息汇总!A:E,2,0))</f>
        <v/>
      </c>
      <c r="D565" s="50"/>
      <c r="E565" s="55" t="str">
        <f t="shared" ca="1" si="61"/>
        <v/>
      </c>
      <c r="F565" s="51"/>
      <c r="G565" s="55" t="str">
        <f t="shared" ca="1" si="62"/>
        <v/>
      </c>
      <c r="H565" s="50"/>
      <c r="I565" s="55" t="str">
        <f t="shared" ca="1" si="63"/>
        <v/>
      </c>
      <c r="J565" s="50"/>
      <c r="K565" s="55" t="str">
        <f t="shared" ca="1" si="64"/>
        <v/>
      </c>
      <c r="L565" s="64" t="str">
        <f>IF(B565="","",D565+F565+H565+J565+#REF!+#REF!+#REF!+#REF!+#REF!)</f>
        <v/>
      </c>
      <c r="M565" s="55" t="str">
        <f t="shared" ca="1" si="65"/>
        <v/>
      </c>
    </row>
    <row r="566" spans="1:13" ht="19.95" customHeight="1" x14ac:dyDescent="0.25">
      <c r="A566" s="52"/>
      <c r="B566" s="51"/>
      <c r="C566" s="54" t="str">
        <f>IF(B566="","",VLOOKUP(B566,学生信息汇总!A:E,2,0))</f>
        <v/>
      </c>
      <c r="D566" s="50"/>
      <c r="E566" s="55" t="str">
        <f t="shared" ca="1" si="61"/>
        <v/>
      </c>
      <c r="F566" s="51"/>
      <c r="G566" s="55" t="str">
        <f t="shared" ca="1" si="62"/>
        <v/>
      </c>
      <c r="H566" s="50"/>
      <c r="I566" s="55" t="str">
        <f t="shared" ca="1" si="63"/>
        <v/>
      </c>
      <c r="J566" s="50"/>
      <c r="K566" s="55" t="str">
        <f t="shared" ca="1" si="64"/>
        <v/>
      </c>
      <c r="L566" s="64" t="str">
        <f>IF(B566="","",D566+F566+H566+J566+#REF!+#REF!+#REF!+#REF!+#REF!)</f>
        <v/>
      </c>
      <c r="M566" s="55" t="str">
        <f t="shared" ca="1" si="65"/>
        <v/>
      </c>
    </row>
    <row r="567" spans="1:13" ht="19.95" customHeight="1" x14ac:dyDescent="0.25">
      <c r="A567" s="52"/>
      <c r="B567" s="51"/>
      <c r="C567" s="54" t="str">
        <f>IF(B567="","",VLOOKUP(B567,学生信息汇总!A:E,2,0))</f>
        <v/>
      </c>
      <c r="D567" s="50"/>
      <c r="E567" s="55" t="str">
        <f t="shared" ca="1" si="61"/>
        <v/>
      </c>
      <c r="F567" s="51"/>
      <c r="G567" s="55" t="str">
        <f t="shared" ca="1" si="62"/>
        <v/>
      </c>
      <c r="H567" s="50"/>
      <c r="I567" s="55" t="str">
        <f t="shared" ca="1" si="63"/>
        <v/>
      </c>
      <c r="J567" s="50"/>
      <c r="K567" s="55" t="str">
        <f t="shared" ca="1" si="64"/>
        <v/>
      </c>
      <c r="L567" s="64" t="str">
        <f>IF(B567="","",D567+F567+H567+J567+#REF!+#REF!+#REF!+#REF!+#REF!)</f>
        <v/>
      </c>
      <c r="M567" s="55" t="str">
        <f t="shared" ca="1" si="65"/>
        <v/>
      </c>
    </row>
    <row r="568" spans="1:13" ht="19.95" customHeight="1" x14ac:dyDescent="0.25">
      <c r="A568" s="52"/>
      <c r="B568" s="51"/>
      <c r="C568" s="54" t="str">
        <f>IF(B568="","",VLOOKUP(B568,学生信息汇总!A:E,2,0))</f>
        <v/>
      </c>
      <c r="D568" s="50"/>
      <c r="E568" s="55" t="str">
        <f t="shared" ca="1" si="61"/>
        <v/>
      </c>
      <c r="F568" s="51"/>
      <c r="G568" s="55" t="str">
        <f t="shared" ca="1" si="62"/>
        <v/>
      </c>
      <c r="H568" s="50"/>
      <c r="I568" s="55" t="str">
        <f t="shared" ca="1" si="63"/>
        <v/>
      </c>
      <c r="J568" s="50"/>
      <c r="K568" s="55" t="str">
        <f t="shared" ca="1" si="64"/>
        <v/>
      </c>
      <c r="L568" s="64" t="str">
        <f>IF(B568="","",D568+F568+H568+J568+#REF!+#REF!+#REF!+#REF!+#REF!)</f>
        <v/>
      </c>
      <c r="M568" s="55" t="str">
        <f t="shared" ca="1" si="65"/>
        <v/>
      </c>
    </row>
    <row r="569" spans="1:13" ht="19.95" customHeight="1" x14ac:dyDescent="0.25">
      <c r="A569" s="52"/>
      <c r="B569" s="51"/>
      <c r="C569" s="54" t="str">
        <f>IF(B569="","",VLOOKUP(B569,学生信息汇总!A:E,2,0))</f>
        <v/>
      </c>
      <c r="D569" s="50"/>
      <c r="E569" s="55" t="str">
        <f t="shared" ca="1" si="61"/>
        <v/>
      </c>
      <c r="F569" s="51"/>
      <c r="G569" s="55" t="str">
        <f t="shared" ca="1" si="62"/>
        <v/>
      </c>
      <c r="H569" s="50"/>
      <c r="I569" s="55" t="str">
        <f t="shared" ca="1" si="63"/>
        <v/>
      </c>
      <c r="J569" s="50"/>
      <c r="K569" s="55" t="str">
        <f t="shared" ca="1" si="64"/>
        <v/>
      </c>
      <c r="L569" s="64" t="str">
        <f>IF(B569="","",D569+F569+H569+J569+#REF!+#REF!+#REF!+#REF!+#REF!)</f>
        <v/>
      </c>
      <c r="M569" s="55" t="str">
        <f t="shared" ca="1" si="65"/>
        <v/>
      </c>
    </row>
    <row r="570" spans="1:13" ht="19.95" customHeight="1" x14ac:dyDescent="0.25">
      <c r="A570" s="52"/>
      <c r="B570" s="51"/>
      <c r="C570" s="54" t="str">
        <f>IF(B570="","",VLOOKUP(B570,学生信息汇总!A:E,2,0))</f>
        <v/>
      </c>
      <c r="D570" s="50"/>
      <c r="E570" s="55" t="str">
        <f t="shared" ca="1" si="61"/>
        <v/>
      </c>
      <c r="F570" s="51"/>
      <c r="G570" s="55" t="str">
        <f t="shared" ca="1" si="62"/>
        <v/>
      </c>
      <c r="H570" s="50"/>
      <c r="I570" s="55" t="str">
        <f t="shared" ca="1" si="63"/>
        <v/>
      </c>
      <c r="J570" s="50"/>
      <c r="K570" s="55" t="str">
        <f t="shared" ca="1" si="64"/>
        <v/>
      </c>
      <c r="L570" s="64" t="str">
        <f>IF(B570="","",D570+F570+H570+J570+#REF!+#REF!+#REF!+#REF!+#REF!)</f>
        <v/>
      </c>
      <c r="M570" s="55" t="str">
        <f t="shared" ca="1" si="65"/>
        <v/>
      </c>
    </row>
    <row r="571" spans="1:13" ht="19.95" customHeight="1" x14ac:dyDescent="0.25">
      <c r="A571" s="52"/>
      <c r="B571" s="51"/>
      <c r="C571" s="54" t="str">
        <f>IF(B571="","",VLOOKUP(B571,学生信息汇总!A:E,2,0))</f>
        <v/>
      </c>
      <c r="D571" s="50"/>
      <c r="E571" s="55" t="str">
        <f t="shared" ca="1" si="61"/>
        <v/>
      </c>
      <c r="F571" s="51"/>
      <c r="G571" s="55" t="str">
        <f t="shared" ca="1" si="62"/>
        <v/>
      </c>
      <c r="H571" s="50"/>
      <c r="I571" s="55" t="str">
        <f t="shared" ca="1" si="63"/>
        <v/>
      </c>
      <c r="J571" s="50"/>
      <c r="K571" s="55" t="str">
        <f t="shared" ca="1" si="64"/>
        <v/>
      </c>
      <c r="L571" s="64" t="str">
        <f>IF(B571="","",D571+F571+H571+J571+#REF!+#REF!+#REF!+#REF!+#REF!)</f>
        <v/>
      </c>
      <c r="M571" s="55" t="str">
        <f t="shared" ca="1" si="65"/>
        <v/>
      </c>
    </row>
    <row r="572" spans="1:13" ht="19.95" customHeight="1" x14ac:dyDescent="0.25">
      <c r="A572" s="52"/>
      <c r="B572" s="51"/>
      <c r="C572" s="54" t="str">
        <f>IF(B572="","",VLOOKUP(B572,学生信息汇总!A:E,2,0))</f>
        <v/>
      </c>
      <c r="D572" s="50"/>
      <c r="E572" s="55" t="str">
        <f t="shared" ca="1" si="61"/>
        <v/>
      </c>
      <c r="F572" s="51"/>
      <c r="G572" s="55" t="str">
        <f t="shared" ca="1" si="62"/>
        <v/>
      </c>
      <c r="H572" s="50"/>
      <c r="I572" s="55" t="str">
        <f t="shared" ca="1" si="63"/>
        <v/>
      </c>
      <c r="J572" s="50"/>
      <c r="K572" s="55" t="str">
        <f t="shared" ca="1" si="64"/>
        <v/>
      </c>
      <c r="L572" s="64" t="str">
        <f>IF(B572="","",D572+F572+H572+J572+#REF!+#REF!+#REF!+#REF!+#REF!)</f>
        <v/>
      </c>
      <c r="M572" s="55" t="str">
        <f t="shared" ca="1" si="65"/>
        <v/>
      </c>
    </row>
    <row r="573" spans="1:13" ht="19.95" customHeight="1" x14ac:dyDescent="0.25">
      <c r="A573" s="52"/>
      <c r="B573" s="51"/>
      <c r="C573" s="54" t="str">
        <f>IF(B573="","",VLOOKUP(B573,学生信息汇总!A:E,2,0))</f>
        <v/>
      </c>
      <c r="D573" s="50"/>
      <c r="E573" s="55" t="str">
        <f t="shared" ca="1" si="61"/>
        <v/>
      </c>
      <c r="F573" s="51"/>
      <c r="G573" s="55" t="str">
        <f t="shared" ca="1" si="62"/>
        <v/>
      </c>
      <c r="H573" s="50"/>
      <c r="I573" s="55" t="str">
        <f t="shared" ca="1" si="63"/>
        <v/>
      </c>
      <c r="J573" s="50"/>
      <c r="K573" s="55" t="str">
        <f t="shared" ca="1" si="64"/>
        <v/>
      </c>
      <c r="L573" s="64" t="str">
        <f>IF(B573="","",D573+F573+H573+J573+#REF!+#REF!+#REF!+#REF!+#REF!)</f>
        <v/>
      </c>
      <c r="M573" s="55" t="str">
        <f t="shared" ca="1" si="65"/>
        <v/>
      </c>
    </row>
    <row r="574" spans="1:13" ht="19.95" customHeight="1" x14ac:dyDescent="0.25">
      <c r="A574" s="52"/>
      <c r="B574" s="51"/>
      <c r="C574" s="54" t="str">
        <f>IF(B574="","",VLOOKUP(B574,学生信息汇总!A:E,2,0))</f>
        <v/>
      </c>
      <c r="D574" s="50"/>
      <c r="E574" s="55" t="str">
        <f t="shared" ca="1" si="61"/>
        <v/>
      </c>
      <c r="F574" s="51"/>
      <c r="G574" s="55" t="str">
        <f t="shared" ca="1" si="62"/>
        <v/>
      </c>
      <c r="H574" s="50"/>
      <c r="I574" s="55" t="str">
        <f t="shared" ca="1" si="63"/>
        <v/>
      </c>
      <c r="J574" s="50"/>
      <c r="K574" s="55" t="str">
        <f t="shared" ca="1" si="64"/>
        <v/>
      </c>
      <c r="L574" s="64" t="str">
        <f>IF(B574="","",D574+F574+H574+J574+#REF!+#REF!+#REF!+#REF!+#REF!)</f>
        <v/>
      </c>
      <c r="M574" s="55" t="str">
        <f t="shared" ca="1" si="65"/>
        <v/>
      </c>
    </row>
    <row r="575" spans="1:13" ht="19.95" customHeight="1" x14ac:dyDescent="0.25">
      <c r="A575" s="52"/>
      <c r="B575" s="51"/>
      <c r="C575" s="54" t="str">
        <f>IF(B575="","",VLOOKUP(B575,学生信息汇总!A:E,2,0))</f>
        <v/>
      </c>
      <c r="D575" s="50"/>
      <c r="E575" s="55" t="str">
        <f t="shared" ca="1" si="61"/>
        <v/>
      </c>
      <c r="F575" s="51"/>
      <c r="G575" s="55" t="str">
        <f t="shared" ca="1" si="62"/>
        <v/>
      </c>
      <c r="H575" s="50"/>
      <c r="I575" s="55" t="str">
        <f t="shared" ca="1" si="63"/>
        <v/>
      </c>
      <c r="J575" s="50"/>
      <c r="K575" s="55" t="str">
        <f t="shared" ca="1" si="64"/>
        <v/>
      </c>
      <c r="L575" s="64" t="str">
        <f>IF(B575="","",D575+F575+H575+J575+#REF!+#REF!+#REF!+#REF!+#REF!)</f>
        <v/>
      </c>
      <c r="M575" s="55" t="str">
        <f t="shared" ca="1" si="65"/>
        <v/>
      </c>
    </row>
    <row r="576" spans="1:13" ht="19.95" customHeight="1" x14ac:dyDescent="0.25">
      <c r="A576" s="52"/>
      <c r="B576" s="51"/>
      <c r="C576" s="54" t="str">
        <f>IF(B576="","",VLOOKUP(B576,学生信息汇总!A:E,2,0))</f>
        <v/>
      </c>
      <c r="D576" s="50"/>
      <c r="E576" s="55" t="str">
        <f t="shared" ca="1" si="61"/>
        <v/>
      </c>
      <c r="F576" s="51"/>
      <c r="G576" s="55" t="str">
        <f t="shared" ca="1" si="62"/>
        <v/>
      </c>
      <c r="H576" s="50"/>
      <c r="I576" s="55" t="str">
        <f t="shared" ca="1" si="63"/>
        <v/>
      </c>
      <c r="J576" s="50"/>
      <c r="K576" s="55" t="str">
        <f t="shared" ca="1" si="64"/>
        <v/>
      </c>
      <c r="L576" s="64" t="str">
        <f>IF(B576="","",D576+F576+H576+J576+#REF!+#REF!+#REF!+#REF!+#REF!)</f>
        <v/>
      </c>
      <c r="M576" s="55" t="str">
        <f t="shared" ca="1" si="65"/>
        <v/>
      </c>
    </row>
    <row r="577" spans="1:13" ht="19.95" customHeight="1" x14ac:dyDescent="0.25">
      <c r="A577" s="52"/>
      <c r="B577" s="51"/>
      <c r="C577" s="54" t="str">
        <f>IF(B577="","",VLOOKUP(B577,学生信息汇总!A:E,2,0))</f>
        <v/>
      </c>
      <c r="D577" s="50"/>
      <c r="E577" s="55" t="str">
        <f t="shared" ca="1" si="61"/>
        <v/>
      </c>
      <c r="F577" s="51"/>
      <c r="G577" s="55" t="str">
        <f t="shared" ca="1" si="62"/>
        <v/>
      </c>
      <c r="H577" s="50"/>
      <c r="I577" s="55" t="str">
        <f t="shared" ca="1" si="63"/>
        <v/>
      </c>
      <c r="J577" s="50"/>
      <c r="K577" s="55" t="str">
        <f t="shared" ca="1" si="64"/>
        <v/>
      </c>
      <c r="L577" s="64" t="str">
        <f>IF(B577="","",D577+F577+H577+J577+#REF!+#REF!+#REF!+#REF!+#REF!)</f>
        <v/>
      </c>
      <c r="M577" s="55" t="str">
        <f t="shared" ca="1" si="65"/>
        <v/>
      </c>
    </row>
    <row r="578" spans="1:13" ht="19.95" customHeight="1" x14ac:dyDescent="0.25">
      <c r="A578" s="52"/>
      <c r="B578" s="51"/>
      <c r="C578" s="54" t="str">
        <f>IF(B578="","",VLOOKUP(B578,学生信息汇总!A:E,2,0))</f>
        <v/>
      </c>
      <c r="D578" s="50"/>
      <c r="E578" s="55" t="str">
        <f t="shared" ca="1" si="61"/>
        <v/>
      </c>
      <c r="F578" s="51"/>
      <c r="G578" s="55" t="str">
        <f t="shared" ca="1" si="62"/>
        <v/>
      </c>
      <c r="H578" s="50"/>
      <c r="I578" s="55" t="str">
        <f t="shared" ca="1" si="63"/>
        <v/>
      </c>
      <c r="J578" s="50"/>
      <c r="K578" s="55" t="str">
        <f t="shared" ca="1" si="64"/>
        <v/>
      </c>
      <c r="L578" s="64" t="str">
        <f>IF(B578="","",D578+F578+H578+J578+#REF!+#REF!+#REF!+#REF!+#REF!)</f>
        <v/>
      </c>
      <c r="M578" s="55" t="str">
        <f t="shared" ca="1" si="65"/>
        <v/>
      </c>
    </row>
    <row r="579" spans="1:13" ht="19.95" customHeight="1" x14ac:dyDescent="0.25">
      <c r="A579" s="52"/>
      <c r="B579" s="51"/>
      <c r="C579" s="54" t="str">
        <f>IF(B579="","",VLOOKUP(B579,学生信息汇总!A:E,2,0))</f>
        <v/>
      </c>
      <c r="D579" s="50"/>
      <c r="E579" s="55" t="str">
        <f t="shared" ca="1" si="61"/>
        <v/>
      </c>
      <c r="F579" s="51"/>
      <c r="G579" s="55" t="str">
        <f t="shared" ca="1" si="62"/>
        <v/>
      </c>
      <c r="H579" s="50"/>
      <c r="I579" s="55" t="str">
        <f t="shared" ca="1" si="63"/>
        <v/>
      </c>
      <c r="J579" s="50"/>
      <c r="K579" s="55" t="str">
        <f t="shared" ca="1" si="64"/>
        <v/>
      </c>
      <c r="L579" s="64" t="str">
        <f>IF(B579="","",D579+F579+H579+J579+#REF!+#REF!+#REF!+#REF!+#REF!)</f>
        <v/>
      </c>
      <c r="M579" s="55" t="str">
        <f t="shared" ca="1" si="65"/>
        <v/>
      </c>
    </row>
    <row r="580" spans="1:13" ht="19.95" customHeight="1" x14ac:dyDescent="0.25">
      <c r="A580" s="52"/>
      <c r="B580" s="51"/>
      <c r="C580" s="54" t="str">
        <f>IF(B580="","",VLOOKUP(B580,学生信息汇总!A:E,2,0))</f>
        <v/>
      </c>
      <c r="D580" s="50"/>
      <c r="E580" s="55" t="str">
        <f t="shared" ca="1" si="61"/>
        <v/>
      </c>
      <c r="F580" s="51"/>
      <c r="G580" s="55" t="str">
        <f t="shared" ca="1" si="62"/>
        <v/>
      </c>
      <c r="H580" s="50"/>
      <c r="I580" s="55" t="str">
        <f t="shared" ca="1" si="63"/>
        <v/>
      </c>
      <c r="J580" s="50"/>
      <c r="K580" s="55" t="str">
        <f t="shared" ca="1" si="64"/>
        <v/>
      </c>
      <c r="L580" s="64" t="str">
        <f>IF(B580="","",D580+F580+H580+J580+#REF!+#REF!+#REF!+#REF!+#REF!)</f>
        <v/>
      </c>
      <c r="M580" s="55" t="str">
        <f t="shared" ca="1" si="65"/>
        <v/>
      </c>
    </row>
    <row r="581" spans="1:13" ht="19.95" customHeight="1" x14ac:dyDescent="0.25">
      <c r="A581" s="52"/>
      <c r="B581" s="51"/>
      <c r="C581" s="54" t="str">
        <f>IF(B581="","",VLOOKUP(B581,学生信息汇总!A:E,2,0))</f>
        <v/>
      </c>
      <c r="D581" s="50"/>
      <c r="E581" s="55" t="str">
        <f t="shared" ca="1" si="61"/>
        <v/>
      </c>
      <c r="F581" s="51"/>
      <c r="G581" s="55" t="str">
        <f t="shared" ca="1" si="62"/>
        <v/>
      </c>
      <c r="H581" s="50"/>
      <c r="I581" s="55" t="str">
        <f t="shared" ca="1" si="63"/>
        <v/>
      </c>
      <c r="J581" s="50"/>
      <c r="K581" s="55" t="str">
        <f t="shared" ca="1" si="64"/>
        <v/>
      </c>
      <c r="L581" s="64" t="str">
        <f>IF(B581="","",D581+F581+H581+J581+#REF!+#REF!+#REF!+#REF!+#REF!)</f>
        <v/>
      </c>
      <c r="M581" s="55" t="str">
        <f t="shared" ca="1" si="65"/>
        <v/>
      </c>
    </row>
    <row r="582" spans="1:13" ht="19.95" customHeight="1" x14ac:dyDescent="0.25">
      <c r="A582" s="52"/>
      <c r="B582" s="51"/>
      <c r="C582" s="54" t="str">
        <f>IF(B582="","",VLOOKUP(B582,学生信息汇总!A:E,2,0))</f>
        <v/>
      </c>
      <c r="D582" s="50"/>
      <c r="E582" s="55" t="str">
        <f t="shared" ca="1" si="61"/>
        <v/>
      </c>
      <c r="F582" s="51"/>
      <c r="G582" s="55" t="str">
        <f t="shared" ca="1" si="62"/>
        <v/>
      </c>
      <c r="H582" s="50"/>
      <c r="I582" s="55" t="str">
        <f t="shared" ca="1" si="63"/>
        <v/>
      </c>
      <c r="J582" s="50"/>
      <c r="K582" s="55" t="str">
        <f t="shared" ca="1" si="64"/>
        <v/>
      </c>
      <c r="L582" s="64" t="str">
        <f>IF(B582="","",D582+F582+H582+J582+#REF!+#REF!+#REF!+#REF!+#REF!)</f>
        <v/>
      </c>
      <c r="M582" s="55" t="str">
        <f t="shared" ca="1" si="65"/>
        <v/>
      </c>
    </row>
    <row r="583" spans="1:13" ht="19.95" customHeight="1" x14ac:dyDescent="0.25">
      <c r="A583" s="52"/>
      <c r="B583" s="51"/>
      <c r="C583" s="54" t="str">
        <f>IF(B583="","",VLOOKUP(B583,学生信息汇总!A:E,2,0))</f>
        <v/>
      </c>
      <c r="D583" s="50"/>
      <c r="E583" s="55" t="str">
        <f t="shared" ca="1" si="61"/>
        <v/>
      </c>
      <c r="F583" s="51"/>
      <c r="G583" s="55" t="str">
        <f t="shared" ca="1" si="62"/>
        <v/>
      </c>
      <c r="H583" s="50"/>
      <c r="I583" s="55" t="str">
        <f t="shared" ca="1" si="63"/>
        <v/>
      </c>
      <c r="J583" s="50"/>
      <c r="K583" s="55" t="str">
        <f t="shared" ca="1" si="64"/>
        <v/>
      </c>
      <c r="L583" s="64" t="str">
        <f>IF(B583="","",D583+F583+H583+J583+#REF!+#REF!+#REF!+#REF!+#REF!)</f>
        <v/>
      </c>
      <c r="M583" s="55" t="str">
        <f t="shared" ca="1" si="65"/>
        <v/>
      </c>
    </row>
    <row r="584" spans="1:13" ht="19.95" customHeight="1" x14ac:dyDescent="0.25">
      <c r="A584" s="52"/>
      <c r="B584" s="51"/>
      <c r="C584" s="54" t="str">
        <f>IF(B584="","",VLOOKUP(B584,学生信息汇总!A:E,2,0))</f>
        <v/>
      </c>
      <c r="D584" s="50"/>
      <c r="E584" s="55" t="str">
        <f t="shared" ca="1" si="61"/>
        <v/>
      </c>
      <c r="F584" s="51"/>
      <c r="G584" s="55" t="str">
        <f t="shared" ca="1" si="62"/>
        <v/>
      </c>
      <c r="H584" s="50"/>
      <c r="I584" s="55" t="str">
        <f t="shared" ca="1" si="63"/>
        <v/>
      </c>
      <c r="J584" s="50"/>
      <c r="K584" s="55" t="str">
        <f t="shared" ca="1" si="64"/>
        <v/>
      </c>
      <c r="L584" s="64" t="str">
        <f>IF(B584="","",D584+F584+H584+J584+#REF!+#REF!+#REF!+#REF!+#REF!)</f>
        <v/>
      </c>
      <c r="M584" s="55" t="str">
        <f t="shared" ca="1" si="65"/>
        <v/>
      </c>
    </row>
    <row r="585" spans="1:13" ht="19.95" customHeight="1" x14ac:dyDescent="0.25">
      <c r="A585" s="52"/>
      <c r="B585" s="51"/>
      <c r="C585" s="54" t="str">
        <f>IF(B585="","",VLOOKUP(B585,学生信息汇总!A:E,2,0))</f>
        <v/>
      </c>
      <c r="D585" s="50"/>
      <c r="E585" s="55" t="str">
        <f t="shared" ca="1" si="61"/>
        <v/>
      </c>
      <c r="F585" s="51"/>
      <c r="G585" s="55" t="str">
        <f t="shared" ca="1" si="62"/>
        <v/>
      </c>
      <c r="H585" s="50"/>
      <c r="I585" s="55" t="str">
        <f t="shared" ca="1" si="63"/>
        <v/>
      </c>
      <c r="J585" s="50"/>
      <c r="K585" s="55" t="str">
        <f t="shared" ca="1" si="64"/>
        <v/>
      </c>
      <c r="L585" s="64" t="str">
        <f>IF(B585="","",D585+F585+H585+J585+#REF!+#REF!+#REF!+#REF!+#REF!)</f>
        <v/>
      </c>
      <c r="M585" s="55" t="str">
        <f t="shared" ca="1" si="65"/>
        <v/>
      </c>
    </row>
    <row r="586" spans="1:13" ht="19.95" customHeight="1" x14ac:dyDescent="0.25">
      <c r="A586" s="52"/>
      <c r="B586" s="51"/>
      <c r="C586" s="54" t="str">
        <f>IF(B586="","",VLOOKUP(B586,学生信息汇总!A:E,2,0))</f>
        <v/>
      </c>
      <c r="D586" s="50"/>
      <c r="E586" s="55" t="str">
        <f t="shared" ca="1" si="61"/>
        <v/>
      </c>
      <c r="F586" s="51"/>
      <c r="G586" s="55" t="str">
        <f t="shared" ca="1" si="62"/>
        <v/>
      </c>
      <c r="H586" s="50"/>
      <c r="I586" s="55" t="str">
        <f t="shared" ca="1" si="63"/>
        <v/>
      </c>
      <c r="J586" s="50"/>
      <c r="K586" s="55" t="str">
        <f t="shared" ca="1" si="64"/>
        <v/>
      </c>
      <c r="L586" s="64" t="str">
        <f>IF(B586="","",D586+F586+H586+J586+#REF!+#REF!+#REF!+#REF!+#REF!)</f>
        <v/>
      </c>
      <c r="M586" s="55" t="str">
        <f t="shared" ca="1" si="65"/>
        <v/>
      </c>
    </row>
    <row r="587" spans="1:13" ht="19.95" customHeight="1" x14ac:dyDescent="0.25">
      <c r="A587" s="52"/>
      <c r="B587" s="51"/>
      <c r="C587" s="54" t="str">
        <f>IF(B587="","",VLOOKUP(B587,学生信息汇总!A:E,2,0))</f>
        <v/>
      </c>
      <c r="D587" s="50"/>
      <c r="E587" s="55" t="str">
        <f t="shared" ca="1" si="61"/>
        <v/>
      </c>
      <c r="F587" s="51"/>
      <c r="G587" s="55" t="str">
        <f t="shared" ca="1" si="62"/>
        <v/>
      </c>
      <c r="H587" s="50"/>
      <c r="I587" s="55" t="str">
        <f t="shared" ca="1" si="63"/>
        <v/>
      </c>
      <c r="J587" s="50"/>
      <c r="K587" s="55" t="str">
        <f t="shared" ca="1" si="64"/>
        <v/>
      </c>
      <c r="L587" s="64" t="str">
        <f>IF(B587="","",D587+F587+H587+J587+#REF!+#REF!+#REF!+#REF!+#REF!)</f>
        <v/>
      </c>
      <c r="M587" s="55" t="str">
        <f t="shared" ca="1" si="65"/>
        <v/>
      </c>
    </row>
    <row r="588" spans="1:13" ht="19.95" customHeight="1" x14ac:dyDescent="0.25">
      <c r="A588" s="52"/>
      <c r="B588" s="51"/>
      <c r="C588" s="54" t="str">
        <f>IF(B588="","",VLOOKUP(B588,学生信息汇总!A:E,2,0))</f>
        <v/>
      </c>
      <c r="D588" s="50"/>
      <c r="E588" s="55" t="str">
        <f t="shared" ca="1" si="61"/>
        <v/>
      </c>
      <c r="F588" s="51"/>
      <c r="G588" s="55" t="str">
        <f t="shared" ca="1" si="62"/>
        <v/>
      </c>
      <c r="H588" s="50"/>
      <c r="I588" s="55" t="str">
        <f t="shared" ca="1" si="63"/>
        <v/>
      </c>
      <c r="J588" s="50"/>
      <c r="K588" s="55" t="str">
        <f t="shared" ca="1" si="64"/>
        <v/>
      </c>
      <c r="L588" s="64" t="str">
        <f>IF(B588="","",D588+F588+H588+J588+#REF!+#REF!+#REF!+#REF!+#REF!)</f>
        <v/>
      </c>
      <c r="M588" s="55" t="str">
        <f t="shared" ca="1" si="65"/>
        <v/>
      </c>
    </row>
    <row r="589" spans="1:13" ht="19.95" customHeight="1" x14ac:dyDescent="0.25">
      <c r="A589" s="52"/>
      <c r="B589" s="51"/>
      <c r="C589" s="54" t="str">
        <f>IF(B589="","",VLOOKUP(B589,学生信息汇总!A:E,2,0))</f>
        <v/>
      </c>
      <c r="D589" s="50"/>
      <c r="E589" s="55" t="str">
        <f t="shared" ca="1" si="61"/>
        <v/>
      </c>
      <c r="F589" s="51"/>
      <c r="G589" s="55" t="str">
        <f t="shared" ca="1" si="62"/>
        <v/>
      </c>
      <c r="H589" s="50"/>
      <c r="I589" s="55" t="str">
        <f t="shared" ca="1" si="63"/>
        <v/>
      </c>
      <c r="J589" s="50"/>
      <c r="K589" s="55" t="str">
        <f t="shared" ca="1" si="64"/>
        <v/>
      </c>
      <c r="L589" s="64" t="str">
        <f>IF(B589="","",D589+F589+H589+J589+#REF!+#REF!+#REF!+#REF!+#REF!)</f>
        <v/>
      </c>
      <c r="M589" s="55" t="str">
        <f t="shared" ca="1" si="65"/>
        <v/>
      </c>
    </row>
    <row r="590" spans="1:13" ht="19.95" customHeight="1" x14ac:dyDescent="0.25">
      <c r="A590" s="52"/>
      <c r="B590" s="51"/>
      <c r="C590" s="54" t="str">
        <f>IF(B590="","",VLOOKUP(B590,学生信息汇总!A:E,2,0))</f>
        <v/>
      </c>
      <c r="D590" s="50"/>
      <c r="E590" s="55" t="str">
        <f t="shared" ca="1" si="61"/>
        <v/>
      </c>
      <c r="F590" s="51"/>
      <c r="G590" s="55" t="str">
        <f t="shared" ca="1" si="62"/>
        <v/>
      </c>
      <c r="H590" s="50"/>
      <c r="I590" s="55" t="str">
        <f t="shared" ca="1" si="63"/>
        <v/>
      </c>
      <c r="J590" s="50"/>
      <c r="K590" s="55" t="str">
        <f t="shared" ca="1" si="64"/>
        <v/>
      </c>
      <c r="L590" s="64" t="str">
        <f>IF(B590="","",D590+F590+H590+J590+#REF!+#REF!+#REF!+#REF!+#REF!)</f>
        <v/>
      </c>
      <c r="M590" s="55" t="str">
        <f t="shared" ca="1" si="65"/>
        <v/>
      </c>
    </row>
    <row r="591" spans="1:13" ht="19.95" customHeight="1" x14ac:dyDescent="0.25">
      <c r="A591" s="52"/>
      <c r="B591" s="51"/>
      <c r="C591" s="54" t="str">
        <f>IF(B591="","",VLOOKUP(B591,学生信息汇总!A:E,2,0))</f>
        <v/>
      </c>
      <c r="D591" s="50"/>
      <c r="E591" s="55" t="str">
        <f t="shared" ca="1" si="61"/>
        <v/>
      </c>
      <c r="F591" s="51"/>
      <c r="G591" s="55" t="str">
        <f t="shared" ca="1" si="62"/>
        <v/>
      </c>
      <c r="H591" s="50"/>
      <c r="I591" s="55" t="str">
        <f t="shared" ca="1" si="63"/>
        <v/>
      </c>
      <c r="J591" s="50"/>
      <c r="K591" s="55" t="str">
        <f t="shared" ca="1" si="64"/>
        <v/>
      </c>
      <c r="L591" s="64" t="str">
        <f>IF(B591="","",D591+F591+H591+J591+#REF!+#REF!+#REF!+#REF!+#REF!)</f>
        <v/>
      </c>
      <c r="M591" s="55" t="str">
        <f t="shared" ca="1" si="65"/>
        <v/>
      </c>
    </row>
    <row r="592" spans="1:13" ht="19.95" customHeight="1" x14ac:dyDescent="0.25">
      <c r="A592" s="52"/>
      <c r="B592" s="51"/>
      <c r="C592" s="54" t="str">
        <f>IF(B592="","",VLOOKUP(B592,学生信息汇总!A:E,2,0))</f>
        <v/>
      </c>
      <c r="D592" s="50"/>
      <c r="E592" s="55" t="str">
        <f t="shared" ca="1" si="61"/>
        <v/>
      </c>
      <c r="F592" s="51"/>
      <c r="G592" s="55" t="str">
        <f t="shared" ca="1" si="62"/>
        <v/>
      </c>
      <c r="H592" s="50"/>
      <c r="I592" s="55" t="str">
        <f t="shared" ca="1" si="63"/>
        <v/>
      </c>
      <c r="J592" s="50"/>
      <c r="K592" s="55" t="str">
        <f t="shared" ca="1" si="64"/>
        <v/>
      </c>
      <c r="L592" s="64" t="str">
        <f>IF(B592="","",D592+F592+H592+J592+#REF!+#REF!+#REF!+#REF!+#REF!)</f>
        <v/>
      </c>
      <c r="M592" s="55" t="str">
        <f t="shared" ca="1" si="65"/>
        <v/>
      </c>
    </row>
    <row r="593" spans="1:13" ht="19.95" customHeight="1" x14ac:dyDescent="0.25">
      <c r="A593" s="52"/>
      <c r="B593" s="51"/>
      <c r="C593" s="54" t="str">
        <f>IF(B593="","",VLOOKUP(B593,学生信息汇总!A:E,2,0))</f>
        <v/>
      </c>
      <c r="D593" s="50"/>
      <c r="E593" s="55" t="str">
        <f t="shared" ca="1" si="61"/>
        <v/>
      </c>
      <c r="F593" s="51"/>
      <c r="G593" s="55" t="str">
        <f t="shared" ca="1" si="62"/>
        <v/>
      </c>
      <c r="H593" s="50"/>
      <c r="I593" s="55" t="str">
        <f t="shared" ca="1" si="63"/>
        <v/>
      </c>
      <c r="J593" s="50"/>
      <c r="K593" s="55" t="str">
        <f t="shared" ca="1" si="64"/>
        <v/>
      </c>
      <c r="L593" s="64" t="str">
        <f>IF(B593="","",D593+F593+H593+J593+#REF!+#REF!+#REF!+#REF!+#REF!)</f>
        <v/>
      </c>
      <c r="M593" s="55" t="str">
        <f t="shared" ca="1" si="65"/>
        <v/>
      </c>
    </row>
    <row r="594" spans="1:13" ht="19.95" customHeight="1" x14ac:dyDescent="0.25">
      <c r="A594" s="52"/>
      <c r="B594" s="51"/>
      <c r="C594" s="54" t="str">
        <f>IF(B594="","",VLOOKUP(B594,学生信息汇总!A:E,2,0))</f>
        <v/>
      </c>
      <c r="D594" s="50"/>
      <c r="E594" s="55" t="str">
        <f t="shared" ca="1" si="61"/>
        <v/>
      </c>
      <c r="F594" s="51"/>
      <c r="G594" s="55" t="str">
        <f t="shared" ca="1" si="62"/>
        <v/>
      </c>
      <c r="H594" s="50"/>
      <c r="I594" s="55" t="str">
        <f t="shared" ca="1" si="63"/>
        <v/>
      </c>
      <c r="J594" s="50"/>
      <c r="K594" s="55" t="str">
        <f t="shared" ca="1" si="64"/>
        <v/>
      </c>
      <c r="L594" s="64" t="str">
        <f>IF(B594="","",D594+F594+H594+J594+#REF!+#REF!+#REF!+#REF!+#REF!)</f>
        <v/>
      </c>
      <c r="M594" s="55" t="str">
        <f t="shared" ca="1" si="65"/>
        <v/>
      </c>
    </row>
    <row r="595" spans="1:13" ht="19.95" customHeight="1" x14ac:dyDescent="0.25">
      <c r="A595" s="52"/>
      <c r="B595" s="51"/>
      <c r="C595" s="54" t="str">
        <f>IF(B595="","",VLOOKUP(B595,学生信息汇总!A:E,2,0))</f>
        <v/>
      </c>
      <c r="D595" s="50"/>
      <c r="E595" s="55" t="str">
        <f t="shared" ca="1" si="61"/>
        <v/>
      </c>
      <c r="F595" s="51"/>
      <c r="G595" s="55" t="str">
        <f t="shared" ca="1" si="62"/>
        <v/>
      </c>
      <c r="H595" s="50"/>
      <c r="I595" s="55" t="str">
        <f t="shared" ca="1" si="63"/>
        <v/>
      </c>
      <c r="J595" s="50"/>
      <c r="K595" s="55" t="str">
        <f t="shared" ca="1" si="64"/>
        <v/>
      </c>
      <c r="L595" s="64" t="str">
        <f>IF(B595="","",D595+F595+H595+J595+#REF!+#REF!+#REF!+#REF!+#REF!)</f>
        <v/>
      </c>
      <c r="M595" s="55" t="str">
        <f t="shared" ca="1" si="65"/>
        <v/>
      </c>
    </row>
    <row r="596" spans="1:13" ht="19.95" customHeight="1" x14ac:dyDescent="0.25">
      <c r="A596" s="52"/>
      <c r="B596" s="51"/>
      <c r="C596" s="54" t="str">
        <f>IF(B596="","",VLOOKUP(B596,学生信息汇总!A:E,2,0))</f>
        <v/>
      </c>
      <c r="D596" s="50"/>
      <c r="E596" s="55" t="str">
        <f t="shared" ca="1" si="61"/>
        <v/>
      </c>
      <c r="F596" s="51"/>
      <c r="G596" s="55" t="str">
        <f t="shared" ca="1" si="62"/>
        <v/>
      </c>
      <c r="H596" s="50"/>
      <c r="I596" s="55" t="str">
        <f t="shared" ca="1" si="63"/>
        <v/>
      </c>
      <c r="J596" s="50"/>
      <c r="K596" s="55" t="str">
        <f t="shared" ca="1" si="64"/>
        <v/>
      </c>
      <c r="L596" s="64" t="str">
        <f>IF(B596="","",D596+F596+H596+J596+#REF!+#REF!+#REF!+#REF!+#REF!)</f>
        <v/>
      </c>
      <c r="M596" s="55" t="str">
        <f t="shared" ca="1" si="65"/>
        <v/>
      </c>
    </row>
    <row r="597" spans="1:13" ht="19.95" customHeight="1" x14ac:dyDescent="0.25">
      <c r="A597" s="52"/>
      <c r="B597" s="51"/>
      <c r="C597" s="54" t="str">
        <f>IF(B597="","",VLOOKUP(B597,学生信息汇总!A:E,2,0))</f>
        <v/>
      </c>
      <c r="D597" s="50"/>
      <c r="E597" s="55" t="str">
        <f t="shared" ca="1" si="61"/>
        <v/>
      </c>
      <c r="F597" s="51"/>
      <c r="G597" s="55" t="str">
        <f t="shared" ca="1" si="62"/>
        <v/>
      </c>
      <c r="H597" s="50"/>
      <c r="I597" s="55" t="str">
        <f t="shared" ca="1" si="63"/>
        <v/>
      </c>
      <c r="J597" s="50"/>
      <c r="K597" s="55" t="str">
        <f t="shared" ca="1" si="64"/>
        <v/>
      </c>
      <c r="L597" s="64" t="str">
        <f>IF(B597="","",D597+F597+H597+J597+#REF!+#REF!+#REF!+#REF!+#REF!)</f>
        <v/>
      </c>
      <c r="M597" s="55" t="str">
        <f t="shared" ca="1" si="65"/>
        <v/>
      </c>
    </row>
    <row r="598" spans="1:13" ht="19.95" customHeight="1" x14ac:dyDescent="0.25">
      <c r="A598" s="52"/>
      <c r="B598" s="51"/>
      <c r="C598" s="54" t="str">
        <f>IF(B598="","",VLOOKUP(B598,学生信息汇总!A:E,2,0))</f>
        <v/>
      </c>
      <c r="D598" s="50"/>
      <c r="E598" s="55" t="str">
        <f t="shared" ca="1" si="61"/>
        <v/>
      </c>
      <c r="F598" s="51"/>
      <c r="G598" s="55" t="str">
        <f t="shared" ca="1" si="62"/>
        <v/>
      </c>
      <c r="H598" s="50"/>
      <c r="I598" s="55" t="str">
        <f t="shared" ca="1" si="63"/>
        <v/>
      </c>
      <c r="J598" s="50"/>
      <c r="K598" s="55" t="str">
        <f t="shared" ca="1" si="64"/>
        <v/>
      </c>
      <c r="L598" s="64" t="str">
        <f>IF(B598="","",D598+F598+H598+J598+#REF!+#REF!+#REF!+#REF!+#REF!)</f>
        <v/>
      </c>
      <c r="M598" s="55" t="str">
        <f t="shared" ca="1" si="65"/>
        <v/>
      </c>
    </row>
    <row r="599" spans="1:13" ht="19.95" customHeight="1" x14ac:dyDescent="0.25">
      <c r="A599" s="52"/>
      <c r="B599" s="51"/>
      <c r="C599" s="54" t="str">
        <f>IF(B599="","",VLOOKUP(B599,学生信息汇总!A:E,2,0))</f>
        <v/>
      </c>
      <c r="D599" s="50"/>
      <c r="E599" s="55" t="str">
        <f t="shared" ca="1" si="61"/>
        <v/>
      </c>
      <c r="F599" s="51"/>
      <c r="G599" s="55" t="str">
        <f t="shared" ca="1" si="62"/>
        <v/>
      </c>
      <c r="H599" s="50"/>
      <c r="I599" s="55" t="str">
        <f t="shared" ca="1" si="63"/>
        <v/>
      </c>
      <c r="J599" s="50"/>
      <c r="K599" s="55" t="str">
        <f t="shared" ca="1" si="64"/>
        <v/>
      </c>
      <c r="L599" s="64" t="str">
        <f>IF(B599="","",D599+F599+H599+J599+#REF!+#REF!+#REF!+#REF!+#REF!)</f>
        <v/>
      </c>
      <c r="M599" s="55" t="str">
        <f t="shared" ca="1" si="65"/>
        <v/>
      </c>
    </row>
    <row r="600" spans="1:13" ht="19.95" customHeight="1" x14ac:dyDescent="0.25">
      <c r="A600" s="52"/>
      <c r="B600" s="51"/>
      <c r="C600" s="54" t="str">
        <f>IF(B600="","",VLOOKUP(B600,学生信息汇总!A:E,2,0))</f>
        <v/>
      </c>
      <c r="D600" s="50"/>
      <c r="E600" s="55" t="str">
        <f t="shared" ca="1" si="61"/>
        <v/>
      </c>
      <c r="F600" s="51"/>
      <c r="G600" s="55" t="str">
        <f t="shared" ca="1" si="62"/>
        <v/>
      </c>
      <c r="H600" s="50"/>
      <c r="I600" s="55" t="str">
        <f t="shared" ca="1" si="63"/>
        <v/>
      </c>
      <c r="J600" s="50"/>
      <c r="K600" s="55" t="str">
        <f t="shared" ca="1" si="64"/>
        <v/>
      </c>
      <c r="L600" s="64" t="str">
        <f>IF(B600="","",D600+F600+H600+J600+#REF!+#REF!+#REF!+#REF!+#REF!)</f>
        <v/>
      </c>
      <c r="M600" s="55" t="str">
        <f t="shared" ca="1" si="65"/>
        <v/>
      </c>
    </row>
    <row r="601" spans="1:13" ht="19.95" customHeight="1" x14ac:dyDescent="0.25">
      <c r="A601" s="52"/>
      <c r="B601" s="51"/>
      <c r="C601" s="54" t="str">
        <f>IF(B601="","",VLOOKUP(B601,学生信息汇总!A:E,2,0))</f>
        <v/>
      </c>
      <c r="D601" s="50"/>
      <c r="E601" s="55" t="str">
        <f t="shared" ca="1" si="61"/>
        <v/>
      </c>
      <c r="F601" s="51"/>
      <c r="G601" s="55" t="str">
        <f t="shared" ca="1" si="62"/>
        <v/>
      </c>
      <c r="H601" s="50"/>
      <c r="I601" s="55" t="str">
        <f t="shared" ca="1" si="63"/>
        <v/>
      </c>
      <c r="J601" s="50"/>
      <c r="K601" s="55" t="str">
        <f t="shared" ca="1" si="64"/>
        <v/>
      </c>
      <c r="L601" s="64" t="str">
        <f>IF(B601="","",D601+F601+H601+J601+#REF!+#REF!+#REF!+#REF!+#REF!)</f>
        <v/>
      </c>
      <c r="M601" s="55" t="str">
        <f t="shared" ca="1" si="65"/>
        <v/>
      </c>
    </row>
    <row r="602" spans="1:13" ht="19.95" customHeight="1" x14ac:dyDescent="0.25">
      <c r="A602" s="52"/>
      <c r="B602" s="51"/>
      <c r="C602" s="54" t="str">
        <f>IF(B602="","",VLOOKUP(B602,学生信息汇总!A:E,2,0))</f>
        <v/>
      </c>
      <c r="D602" s="50"/>
      <c r="E602" s="55" t="str">
        <f t="shared" ca="1" si="61"/>
        <v/>
      </c>
      <c r="F602" s="51"/>
      <c r="G602" s="55" t="str">
        <f t="shared" ca="1" si="62"/>
        <v/>
      </c>
      <c r="H602" s="50"/>
      <c r="I602" s="55" t="str">
        <f t="shared" ca="1" si="63"/>
        <v/>
      </c>
      <c r="J602" s="50"/>
      <c r="K602" s="55" t="str">
        <f t="shared" ca="1" si="64"/>
        <v/>
      </c>
      <c r="L602" s="64" t="str">
        <f>IF(B602="","",D602+F602+H602+J602+#REF!+#REF!+#REF!+#REF!+#REF!)</f>
        <v/>
      </c>
      <c r="M602" s="55" t="str">
        <f t="shared" ca="1" si="65"/>
        <v/>
      </c>
    </row>
    <row r="603" spans="1:13" ht="19.95" customHeight="1" x14ac:dyDescent="0.25">
      <c r="A603" s="52"/>
      <c r="B603" s="51"/>
      <c r="C603" s="54" t="str">
        <f>IF(B603="","",VLOOKUP(B603,学生信息汇总!A:E,2,0))</f>
        <v/>
      </c>
      <c r="D603" s="50"/>
      <c r="E603" s="55" t="str">
        <f t="shared" ca="1" si="61"/>
        <v/>
      </c>
      <c r="F603" s="51"/>
      <c r="G603" s="55" t="str">
        <f t="shared" ca="1" si="62"/>
        <v/>
      </c>
      <c r="H603" s="50"/>
      <c r="I603" s="55" t="str">
        <f t="shared" ca="1" si="63"/>
        <v/>
      </c>
      <c r="J603" s="50"/>
      <c r="K603" s="55" t="str">
        <f t="shared" ca="1" si="64"/>
        <v/>
      </c>
      <c r="L603" s="64" t="str">
        <f>IF(B603="","",D603+F603+H603+J603+#REF!+#REF!+#REF!+#REF!+#REF!)</f>
        <v/>
      </c>
      <c r="M603" s="55" t="str">
        <f t="shared" ca="1" si="65"/>
        <v/>
      </c>
    </row>
    <row r="604" spans="1:13" ht="19.95" customHeight="1" x14ac:dyDescent="0.25">
      <c r="A604" s="52"/>
      <c r="B604" s="51"/>
      <c r="C604" s="54" t="str">
        <f>IF(B604="","",VLOOKUP(B604,学生信息汇总!A:E,2,0))</f>
        <v/>
      </c>
      <c r="D604" s="50"/>
      <c r="E604" s="55" t="str">
        <f t="shared" ca="1" si="61"/>
        <v/>
      </c>
      <c r="F604" s="51"/>
      <c r="G604" s="55" t="str">
        <f t="shared" ca="1" si="62"/>
        <v/>
      </c>
      <c r="H604" s="50"/>
      <c r="I604" s="55" t="str">
        <f t="shared" ca="1" si="63"/>
        <v/>
      </c>
      <c r="J604" s="50"/>
      <c r="K604" s="55" t="str">
        <f t="shared" ca="1" si="64"/>
        <v/>
      </c>
      <c r="L604" s="64" t="str">
        <f>IF(B604="","",D604+F604+H604+J604+#REF!+#REF!+#REF!+#REF!+#REF!)</f>
        <v/>
      </c>
      <c r="M604" s="55" t="str">
        <f t="shared" ca="1" si="65"/>
        <v/>
      </c>
    </row>
    <row r="605" spans="1:13" ht="19.95" customHeight="1" x14ac:dyDescent="0.25">
      <c r="A605" s="52"/>
      <c r="B605" s="51"/>
      <c r="C605" s="54" t="str">
        <f>IF(B605="","",VLOOKUP(B605,学生信息汇总!A:E,2,0))</f>
        <v/>
      </c>
      <c r="D605" s="50"/>
      <c r="E605" s="55" t="str">
        <f t="shared" ca="1" si="61"/>
        <v/>
      </c>
      <c r="F605" s="51"/>
      <c r="G605" s="55" t="str">
        <f t="shared" ca="1" si="62"/>
        <v/>
      </c>
      <c r="H605" s="50"/>
      <c r="I605" s="55" t="str">
        <f t="shared" ca="1" si="63"/>
        <v/>
      </c>
      <c r="J605" s="50"/>
      <c r="K605" s="55" t="str">
        <f t="shared" ca="1" si="64"/>
        <v/>
      </c>
      <c r="L605" s="64" t="str">
        <f>IF(B605="","",D605+F605+H605+J605+#REF!+#REF!+#REF!+#REF!+#REF!)</f>
        <v/>
      </c>
      <c r="M605" s="55" t="str">
        <f t="shared" ca="1" si="65"/>
        <v/>
      </c>
    </row>
    <row r="606" spans="1:13" ht="19.95" customHeight="1" x14ac:dyDescent="0.25">
      <c r="A606" s="52"/>
      <c r="B606" s="51"/>
      <c r="C606" s="54" t="str">
        <f>IF(B606="","",VLOOKUP(B606,学生信息汇总!A:E,2,0))</f>
        <v/>
      </c>
      <c r="D606" s="50"/>
      <c r="E606" s="55" t="str">
        <f t="shared" ca="1" si="61"/>
        <v/>
      </c>
      <c r="F606" s="51"/>
      <c r="G606" s="55" t="str">
        <f t="shared" ca="1" si="62"/>
        <v/>
      </c>
      <c r="H606" s="50"/>
      <c r="I606" s="55" t="str">
        <f t="shared" ca="1" si="63"/>
        <v/>
      </c>
      <c r="J606" s="50"/>
      <c r="K606" s="55" t="str">
        <f t="shared" ca="1" si="64"/>
        <v/>
      </c>
      <c r="L606" s="64" t="str">
        <f>IF(B606="","",D606+F606+H606+J606+#REF!+#REF!+#REF!+#REF!+#REF!)</f>
        <v/>
      </c>
      <c r="M606" s="55" t="str">
        <f t="shared" ca="1" si="65"/>
        <v/>
      </c>
    </row>
    <row r="607" spans="1:13" ht="19.95" customHeight="1" x14ac:dyDescent="0.25">
      <c r="A607" s="52"/>
      <c r="B607" s="51"/>
      <c r="C607" s="54" t="str">
        <f>IF(B607="","",VLOOKUP(B607,学生信息汇总!A:E,2,0))</f>
        <v/>
      </c>
      <c r="D607" s="50"/>
      <c r="E607" s="55" t="str">
        <f t="shared" ca="1" si="61"/>
        <v/>
      </c>
      <c r="F607" s="51"/>
      <c r="G607" s="55" t="str">
        <f t="shared" ca="1" si="62"/>
        <v/>
      </c>
      <c r="H607" s="50"/>
      <c r="I607" s="55" t="str">
        <f t="shared" ca="1" si="63"/>
        <v/>
      </c>
      <c r="J607" s="50"/>
      <c r="K607" s="55" t="str">
        <f t="shared" ca="1" si="64"/>
        <v/>
      </c>
      <c r="L607" s="64" t="str">
        <f>IF(B607="","",D607+F607+H607+J607+#REF!+#REF!+#REF!+#REF!+#REF!)</f>
        <v/>
      </c>
      <c r="M607" s="55" t="str">
        <f t="shared" ca="1" si="65"/>
        <v/>
      </c>
    </row>
    <row r="608" spans="1:13" ht="19.95" customHeight="1" x14ac:dyDescent="0.25">
      <c r="A608" s="52"/>
      <c r="B608" s="51"/>
      <c r="C608" s="54" t="str">
        <f>IF(B608="","",VLOOKUP(B608,学生信息汇总!A:E,2,0))</f>
        <v/>
      </c>
      <c r="D608" s="50"/>
      <c r="E608" s="55" t="str">
        <f t="shared" ca="1" si="61"/>
        <v/>
      </c>
      <c r="F608" s="51"/>
      <c r="G608" s="55" t="str">
        <f t="shared" ca="1" si="62"/>
        <v/>
      </c>
      <c r="H608" s="50"/>
      <c r="I608" s="55" t="str">
        <f t="shared" ca="1" si="63"/>
        <v/>
      </c>
      <c r="J608" s="50"/>
      <c r="K608" s="55" t="str">
        <f t="shared" ca="1" si="64"/>
        <v/>
      </c>
      <c r="L608" s="64" t="str">
        <f>IF(B608="","",D608+F608+H608+J608+#REF!+#REF!+#REF!+#REF!+#REF!)</f>
        <v/>
      </c>
      <c r="M608" s="55" t="str">
        <f t="shared" ca="1" si="65"/>
        <v/>
      </c>
    </row>
    <row r="609" spans="1:13" ht="19.95" customHeight="1" x14ac:dyDescent="0.25">
      <c r="A609" s="52"/>
      <c r="B609" s="51"/>
      <c r="C609" s="54" t="str">
        <f>IF(B609="","",VLOOKUP(B609,学生信息汇总!A:E,2,0))</f>
        <v/>
      </c>
      <c r="D609" s="50"/>
      <c r="E609" s="55" t="str">
        <f t="shared" ca="1" si="61"/>
        <v/>
      </c>
      <c r="F609" s="51"/>
      <c r="G609" s="55" t="str">
        <f t="shared" ca="1" si="62"/>
        <v/>
      </c>
      <c r="H609" s="50"/>
      <c r="I609" s="55" t="str">
        <f t="shared" ca="1" si="63"/>
        <v/>
      </c>
      <c r="J609" s="50"/>
      <c r="K609" s="55" t="str">
        <f t="shared" ca="1" si="64"/>
        <v/>
      </c>
      <c r="L609" s="64" t="str">
        <f>IF(B609="","",D609+F609+H609+J609+#REF!+#REF!+#REF!+#REF!+#REF!)</f>
        <v/>
      </c>
      <c r="M609" s="55" t="str">
        <f t="shared" ca="1" si="65"/>
        <v/>
      </c>
    </row>
    <row r="610" spans="1:13" ht="19.95" customHeight="1" x14ac:dyDescent="0.25">
      <c r="A610" s="52"/>
      <c r="B610" s="51"/>
      <c r="C610" s="54" t="str">
        <f>IF(B610="","",VLOOKUP(B610,学生信息汇总!A:E,2,0))</f>
        <v/>
      </c>
      <c r="D610" s="50"/>
      <c r="E610" s="55" t="str">
        <f t="shared" ca="1" si="61"/>
        <v/>
      </c>
      <c r="F610" s="51"/>
      <c r="G610" s="55" t="str">
        <f t="shared" ca="1" si="62"/>
        <v/>
      </c>
      <c r="H610" s="50"/>
      <c r="I610" s="55" t="str">
        <f t="shared" ca="1" si="63"/>
        <v/>
      </c>
      <c r="J610" s="50"/>
      <c r="K610" s="55" t="str">
        <f t="shared" ca="1" si="64"/>
        <v/>
      </c>
      <c r="L610" s="64" t="str">
        <f>IF(B610="","",D610+F610+H610+J610+#REF!+#REF!+#REF!+#REF!+#REF!)</f>
        <v/>
      </c>
      <c r="M610" s="55" t="str">
        <f t="shared" ca="1" si="65"/>
        <v/>
      </c>
    </row>
    <row r="611" spans="1:13" ht="19.95" customHeight="1" x14ac:dyDescent="0.25">
      <c r="A611" s="52"/>
      <c r="B611" s="51"/>
      <c r="C611" s="54" t="str">
        <f>IF(B611="","",VLOOKUP(B611,学生信息汇总!A:E,2,0))</f>
        <v/>
      </c>
      <c r="D611" s="50"/>
      <c r="E611" s="55" t="str">
        <f t="shared" ca="1" si="61"/>
        <v/>
      </c>
      <c r="F611" s="51"/>
      <c r="G611" s="55" t="str">
        <f t="shared" ca="1" si="62"/>
        <v/>
      </c>
      <c r="H611" s="50"/>
      <c r="I611" s="55" t="str">
        <f t="shared" ca="1" si="63"/>
        <v/>
      </c>
      <c r="J611" s="50"/>
      <c r="K611" s="55" t="str">
        <f t="shared" ca="1" si="64"/>
        <v/>
      </c>
      <c r="L611" s="64" t="str">
        <f>IF(B611="","",D611+F611+H611+J611+#REF!+#REF!+#REF!+#REF!+#REF!)</f>
        <v/>
      </c>
      <c r="M611" s="55" t="str">
        <f t="shared" ca="1" si="65"/>
        <v/>
      </c>
    </row>
    <row r="612" spans="1:13" ht="19.95" customHeight="1" x14ac:dyDescent="0.25">
      <c r="A612" s="52"/>
      <c r="B612" s="51"/>
      <c r="C612" s="54" t="str">
        <f>IF(B612="","",VLOOKUP(B612,学生信息汇总!A:E,2,0))</f>
        <v/>
      </c>
      <c r="D612" s="50"/>
      <c r="E612" s="55" t="str">
        <f t="shared" ca="1" si="61"/>
        <v/>
      </c>
      <c r="F612" s="51"/>
      <c r="G612" s="55" t="str">
        <f t="shared" ca="1" si="62"/>
        <v/>
      </c>
      <c r="H612" s="50"/>
      <c r="I612" s="55" t="str">
        <f t="shared" ca="1" si="63"/>
        <v/>
      </c>
      <c r="J612" s="50"/>
      <c r="K612" s="55" t="str">
        <f t="shared" ca="1" si="64"/>
        <v/>
      </c>
      <c r="L612" s="64" t="str">
        <f>IF(B612="","",D612+F612+H612+J612+#REF!+#REF!+#REF!+#REF!+#REF!)</f>
        <v/>
      </c>
      <c r="M612" s="55" t="str">
        <f t="shared" ca="1" si="65"/>
        <v/>
      </c>
    </row>
    <row r="613" spans="1:13" ht="19.95" customHeight="1" x14ac:dyDescent="0.25">
      <c r="A613" s="52"/>
      <c r="B613" s="51"/>
      <c r="C613" s="54" t="str">
        <f>IF(B613="","",VLOOKUP(B613,学生信息汇总!A:E,2,0))</f>
        <v/>
      </c>
      <c r="D613" s="50"/>
      <c r="E613" s="55" t="str">
        <f t="shared" ca="1" si="61"/>
        <v/>
      </c>
      <c r="F613" s="51"/>
      <c r="G613" s="55" t="str">
        <f t="shared" ca="1" si="62"/>
        <v/>
      </c>
      <c r="H613" s="50"/>
      <c r="I613" s="55" t="str">
        <f t="shared" ca="1" si="63"/>
        <v/>
      </c>
      <c r="J613" s="50"/>
      <c r="K613" s="55" t="str">
        <f t="shared" ca="1" si="64"/>
        <v/>
      </c>
      <c r="L613" s="64" t="str">
        <f>IF(B613="","",D613+F613+H613+J613+#REF!+#REF!+#REF!+#REF!+#REF!)</f>
        <v/>
      </c>
      <c r="M613" s="55" t="str">
        <f t="shared" ca="1" si="65"/>
        <v/>
      </c>
    </row>
    <row r="614" spans="1:13" ht="19.95" customHeight="1" x14ac:dyDescent="0.25">
      <c r="A614" s="52"/>
      <c r="B614" s="51"/>
      <c r="C614" s="54" t="str">
        <f>IF(B614="","",VLOOKUP(B614,学生信息汇总!A:E,2,0))</f>
        <v/>
      </c>
      <c r="D614" s="50"/>
      <c r="E614" s="55" t="str">
        <f t="shared" ca="1" si="61"/>
        <v/>
      </c>
      <c r="F614" s="51"/>
      <c r="G614" s="55" t="str">
        <f t="shared" ca="1" si="62"/>
        <v/>
      </c>
      <c r="H614" s="50"/>
      <c r="I614" s="55" t="str">
        <f t="shared" ca="1" si="63"/>
        <v/>
      </c>
      <c r="J614" s="50"/>
      <c r="K614" s="55" t="str">
        <f t="shared" ca="1" si="64"/>
        <v/>
      </c>
      <c r="L614" s="64" t="str">
        <f>IF(B614="","",D614+F614+H614+J614+#REF!+#REF!+#REF!+#REF!+#REF!)</f>
        <v/>
      </c>
      <c r="M614" s="55" t="str">
        <f t="shared" ca="1" si="65"/>
        <v/>
      </c>
    </row>
    <row r="615" spans="1:13" ht="19.95" customHeight="1" x14ac:dyDescent="0.25">
      <c r="A615" s="52"/>
      <c r="B615" s="51"/>
      <c r="C615" s="54" t="str">
        <f>IF(B615="","",VLOOKUP(B615,学生信息汇总!A:E,2,0))</f>
        <v/>
      </c>
      <c r="D615" s="50"/>
      <c r="E615" s="55" t="str">
        <f t="shared" ca="1" si="61"/>
        <v/>
      </c>
      <c r="F615" s="51"/>
      <c r="G615" s="55" t="str">
        <f t="shared" ca="1" si="62"/>
        <v/>
      </c>
      <c r="H615" s="50"/>
      <c r="I615" s="55" t="str">
        <f t="shared" ca="1" si="63"/>
        <v/>
      </c>
      <c r="J615" s="50"/>
      <c r="K615" s="55" t="str">
        <f t="shared" ca="1" si="64"/>
        <v/>
      </c>
      <c r="L615" s="64" t="str">
        <f>IF(B615="","",D615+F615+H615+J615+#REF!+#REF!+#REF!+#REF!+#REF!)</f>
        <v/>
      </c>
      <c r="M615" s="55" t="str">
        <f t="shared" ca="1" si="65"/>
        <v/>
      </c>
    </row>
    <row r="616" spans="1:13" ht="19.95" customHeight="1" x14ac:dyDescent="0.25">
      <c r="A616" s="52"/>
      <c r="B616" s="51"/>
      <c r="C616" s="54" t="str">
        <f>IF(B616="","",VLOOKUP(B616,学生信息汇总!A:E,2,0))</f>
        <v/>
      </c>
      <c r="D616" s="50"/>
      <c r="E616" s="55" t="str">
        <f t="shared" ca="1" si="61"/>
        <v/>
      </c>
      <c r="F616" s="51"/>
      <c r="G616" s="55" t="str">
        <f t="shared" ca="1" si="62"/>
        <v/>
      </c>
      <c r="H616" s="50"/>
      <c r="I616" s="55" t="str">
        <f t="shared" ca="1" si="63"/>
        <v/>
      </c>
      <c r="J616" s="50"/>
      <c r="K616" s="55" t="str">
        <f t="shared" ca="1" si="64"/>
        <v/>
      </c>
      <c r="L616" s="64" t="str">
        <f>IF(B616="","",D616+F616+H616+J616+#REF!+#REF!+#REF!+#REF!+#REF!)</f>
        <v/>
      </c>
      <c r="M616" s="55" t="str">
        <f t="shared" ca="1" si="65"/>
        <v/>
      </c>
    </row>
    <row r="617" spans="1:13" ht="19.95" customHeight="1" x14ac:dyDescent="0.25">
      <c r="A617" s="52"/>
      <c r="B617" s="51"/>
      <c r="C617" s="54" t="str">
        <f>IF(B617="","",VLOOKUP(B617,学生信息汇总!A:E,2,0))</f>
        <v/>
      </c>
      <c r="D617" s="50"/>
      <c r="E617" s="55" t="str">
        <f t="shared" ca="1" si="61"/>
        <v/>
      </c>
      <c r="F617" s="51"/>
      <c r="G617" s="55" t="str">
        <f t="shared" ca="1" si="62"/>
        <v/>
      </c>
      <c r="H617" s="50"/>
      <c r="I617" s="55" t="str">
        <f t="shared" ca="1" si="63"/>
        <v/>
      </c>
      <c r="J617" s="50"/>
      <c r="K617" s="55" t="str">
        <f t="shared" ca="1" si="64"/>
        <v/>
      </c>
      <c r="L617" s="64" t="str">
        <f>IF(B617="","",D617+F617+H617+J617+#REF!+#REF!+#REF!+#REF!+#REF!)</f>
        <v/>
      </c>
      <c r="M617" s="55" t="str">
        <f t="shared" ca="1" si="65"/>
        <v/>
      </c>
    </row>
    <row r="618" spans="1:13" ht="19.95" customHeight="1" x14ac:dyDescent="0.25">
      <c r="A618" s="52"/>
      <c r="B618" s="51"/>
      <c r="C618" s="54" t="str">
        <f>IF(B618="","",VLOOKUP(B618,学生信息汇总!A:E,2,0))</f>
        <v/>
      </c>
      <c r="D618" s="50"/>
      <c r="E618" s="55" t="str">
        <f t="shared" ca="1" si="61"/>
        <v/>
      </c>
      <c r="F618" s="51"/>
      <c r="G618" s="55" t="str">
        <f t="shared" ca="1" si="62"/>
        <v/>
      </c>
      <c r="H618" s="50"/>
      <c r="I618" s="55" t="str">
        <f t="shared" ca="1" si="63"/>
        <v/>
      </c>
      <c r="J618" s="50"/>
      <c r="K618" s="55" t="str">
        <f t="shared" ca="1" si="64"/>
        <v/>
      </c>
      <c r="L618" s="64" t="str">
        <f>IF(B618="","",D618+F618+H618+J618+#REF!+#REF!+#REF!+#REF!+#REF!)</f>
        <v/>
      </c>
      <c r="M618" s="55" t="str">
        <f t="shared" ca="1" si="65"/>
        <v/>
      </c>
    </row>
    <row r="619" spans="1:13" ht="19.95" customHeight="1" x14ac:dyDescent="0.25">
      <c r="A619" s="52"/>
      <c r="B619" s="51"/>
      <c r="C619" s="54" t="str">
        <f>IF(B619="","",VLOOKUP(B619,学生信息汇总!A:E,2,0))</f>
        <v/>
      </c>
      <c r="D619" s="50"/>
      <c r="E619" s="55" t="str">
        <f t="shared" ca="1" si="61"/>
        <v/>
      </c>
      <c r="F619" s="51"/>
      <c r="G619" s="55" t="str">
        <f t="shared" ca="1" si="62"/>
        <v/>
      </c>
      <c r="H619" s="50"/>
      <c r="I619" s="55" t="str">
        <f t="shared" ca="1" si="63"/>
        <v/>
      </c>
      <c r="J619" s="50"/>
      <c r="K619" s="55" t="str">
        <f t="shared" ca="1" si="64"/>
        <v/>
      </c>
      <c r="L619" s="64" t="str">
        <f>IF(B619="","",D619+F619+H619+J619+#REF!+#REF!+#REF!+#REF!+#REF!)</f>
        <v/>
      </c>
      <c r="M619" s="55" t="str">
        <f t="shared" ca="1" si="65"/>
        <v/>
      </c>
    </row>
    <row r="620" spans="1:13" ht="19.95" customHeight="1" x14ac:dyDescent="0.25">
      <c r="A620" s="52"/>
      <c r="B620" s="51"/>
      <c r="C620" s="54" t="str">
        <f>IF(B620="","",VLOOKUP(B620,学生信息汇总!A:E,2,0))</f>
        <v/>
      </c>
      <c r="D620" s="50"/>
      <c r="E620" s="55" t="str">
        <f t="shared" ref="E620:E683" ca="1" si="66">IF(D620="","",RANK(D620,INDIRECT(ADDRESS(MATCH(VLOOKUP(A620,A:A,1,0),A:A,0),6)&amp;":"&amp;ADDRESS((MATCH(VLOOKUP(A620,A:A,1,0),A:A,0)+COUNTIF(A:A,A620)-1),6))))</f>
        <v/>
      </c>
      <c r="F620" s="51"/>
      <c r="G620" s="55" t="str">
        <f t="shared" ref="G620:G683" ca="1" si="67">IF(F620="","",RANK(F620,INDIRECT(ADDRESS(MATCH(VLOOKUP(A620,A:A,1,0),A:A,0),8)&amp;":"&amp;ADDRESS((MATCH(VLOOKUP(A620,A:A,1,0),A:A,0)+COUNTIF(A:A,A620)-1),8))))</f>
        <v/>
      </c>
      <c r="H620" s="50"/>
      <c r="I620" s="55" t="str">
        <f t="shared" ref="I620:I683" ca="1" si="68">IF(H620="","",RANK(H620,INDIRECT(ADDRESS(MATCH(VLOOKUP(A620,A:A,1,0),A:A,0),10)&amp;":"&amp;ADDRESS((MATCH(VLOOKUP(A620,A:A,1,0),A:A,0)+COUNTIF(A:A,A620)-1),10))))</f>
        <v/>
      </c>
      <c r="J620" s="50"/>
      <c r="K620" s="55" t="str">
        <f t="shared" ref="K620:K683" ca="1" si="69">IF(J620="","",RANK(J620,INDIRECT(ADDRESS(MATCH(VLOOKUP(A620,A:A,1,0),A:A,0),12)&amp;":"&amp;ADDRESS((MATCH(VLOOKUP(A620,A:A,1,0),A:A,0)+COUNTIF(A:A,A620)-1),12))))</f>
        <v/>
      </c>
      <c r="L620" s="64" t="str">
        <f>IF(B620="","",D620+F620+H620+J620+#REF!+#REF!+#REF!+#REF!+#REF!)</f>
        <v/>
      </c>
      <c r="M620" s="55" t="str">
        <f t="shared" ref="M620:M683" ca="1" si="70">IF(L620="","",RANK(L620,INDIRECT(ADDRESS(MATCH(VLOOKUP(A620,A:A,1,0),A:A,0),26)&amp;":"&amp;ADDRESS((MATCH(VLOOKUP(A620,A:A,1,0),A:A,0)+COUNTIF(A:A,A620)-1),26))))</f>
        <v/>
      </c>
    </row>
    <row r="621" spans="1:13" ht="19.95" customHeight="1" x14ac:dyDescent="0.25">
      <c r="A621" s="52"/>
      <c r="B621" s="51"/>
      <c r="C621" s="54" t="str">
        <f>IF(B621="","",VLOOKUP(B621,学生信息汇总!A:E,2,0))</f>
        <v/>
      </c>
      <c r="D621" s="50"/>
      <c r="E621" s="55" t="str">
        <f t="shared" ca="1" si="66"/>
        <v/>
      </c>
      <c r="F621" s="51"/>
      <c r="G621" s="55" t="str">
        <f t="shared" ca="1" si="67"/>
        <v/>
      </c>
      <c r="H621" s="50"/>
      <c r="I621" s="55" t="str">
        <f t="shared" ca="1" si="68"/>
        <v/>
      </c>
      <c r="J621" s="50"/>
      <c r="K621" s="55" t="str">
        <f t="shared" ca="1" si="69"/>
        <v/>
      </c>
      <c r="L621" s="64" t="str">
        <f>IF(B621="","",D621+F621+H621+J621+#REF!+#REF!+#REF!+#REF!+#REF!)</f>
        <v/>
      </c>
      <c r="M621" s="55" t="str">
        <f t="shared" ca="1" si="70"/>
        <v/>
      </c>
    </row>
    <row r="622" spans="1:13" ht="19.95" customHeight="1" x14ac:dyDescent="0.25">
      <c r="A622" s="52"/>
      <c r="B622" s="51"/>
      <c r="C622" s="54" t="str">
        <f>IF(B622="","",VLOOKUP(B622,学生信息汇总!A:E,2,0))</f>
        <v/>
      </c>
      <c r="D622" s="50"/>
      <c r="E622" s="55" t="str">
        <f t="shared" ca="1" si="66"/>
        <v/>
      </c>
      <c r="F622" s="51"/>
      <c r="G622" s="55" t="str">
        <f t="shared" ca="1" si="67"/>
        <v/>
      </c>
      <c r="H622" s="50"/>
      <c r="I622" s="55" t="str">
        <f t="shared" ca="1" si="68"/>
        <v/>
      </c>
      <c r="J622" s="50"/>
      <c r="K622" s="55" t="str">
        <f t="shared" ca="1" si="69"/>
        <v/>
      </c>
      <c r="L622" s="64" t="str">
        <f>IF(B622="","",D622+F622+H622+J622+#REF!+#REF!+#REF!+#REF!+#REF!)</f>
        <v/>
      </c>
      <c r="M622" s="55" t="str">
        <f t="shared" ca="1" si="70"/>
        <v/>
      </c>
    </row>
    <row r="623" spans="1:13" ht="19.95" customHeight="1" x14ac:dyDescent="0.25">
      <c r="A623" s="52"/>
      <c r="B623" s="51"/>
      <c r="C623" s="54" t="str">
        <f>IF(B623="","",VLOOKUP(B623,学生信息汇总!A:E,2,0))</f>
        <v/>
      </c>
      <c r="D623" s="50"/>
      <c r="E623" s="55" t="str">
        <f t="shared" ca="1" si="66"/>
        <v/>
      </c>
      <c r="F623" s="51"/>
      <c r="G623" s="55" t="str">
        <f t="shared" ca="1" si="67"/>
        <v/>
      </c>
      <c r="H623" s="50"/>
      <c r="I623" s="55" t="str">
        <f t="shared" ca="1" si="68"/>
        <v/>
      </c>
      <c r="J623" s="50"/>
      <c r="K623" s="55" t="str">
        <f t="shared" ca="1" si="69"/>
        <v/>
      </c>
      <c r="L623" s="64" t="str">
        <f>IF(B623="","",D623+F623+H623+J623+#REF!+#REF!+#REF!+#REF!+#REF!)</f>
        <v/>
      </c>
      <c r="M623" s="55" t="str">
        <f t="shared" ca="1" si="70"/>
        <v/>
      </c>
    </row>
    <row r="624" spans="1:13" ht="19.95" customHeight="1" x14ac:dyDescent="0.25">
      <c r="A624" s="52"/>
      <c r="B624" s="51"/>
      <c r="C624" s="54" t="str">
        <f>IF(B624="","",VLOOKUP(B624,学生信息汇总!A:E,2,0))</f>
        <v/>
      </c>
      <c r="D624" s="50"/>
      <c r="E624" s="55" t="str">
        <f t="shared" ca="1" si="66"/>
        <v/>
      </c>
      <c r="F624" s="51"/>
      <c r="G624" s="55" t="str">
        <f t="shared" ca="1" si="67"/>
        <v/>
      </c>
      <c r="H624" s="50"/>
      <c r="I624" s="55" t="str">
        <f t="shared" ca="1" si="68"/>
        <v/>
      </c>
      <c r="J624" s="50"/>
      <c r="K624" s="55" t="str">
        <f t="shared" ca="1" si="69"/>
        <v/>
      </c>
      <c r="L624" s="64" t="str">
        <f>IF(B624="","",D624+F624+H624+J624+#REF!+#REF!+#REF!+#REF!+#REF!)</f>
        <v/>
      </c>
      <c r="M624" s="55" t="str">
        <f t="shared" ca="1" si="70"/>
        <v/>
      </c>
    </row>
    <row r="625" spans="1:13" ht="19.95" customHeight="1" x14ac:dyDescent="0.25">
      <c r="A625" s="52"/>
      <c r="B625" s="51"/>
      <c r="C625" s="54" t="str">
        <f>IF(B625="","",VLOOKUP(B625,学生信息汇总!A:E,2,0))</f>
        <v/>
      </c>
      <c r="D625" s="50"/>
      <c r="E625" s="55" t="str">
        <f t="shared" ca="1" si="66"/>
        <v/>
      </c>
      <c r="F625" s="51"/>
      <c r="G625" s="55" t="str">
        <f t="shared" ca="1" si="67"/>
        <v/>
      </c>
      <c r="H625" s="50"/>
      <c r="I625" s="55" t="str">
        <f t="shared" ca="1" si="68"/>
        <v/>
      </c>
      <c r="J625" s="50"/>
      <c r="K625" s="55" t="str">
        <f t="shared" ca="1" si="69"/>
        <v/>
      </c>
      <c r="L625" s="64" t="str">
        <f>IF(B625="","",D625+F625+H625+J625+#REF!+#REF!+#REF!+#REF!+#REF!)</f>
        <v/>
      </c>
      <c r="M625" s="55" t="str">
        <f t="shared" ca="1" si="70"/>
        <v/>
      </c>
    </row>
    <row r="626" spans="1:13" ht="19.95" customHeight="1" x14ac:dyDescent="0.25">
      <c r="A626" s="52"/>
      <c r="B626" s="51"/>
      <c r="C626" s="54" t="str">
        <f>IF(B626="","",VLOOKUP(B626,学生信息汇总!A:E,2,0))</f>
        <v/>
      </c>
      <c r="D626" s="50"/>
      <c r="E626" s="55" t="str">
        <f t="shared" ca="1" si="66"/>
        <v/>
      </c>
      <c r="F626" s="51"/>
      <c r="G626" s="55" t="str">
        <f t="shared" ca="1" si="67"/>
        <v/>
      </c>
      <c r="H626" s="50"/>
      <c r="I626" s="55" t="str">
        <f t="shared" ca="1" si="68"/>
        <v/>
      </c>
      <c r="J626" s="50"/>
      <c r="K626" s="55" t="str">
        <f t="shared" ca="1" si="69"/>
        <v/>
      </c>
      <c r="L626" s="64" t="str">
        <f>IF(B626="","",D626+F626+H626+J626+#REF!+#REF!+#REF!+#REF!+#REF!)</f>
        <v/>
      </c>
      <c r="M626" s="55" t="str">
        <f t="shared" ca="1" si="70"/>
        <v/>
      </c>
    </row>
    <row r="627" spans="1:13" ht="19.95" customHeight="1" x14ac:dyDescent="0.25">
      <c r="A627" s="52"/>
      <c r="B627" s="51"/>
      <c r="C627" s="54" t="str">
        <f>IF(B627="","",VLOOKUP(B627,学生信息汇总!A:E,2,0))</f>
        <v/>
      </c>
      <c r="D627" s="50"/>
      <c r="E627" s="55" t="str">
        <f t="shared" ca="1" si="66"/>
        <v/>
      </c>
      <c r="F627" s="51"/>
      <c r="G627" s="55" t="str">
        <f t="shared" ca="1" si="67"/>
        <v/>
      </c>
      <c r="H627" s="50"/>
      <c r="I627" s="55" t="str">
        <f t="shared" ca="1" si="68"/>
        <v/>
      </c>
      <c r="J627" s="50"/>
      <c r="K627" s="55" t="str">
        <f t="shared" ca="1" si="69"/>
        <v/>
      </c>
      <c r="L627" s="64" t="str">
        <f>IF(B627="","",D627+F627+H627+J627+#REF!+#REF!+#REF!+#REF!+#REF!)</f>
        <v/>
      </c>
      <c r="M627" s="55" t="str">
        <f t="shared" ca="1" si="70"/>
        <v/>
      </c>
    </row>
    <row r="628" spans="1:13" ht="19.95" customHeight="1" x14ac:dyDescent="0.25">
      <c r="A628" s="52"/>
      <c r="B628" s="51"/>
      <c r="C628" s="54" t="str">
        <f>IF(B628="","",VLOOKUP(B628,学生信息汇总!A:E,2,0))</f>
        <v/>
      </c>
      <c r="D628" s="50"/>
      <c r="E628" s="55" t="str">
        <f t="shared" ca="1" si="66"/>
        <v/>
      </c>
      <c r="F628" s="51"/>
      <c r="G628" s="55" t="str">
        <f t="shared" ca="1" si="67"/>
        <v/>
      </c>
      <c r="H628" s="50"/>
      <c r="I628" s="55" t="str">
        <f t="shared" ca="1" si="68"/>
        <v/>
      </c>
      <c r="J628" s="50"/>
      <c r="K628" s="55" t="str">
        <f t="shared" ca="1" si="69"/>
        <v/>
      </c>
      <c r="L628" s="64" t="str">
        <f>IF(B628="","",D628+F628+H628+J628+#REF!+#REF!+#REF!+#REF!+#REF!)</f>
        <v/>
      </c>
      <c r="M628" s="55" t="str">
        <f t="shared" ca="1" si="70"/>
        <v/>
      </c>
    </row>
    <row r="629" spans="1:13" ht="19.95" customHeight="1" x14ac:dyDescent="0.25">
      <c r="A629" s="52"/>
      <c r="B629" s="51"/>
      <c r="C629" s="54" t="str">
        <f>IF(B629="","",VLOOKUP(B629,学生信息汇总!A:E,2,0))</f>
        <v/>
      </c>
      <c r="D629" s="50"/>
      <c r="E629" s="55" t="str">
        <f t="shared" ca="1" si="66"/>
        <v/>
      </c>
      <c r="F629" s="51"/>
      <c r="G629" s="55" t="str">
        <f t="shared" ca="1" si="67"/>
        <v/>
      </c>
      <c r="H629" s="50"/>
      <c r="I629" s="55" t="str">
        <f t="shared" ca="1" si="68"/>
        <v/>
      </c>
      <c r="J629" s="50"/>
      <c r="K629" s="55" t="str">
        <f t="shared" ca="1" si="69"/>
        <v/>
      </c>
      <c r="L629" s="64" t="str">
        <f>IF(B629="","",D629+F629+H629+J629+#REF!+#REF!+#REF!+#REF!+#REF!)</f>
        <v/>
      </c>
      <c r="M629" s="55" t="str">
        <f t="shared" ca="1" si="70"/>
        <v/>
      </c>
    </row>
    <row r="630" spans="1:13" ht="19.95" customHeight="1" x14ac:dyDescent="0.25">
      <c r="A630" s="52"/>
      <c r="B630" s="51"/>
      <c r="C630" s="54" t="str">
        <f>IF(B630="","",VLOOKUP(B630,学生信息汇总!A:E,2,0))</f>
        <v/>
      </c>
      <c r="D630" s="50"/>
      <c r="E630" s="55" t="str">
        <f t="shared" ca="1" si="66"/>
        <v/>
      </c>
      <c r="F630" s="51"/>
      <c r="G630" s="55" t="str">
        <f t="shared" ca="1" si="67"/>
        <v/>
      </c>
      <c r="H630" s="50"/>
      <c r="I630" s="55" t="str">
        <f t="shared" ca="1" si="68"/>
        <v/>
      </c>
      <c r="J630" s="50"/>
      <c r="K630" s="55" t="str">
        <f t="shared" ca="1" si="69"/>
        <v/>
      </c>
      <c r="L630" s="64" t="str">
        <f>IF(B630="","",D630+F630+H630+J630+#REF!+#REF!+#REF!+#REF!+#REF!)</f>
        <v/>
      </c>
      <c r="M630" s="55" t="str">
        <f t="shared" ca="1" si="70"/>
        <v/>
      </c>
    </row>
    <row r="631" spans="1:13" ht="19.95" customHeight="1" x14ac:dyDescent="0.25">
      <c r="A631" s="52"/>
      <c r="B631" s="51"/>
      <c r="C631" s="54" t="str">
        <f>IF(B631="","",VLOOKUP(B631,学生信息汇总!A:E,2,0))</f>
        <v/>
      </c>
      <c r="D631" s="50"/>
      <c r="E631" s="55" t="str">
        <f t="shared" ca="1" si="66"/>
        <v/>
      </c>
      <c r="F631" s="51"/>
      <c r="G631" s="55" t="str">
        <f t="shared" ca="1" si="67"/>
        <v/>
      </c>
      <c r="H631" s="50"/>
      <c r="I631" s="55" t="str">
        <f t="shared" ca="1" si="68"/>
        <v/>
      </c>
      <c r="J631" s="50"/>
      <c r="K631" s="55" t="str">
        <f t="shared" ca="1" si="69"/>
        <v/>
      </c>
      <c r="L631" s="64" t="str">
        <f>IF(B631="","",D631+F631+H631+J631+#REF!+#REF!+#REF!+#REF!+#REF!)</f>
        <v/>
      </c>
      <c r="M631" s="55" t="str">
        <f t="shared" ca="1" si="70"/>
        <v/>
      </c>
    </row>
    <row r="632" spans="1:13" ht="19.95" customHeight="1" x14ac:dyDescent="0.25">
      <c r="A632" s="52"/>
      <c r="B632" s="51"/>
      <c r="C632" s="54" t="str">
        <f>IF(B632="","",VLOOKUP(B632,学生信息汇总!A:E,2,0))</f>
        <v/>
      </c>
      <c r="D632" s="50"/>
      <c r="E632" s="55" t="str">
        <f t="shared" ca="1" si="66"/>
        <v/>
      </c>
      <c r="F632" s="51"/>
      <c r="G632" s="55" t="str">
        <f t="shared" ca="1" si="67"/>
        <v/>
      </c>
      <c r="H632" s="50"/>
      <c r="I632" s="55" t="str">
        <f t="shared" ca="1" si="68"/>
        <v/>
      </c>
      <c r="J632" s="50"/>
      <c r="K632" s="55" t="str">
        <f t="shared" ca="1" si="69"/>
        <v/>
      </c>
      <c r="L632" s="64" t="str">
        <f>IF(B632="","",D632+F632+H632+J632+#REF!+#REF!+#REF!+#REF!+#REF!)</f>
        <v/>
      </c>
      <c r="M632" s="55" t="str">
        <f t="shared" ca="1" si="70"/>
        <v/>
      </c>
    </row>
    <row r="633" spans="1:13" ht="19.95" customHeight="1" x14ac:dyDescent="0.25">
      <c r="A633" s="52"/>
      <c r="B633" s="51"/>
      <c r="C633" s="54" t="str">
        <f>IF(B633="","",VLOOKUP(B633,学生信息汇总!A:E,2,0))</f>
        <v/>
      </c>
      <c r="D633" s="50"/>
      <c r="E633" s="55" t="str">
        <f t="shared" ca="1" si="66"/>
        <v/>
      </c>
      <c r="F633" s="51"/>
      <c r="G633" s="55" t="str">
        <f t="shared" ca="1" si="67"/>
        <v/>
      </c>
      <c r="H633" s="50"/>
      <c r="I633" s="55" t="str">
        <f t="shared" ca="1" si="68"/>
        <v/>
      </c>
      <c r="J633" s="50"/>
      <c r="K633" s="55" t="str">
        <f t="shared" ca="1" si="69"/>
        <v/>
      </c>
      <c r="L633" s="64" t="str">
        <f>IF(B633="","",D633+F633+H633+J633+#REF!+#REF!+#REF!+#REF!+#REF!)</f>
        <v/>
      </c>
      <c r="M633" s="55" t="str">
        <f t="shared" ca="1" si="70"/>
        <v/>
      </c>
    </row>
    <row r="634" spans="1:13" ht="19.95" customHeight="1" x14ac:dyDescent="0.25">
      <c r="A634" s="52"/>
      <c r="B634" s="51"/>
      <c r="C634" s="54" t="str">
        <f>IF(B634="","",VLOOKUP(B634,学生信息汇总!A:E,2,0))</f>
        <v/>
      </c>
      <c r="D634" s="50"/>
      <c r="E634" s="55" t="str">
        <f t="shared" ca="1" si="66"/>
        <v/>
      </c>
      <c r="F634" s="51"/>
      <c r="G634" s="55" t="str">
        <f t="shared" ca="1" si="67"/>
        <v/>
      </c>
      <c r="H634" s="50"/>
      <c r="I634" s="55" t="str">
        <f t="shared" ca="1" si="68"/>
        <v/>
      </c>
      <c r="J634" s="50"/>
      <c r="K634" s="55" t="str">
        <f t="shared" ca="1" si="69"/>
        <v/>
      </c>
      <c r="L634" s="64" t="str">
        <f>IF(B634="","",D634+F634+H634+J634+#REF!+#REF!+#REF!+#REF!+#REF!)</f>
        <v/>
      </c>
      <c r="M634" s="55" t="str">
        <f t="shared" ca="1" si="70"/>
        <v/>
      </c>
    </row>
    <row r="635" spans="1:13" ht="19.95" customHeight="1" x14ac:dyDescent="0.25">
      <c r="A635" s="52"/>
      <c r="B635" s="51"/>
      <c r="C635" s="54" t="str">
        <f>IF(B635="","",VLOOKUP(B635,学生信息汇总!A:E,2,0))</f>
        <v/>
      </c>
      <c r="D635" s="50"/>
      <c r="E635" s="55" t="str">
        <f t="shared" ca="1" si="66"/>
        <v/>
      </c>
      <c r="F635" s="51"/>
      <c r="G635" s="55" t="str">
        <f t="shared" ca="1" si="67"/>
        <v/>
      </c>
      <c r="H635" s="50"/>
      <c r="I635" s="55" t="str">
        <f t="shared" ca="1" si="68"/>
        <v/>
      </c>
      <c r="J635" s="50"/>
      <c r="K635" s="55" t="str">
        <f t="shared" ca="1" si="69"/>
        <v/>
      </c>
      <c r="L635" s="64" t="str">
        <f>IF(B635="","",D635+F635+H635+J635+#REF!+#REF!+#REF!+#REF!+#REF!)</f>
        <v/>
      </c>
      <c r="M635" s="55" t="str">
        <f t="shared" ca="1" si="70"/>
        <v/>
      </c>
    </row>
    <row r="636" spans="1:13" ht="19.95" customHeight="1" x14ac:dyDescent="0.25">
      <c r="A636" s="52"/>
      <c r="B636" s="51"/>
      <c r="C636" s="54" t="str">
        <f>IF(B636="","",VLOOKUP(B636,学生信息汇总!A:E,2,0))</f>
        <v/>
      </c>
      <c r="D636" s="50"/>
      <c r="E636" s="55" t="str">
        <f t="shared" ca="1" si="66"/>
        <v/>
      </c>
      <c r="F636" s="51"/>
      <c r="G636" s="55" t="str">
        <f t="shared" ca="1" si="67"/>
        <v/>
      </c>
      <c r="H636" s="50"/>
      <c r="I636" s="55" t="str">
        <f t="shared" ca="1" si="68"/>
        <v/>
      </c>
      <c r="J636" s="50"/>
      <c r="K636" s="55" t="str">
        <f t="shared" ca="1" si="69"/>
        <v/>
      </c>
      <c r="L636" s="64" t="str">
        <f>IF(B636="","",D636+F636+H636+J636+#REF!+#REF!+#REF!+#REF!+#REF!)</f>
        <v/>
      </c>
      <c r="M636" s="55" t="str">
        <f t="shared" ca="1" si="70"/>
        <v/>
      </c>
    </row>
    <row r="637" spans="1:13" ht="19.95" customHeight="1" x14ac:dyDescent="0.25">
      <c r="A637" s="52"/>
      <c r="B637" s="51"/>
      <c r="C637" s="54" t="str">
        <f>IF(B637="","",VLOOKUP(B637,学生信息汇总!A:E,2,0))</f>
        <v/>
      </c>
      <c r="D637" s="50"/>
      <c r="E637" s="55" t="str">
        <f t="shared" ca="1" si="66"/>
        <v/>
      </c>
      <c r="F637" s="51"/>
      <c r="G637" s="55" t="str">
        <f t="shared" ca="1" si="67"/>
        <v/>
      </c>
      <c r="H637" s="50"/>
      <c r="I637" s="55" t="str">
        <f t="shared" ca="1" si="68"/>
        <v/>
      </c>
      <c r="J637" s="50"/>
      <c r="K637" s="55" t="str">
        <f t="shared" ca="1" si="69"/>
        <v/>
      </c>
      <c r="L637" s="64" t="str">
        <f>IF(B637="","",D637+F637+H637+J637+#REF!+#REF!+#REF!+#REF!+#REF!)</f>
        <v/>
      </c>
      <c r="M637" s="55" t="str">
        <f t="shared" ca="1" si="70"/>
        <v/>
      </c>
    </row>
    <row r="638" spans="1:13" ht="19.95" customHeight="1" x14ac:dyDescent="0.25">
      <c r="A638" s="52"/>
      <c r="B638" s="51"/>
      <c r="C638" s="54" t="str">
        <f>IF(B638="","",VLOOKUP(B638,学生信息汇总!A:E,2,0))</f>
        <v/>
      </c>
      <c r="D638" s="50"/>
      <c r="E638" s="55" t="str">
        <f t="shared" ca="1" si="66"/>
        <v/>
      </c>
      <c r="F638" s="51"/>
      <c r="G638" s="55" t="str">
        <f t="shared" ca="1" si="67"/>
        <v/>
      </c>
      <c r="H638" s="50"/>
      <c r="I638" s="55" t="str">
        <f t="shared" ca="1" si="68"/>
        <v/>
      </c>
      <c r="J638" s="50"/>
      <c r="K638" s="55" t="str">
        <f t="shared" ca="1" si="69"/>
        <v/>
      </c>
      <c r="L638" s="64" t="str">
        <f>IF(B638="","",D638+F638+H638+J638+#REF!+#REF!+#REF!+#REF!+#REF!)</f>
        <v/>
      </c>
      <c r="M638" s="55" t="str">
        <f t="shared" ca="1" si="70"/>
        <v/>
      </c>
    </row>
    <row r="639" spans="1:13" ht="19.95" customHeight="1" x14ac:dyDescent="0.25">
      <c r="A639" s="52"/>
      <c r="B639" s="51"/>
      <c r="C639" s="54" t="str">
        <f>IF(B639="","",VLOOKUP(B639,学生信息汇总!A:E,2,0))</f>
        <v/>
      </c>
      <c r="D639" s="50"/>
      <c r="E639" s="55" t="str">
        <f t="shared" ca="1" si="66"/>
        <v/>
      </c>
      <c r="F639" s="51"/>
      <c r="G639" s="55" t="str">
        <f t="shared" ca="1" si="67"/>
        <v/>
      </c>
      <c r="H639" s="50"/>
      <c r="I639" s="55" t="str">
        <f t="shared" ca="1" si="68"/>
        <v/>
      </c>
      <c r="J639" s="50"/>
      <c r="K639" s="55" t="str">
        <f t="shared" ca="1" si="69"/>
        <v/>
      </c>
      <c r="L639" s="64" t="str">
        <f>IF(B639="","",D639+F639+H639+J639+#REF!+#REF!+#REF!+#REF!+#REF!)</f>
        <v/>
      </c>
      <c r="M639" s="55" t="str">
        <f t="shared" ca="1" si="70"/>
        <v/>
      </c>
    </row>
    <row r="640" spans="1:13" ht="19.95" customHeight="1" x14ac:dyDescent="0.25">
      <c r="A640" s="52"/>
      <c r="B640" s="51"/>
      <c r="C640" s="54" t="str">
        <f>IF(B640="","",VLOOKUP(B640,学生信息汇总!A:E,2,0))</f>
        <v/>
      </c>
      <c r="D640" s="50"/>
      <c r="E640" s="55" t="str">
        <f t="shared" ca="1" si="66"/>
        <v/>
      </c>
      <c r="F640" s="51"/>
      <c r="G640" s="55" t="str">
        <f t="shared" ca="1" si="67"/>
        <v/>
      </c>
      <c r="H640" s="50"/>
      <c r="I640" s="55" t="str">
        <f t="shared" ca="1" si="68"/>
        <v/>
      </c>
      <c r="J640" s="50"/>
      <c r="K640" s="55" t="str">
        <f t="shared" ca="1" si="69"/>
        <v/>
      </c>
      <c r="L640" s="64" t="str">
        <f>IF(B640="","",D640+F640+H640+J640+#REF!+#REF!+#REF!+#REF!+#REF!)</f>
        <v/>
      </c>
      <c r="M640" s="55" t="str">
        <f t="shared" ca="1" si="70"/>
        <v/>
      </c>
    </row>
    <row r="641" spans="1:13" ht="19.95" customHeight="1" x14ac:dyDescent="0.25">
      <c r="A641" s="52"/>
      <c r="B641" s="51"/>
      <c r="C641" s="54" t="str">
        <f>IF(B641="","",VLOOKUP(B641,学生信息汇总!A:E,2,0))</f>
        <v/>
      </c>
      <c r="D641" s="50"/>
      <c r="E641" s="55" t="str">
        <f t="shared" ca="1" si="66"/>
        <v/>
      </c>
      <c r="F641" s="51"/>
      <c r="G641" s="55" t="str">
        <f t="shared" ca="1" si="67"/>
        <v/>
      </c>
      <c r="H641" s="50"/>
      <c r="I641" s="55" t="str">
        <f t="shared" ca="1" si="68"/>
        <v/>
      </c>
      <c r="J641" s="50"/>
      <c r="K641" s="55" t="str">
        <f t="shared" ca="1" si="69"/>
        <v/>
      </c>
      <c r="L641" s="64" t="str">
        <f>IF(B641="","",D641+F641+H641+J641+#REF!+#REF!+#REF!+#REF!+#REF!)</f>
        <v/>
      </c>
      <c r="M641" s="55" t="str">
        <f t="shared" ca="1" si="70"/>
        <v/>
      </c>
    </row>
    <row r="642" spans="1:13" ht="19.95" customHeight="1" x14ac:dyDescent="0.25">
      <c r="A642" s="52"/>
      <c r="B642" s="51"/>
      <c r="C642" s="54" t="str">
        <f>IF(B642="","",VLOOKUP(B642,学生信息汇总!A:E,2,0))</f>
        <v/>
      </c>
      <c r="D642" s="50"/>
      <c r="E642" s="55" t="str">
        <f t="shared" ca="1" si="66"/>
        <v/>
      </c>
      <c r="F642" s="51"/>
      <c r="G642" s="55" t="str">
        <f t="shared" ca="1" si="67"/>
        <v/>
      </c>
      <c r="H642" s="50"/>
      <c r="I642" s="55" t="str">
        <f t="shared" ca="1" si="68"/>
        <v/>
      </c>
      <c r="J642" s="50"/>
      <c r="K642" s="55" t="str">
        <f t="shared" ca="1" si="69"/>
        <v/>
      </c>
      <c r="L642" s="64" t="str">
        <f>IF(B642="","",D642+F642+H642+J642+#REF!+#REF!+#REF!+#REF!+#REF!)</f>
        <v/>
      </c>
      <c r="M642" s="55" t="str">
        <f t="shared" ca="1" si="70"/>
        <v/>
      </c>
    </row>
    <row r="643" spans="1:13" ht="19.95" customHeight="1" x14ac:dyDescent="0.25">
      <c r="A643" s="52"/>
      <c r="B643" s="51"/>
      <c r="C643" s="54" t="str">
        <f>IF(B643="","",VLOOKUP(B643,学生信息汇总!A:E,2,0))</f>
        <v/>
      </c>
      <c r="D643" s="50"/>
      <c r="E643" s="55" t="str">
        <f t="shared" ca="1" si="66"/>
        <v/>
      </c>
      <c r="F643" s="51"/>
      <c r="G643" s="55" t="str">
        <f t="shared" ca="1" si="67"/>
        <v/>
      </c>
      <c r="H643" s="50"/>
      <c r="I643" s="55" t="str">
        <f t="shared" ca="1" si="68"/>
        <v/>
      </c>
      <c r="J643" s="50"/>
      <c r="K643" s="55" t="str">
        <f t="shared" ca="1" si="69"/>
        <v/>
      </c>
      <c r="L643" s="64" t="str">
        <f>IF(B643="","",D643+F643+H643+J643+#REF!+#REF!+#REF!+#REF!+#REF!)</f>
        <v/>
      </c>
      <c r="M643" s="55" t="str">
        <f t="shared" ca="1" si="70"/>
        <v/>
      </c>
    </row>
    <row r="644" spans="1:13" ht="19.95" customHeight="1" x14ac:dyDescent="0.25">
      <c r="A644" s="52"/>
      <c r="B644" s="51"/>
      <c r="C644" s="54" t="str">
        <f>IF(B644="","",VLOOKUP(B644,学生信息汇总!A:E,2,0))</f>
        <v/>
      </c>
      <c r="D644" s="50"/>
      <c r="E644" s="55" t="str">
        <f t="shared" ca="1" si="66"/>
        <v/>
      </c>
      <c r="F644" s="51"/>
      <c r="G644" s="55" t="str">
        <f t="shared" ca="1" si="67"/>
        <v/>
      </c>
      <c r="H644" s="50"/>
      <c r="I644" s="55" t="str">
        <f t="shared" ca="1" si="68"/>
        <v/>
      </c>
      <c r="J644" s="50"/>
      <c r="K644" s="55" t="str">
        <f t="shared" ca="1" si="69"/>
        <v/>
      </c>
      <c r="L644" s="64" t="str">
        <f>IF(B644="","",D644+F644+H644+J644+#REF!+#REF!+#REF!+#REF!+#REF!)</f>
        <v/>
      </c>
      <c r="M644" s="55" t="str">
        <f t="shared" ca="1" si="70"/>
        <v/>
      </c>
    </row>
    <row r="645" spans="1:13" ht="19.95" customHeight="1" x14ac:dyDescent="0.25">
      <c r="A645" s="52"/>
      <c r="B645" s="51"/>
      <c r="C645" s="54" t="str">
        <f>IF(B645="","",VLOOKUP(B645,学生信息汇总!A:E,2,0))</f>
        <v/>
      </c>
      <c r="D645" s="50"/>
      <c r="E645" s="55" t="str">
        <f t="shared" ca="1" si="66"/>
        <v/>
      </c>
      <c r="F645" s="51"/>
      <c r="G645" s="55" t="str">
        <f t="shared" ca="1" si="67"/>
        <v/>
      </c>
      <c r="H645" s="50"/>
      <c r="I645" s="55" t="str">
        <f t="shared" ca="1" si="68"/>
        <v/>
      </c>
      <c r="J645" s="50"/>
      <c r="K645" s="55" t="str">
        <f t="shared" ca="1" si="69"/>
        <v/>
      </c>
      <c r="L645" s="64" t="str">
        <f>IF(B645="","",D645+F645+H645+J645+#REF!+#REF!+#REF!+#REF!+#REF!)</f>
        <v/>
      </c>
      <c r="M645" s="55" t="str">
        <f t="shared" ca="1" si="70"/>
        <v/>
      </c>
    </row>
    <row r="646" spans="1:13" ht="19.95" customHeight="1" x14ac:dyDescent="0.25">
      <c r="A646" s="52"/>
      <c r="B646" s="51"/>
      <c r="C646" s="54" t="str">
        <f>IF(B646="","",VLOOKUP(B646,学生信息汇总!A:E,2,0))</f>
        <v/>
      </c>
      <c r="D646" s="50"/>
      <c r="E646" s="55" t="str">
        <f t="shared" ca="1" si="66"/>
        <v/>
      </c>
      <c r="F646" s="51"/>
      <c r="G646" s="55" t="str">
        <f t="shared" ca="1" si="67"/>
        <v/>
      </c>
      <c r="H646" s="50"/>
      <c r="I646" s="55" t="str">
        <f t="shared" ca="1" si="68"/>
        <v/>
      </c>
      <c r="J646" s="50"/>
      <c r="K646" s="55" t="str">
        <f t="shared" ca="1" si="69"/>
        <v/>
      </c>
      <c r="L646" s="64" t="str">
        <f>IF(B646="","",D646+F646+H646+J646+#REF!+#REF!+#REF!+#REF!+#REF!)</f>
        <v/>
      </c>
      <c r="M646" s="55" t="str">
        <f t="shared" ca="1" si="70"/>
        <v/>
      </c>
    </row>
    <row r="647" spans="1:13" ht="19.95" customHeight="1" x14ac:dyDescent="0.25">
      <c r="A647" s="52"/>
      <c r="B647" s="51"/>
      <c r="C647" s="54" t="str">
        <f>IF(B647="","",VLOOKUP(B647,学生信息汇总!A:E,2,0))</f>
        <v/>
      </c>
      <c r="D647" s="50"/>
      <c r="E647" s="55" t="str">
        <f t="shared" ca="1" si="66"/>
        <v/>
      </c>
      <c r="F647" s="51"/>
      <c r="G647" s="55" t="str">
        <f t="shared" ca="1" si="67"/>
        <v/>
      </c>
      <c r="H647" s="50"/>
      <c r="I647" s="55" t="str">
        <f t="shared" ca="1" si="68"/>
        <v/>
      </c>
      <c r="J647" s="50"/>
      <c r="K647" s="55" t="str">
        <f t="shared" ca="1" si="69"/>
        <v/>
      </c>
      <c r="L647" s="64" t="str">
        <f>IF(B647="","",D647+F647+H647+J647+#REF!+#REF!+#REF!+#REF!+#REF!)</f>
        <v/>
      </c>
      <c r="M647" s="55" t="str">
        <f t="shared" ca="1" si="70"/>
        <v/>
      </c>
    </row>
    <row r="648" spans="1:13" ht="19.95" customHeight="1" x14ac:dyDescent="0.25">
      <c r="A648" s="52"/>
      <c r="B648" s="51"/>
      <c r="C648" s="54" t="str">
        <f>IF(B648="","",VLOOKUP(B648,学生信息汇总!A:E,2,0))</f>
        <v/>
      </c>
      <c r="D648" s="50"/>
      <c r="E648" s="55" t="str">
        <f t="shared" ca="1" si="66"/>
        <v/>
      </c>
      <c r="F648" s="51"/>
      <c r="G648" s="55" t="str">
        <f t="shared" ca="1" si="67"/>
        <v/>
      </c>
      <c r="H648" s="50"/>
      <c r="I648" s="55" t="str">
        <f t="shared" ca="1" si="68"/>
        <v/>
      </c>
      <c r="J648" s="50"/>
      <c r="K648" s="55" t="str">
        <f t="shared" ca="1" si="69"/>
        <v/>
      </c>
      <c r="L648" s="64" t="str">
        <f>IF(B648="","",D648+F648+H648+J648+#REF!+#REF!+#REF!+#REF!+#REF!)</f>
        <v/>
      </c>
      <c r="M648" s="55" t="str">
        <f t="shared" ca="1" si="70"/>
        <v/>
      </c>
    </row>
    <row r="649" spans="1:13" ht="19.95" customHeight="1" x14ac:dyDescent="0.25">
      <c r="A649" s="52"/>
      <c r="B649" s="51"/>
      <c r="C649" s="54" t="str">
        <f>IF(B649="","",VLOOKUP(B649,学生信息汇总!A:E,2,0))</f>
        <v/>
      </c>
      <c r="D649" s="50"/>
      <c r="E649" s="55" t="str">
        <f t="shared" ca="1" si="66"/>
        <v/>
      </c>
      <c r="F649" s="51"/>
      <c r="G649" s="55" t="str">
        <f t="shared" ca="1" si="67"/>
        <v/>
      </c>
      <c r="H649" s="50"/>
      <c r="I649" s="55" t="str">
        <f t="shared" ca="1" si="68"/>
        <v/>
      </c>
      <c r="J649" s="50"/>
      <c r="K649" s="55" t="str">
        <f t="shared" ca="1" si="69"/>
        <v/>
      </c>
      <c r="L649" s="64" t="str">
        <f>IF(B649="","",D649+F649+H649+J649+#REF!+#REF!+#REF!+#REF!+#REF!)</f>
        <v/>
      </c>
      <c r="M649" s="55" t="str">
        <f t="shared" ca="1" si="70"/>
        <v/>
      </c>
    </row>
    <row r="650" spans="1:13" ht="19.95" customHeight="1" x14ac:dyDescent="0.25">
      <c r="A650" s="52"/>
      <c r="B650" s="51"/>
      <c r="C650" s="54" t="str">
        <f>IF(B650="","",VLOOKUP(B650,学生信息汇总!A:E,2,0))</f>
        <v/>
      </c>
      <c r="D650" s="50"/>
      <c r="E650" s="55" t="str">
        <f t="shared" ca="1" si="66"/>
        <v/>
      </c>
      <c r="F650" s="51"/>
      <c r="G650" s="55" t="str">
        <f t="shared" ca="1" si="67"/>
        <v/>
      </c>
      <c r="H650" s="50"/>
      <c r="I650" s="55" t="str">
        <f t="shared" ca="1" si="68"/>
        <v/>
      </c>
      <c r="J650" s="50"/>
      <c r="K650" s="55" t="str">
        <f t="shared" ca="1" si="69"/>
        <v/>
      </c>
      <c r="L650" s="64" t="str">
        <f>IF(B650="","",D650+F650+H650+J650+#REF!+#REF!+#REF!+#REF!+#REF!)</f>
        <v/>
      </c>
      <c r="M650" s="55" t="str">
        <f t="shared" ca="1" si="70"/>
        <v/>
      </c>
    </row>
    <row r="651" spans="1:13" ht="19.95" customHeight="1" x14ac:dyDescent="0.25">
      <c r="A651" s="52"/>
      <c r="B651" s="51"/>
      <c r="C651" s="54" t="str">
        <f>IF(B651="","",VLOOKUP(B651,学生信息汇总!A:E,2,0))</f>
        <v/>
      </c>
      <c r="D651" s="50"/>
      <c r="E651" s="55" t="str">
        <f t="shared" ca="1" si="66"/>
        <v/>
      </c>
      <c r="F651" s="51"/>
      <c r="G651" s="55" t="str">
        <f t="shared" ca="1" si="67"/>
        <v/>
      </c>
      <c r="H651" s="50"/>
      <c r="I651" s="55" t="str">
        <f t="shared" ca="1" si="68"/>
        <v/>
      </c>
      <c r="J651" s="50"/>
      <c r="K651" s="55" t="str">
        <f t="shared" ca="1" si="69"/>
        <v/>
      </c>
      <c r="L651" s="64" t="str">
        <f>IF(B651="","",D651+F651+H651+J651+#REF!+#REF!+#REF!+#REF!+#REF!)</f>
        <v/>
      </c>
      <c r="M651" s="55" t="str">
        <f t="shared" ca="1" si="70"/>
        <v/>
      </c>
    </row>
    <row r="652" spans="1:13" ht="19.95" customHeight="1" x14ac:dyDescent="0.25">
      <c r="A652" s="52"/>
      <c r="B652" s="51"/>
      <c r="C652" s="54" t="str">
        <f>IF(B652="","",VLOOKUP(B652,学生信息汇总!A:E,2,0))</f>
        <v/>
      </c>
      <c r="D652" s="50"/>
      <c r="E652" s="55" t="str">
        <f t="shared" ca="1" si="66"/>
        <v/>
      </c>
      <c r="F652" s="51"/>
      <c r="G652" s="55" t="str">
        <f t="shared" ca="1" si="67"/>
        <v/>
      </c>
      <c r="H652" s="50"/>
      <c r="I652" s="55" t="str">
        <f t="shared" ca="1" si="68"/>
        <v/>
      </c>
      <c r="J652" s="50"/>
      <c r="K652" s="55" t="str">
        <f t="shared" ca="1" si="69"/>
        <v/>
      </c>
      <c r="L652" s="64" t="str">
        <f>IF(B652="","",D652+F652+H652+J652+#REF!+#REF!+#REF!+#REF!+#REF!)</f>
        <v/>
      </c>
      <c r="M652" s="55" t="str">
        <f t="shared" ca="1" si="70"/>
        <v/>
      </c>
    </row>
    <row r="653" spans="1:13" ht="19.95" customHeight="1" x14ac:dyDescent="0.25">
      <c r="A653" s="52"/>
      <c r="B653" s="51"/>
      <c r="C653" s="54" t="str">
        <f>IF(B653="","",VLOOKUP(B653,学生信息汇总!A:E,2,0))</f>
        <v/>
      </c>
      <c r="D653" s="50"/>
      <c r="E653" s="55" t="str">
        <f t="shared" ca="1" si="66"/>
        <v/>
      </c>
      <c r="F653" s="51"/>
      <c r="G653" s="55" t="str">
        <f t="shared" ca="1" si="67"/>
        <v/>
      </c>
      <c r="H653" s="50"/>
      <c r="I653" s="55" t="str">
        <f t="shared" ca="1" si="68"/>
        <v/>
      </c>
      <c r="J653" s="50"/>
      <c r="K653" s="55" t="str">
        <f t="shared" ca="1" si="69"/>
        <v/>
      </c>
      <c r="L653" s="64" t="str">
        <f>IF(B653="","",D653+F653+H653+J653+#REF!+#REF!+#REF!+#REF!+#REF!)</f>
        <v/>
      </c>
      <c r="M653" s="55" t="str">
        <f t="shared" ca="1" si="70"/>
        <v/>
      </c>
    </row>
    <row r="654" spans="1:13" ht="19.95" customHeight="1" x14ac:dyDescent="0.25">
      <c r="A654" s="52"/>
      <c r="B654" s="51"/>
      <c r="C654" s="54" t="str">
        <f>IF(B654="","",VLOOKUP(B654,学生信息汇总!A:E,2,0))</f>
        <v/>
      </c>
      <c r="D654" s="50"/>
      <c r="E654" s="55" t="str">
        <f t="shared" ca="1" si="66"/>
        <v/>
      </c>
      <c r="F654" s="51"/>
      <c r="G654" s="55" t="str">
        <f t="shared" ca="1" si="67"/>
        <v/>
      </c>
      <c r="H654" s="50"/>
      <c r="I654" s="55" t="str">
        <f t="shared" ca="1" si="68"/>
        <v/>
      </c>
      <c r="J654" s="50"/>
      <c r="K654" s="55" t="str">
        <f t="shared" ca="1" si="69"/>
        <v/>
      </c>
      <c r="L654" s="64" t="str">
        <f>IF(B654="","",D654+F654+H654+J654+#REF!+#REF!+#REF!+#REF!+#REF!)</f>
        <v/>
      </c>
      <c r="M654" s="55" t="str">
        <f t="shared" ca="1" si="70"/>
        <v/>
      </c>
    </row>
    <row r="655" spans="1:13" ht="19.95" customHeight="1" x14ac:dyDescent="0.25">
      <c r="A655" s="52"/>
      <c r="B655" s="51"/>
      <c r="C655" s="54" t="str">
        <f>IF(B655="","",VLOOKUP(B655,学生信息汇总!A:E,2,0))</f>
        <v/>
      </c>
      <c r="D655" s="50"/>
      <c r="E655" s="55" t="str">
        <f t="shared" ca="1" si="66"/>
        <v/>
      </c>
      <c r="F655" s="51"/>
      <c r="G655" s="55" t="str">
        <f t="shared" ca="1" si="67"/>
        <v/>
      </c>
      <c r="H655" s="50"/>
      <c r="I655" s="55" t="str">
        <f t="shared" ca="1" si="68"/>
        <v/>
      </c>
      <c r="J655" s="50"/>
      <c r="K655" s="55" t="str">
        <f t="shared" ca="1" si="69"/>
        <v/>
      </c>
      <c r="L655" s="64" t="str">
        <f>IF(B655="","",D655+F655+H655+J655+#REF!+#REF!+#REF!+#REF!+#REF!)</f>
        <v/>
      </c>
      <c r="M655" s="55" t="str">
        <f t="shared" ca="1" si="70"/>
        <v/>
      </c>
    </row>
    <row r="656" spans="1:13" ht="19.95" customHeight="1" x14ac:dyDescent="0.25">
      <c r="A656" s="52"/>
      <c r="B656" s="51"/>
      <c r="C656" s="54" t="str">
        <f>IF(B656="","",VLOOKUP(B656,学生信息汇总!A:E,2,0))</f>
        <v/>
      </c>
      <c r="D656" s="50"/>
      <c r="E656" s="55" t="str">
        <f t="shared" ca="1" si="66"/>
        <v/>
      </c>
      <c r="F656" s="51"/>
      <c r="G656" s="55" t="str">
        <f t="shared" ca="1" si="67"/>
        <v/>
      </c>
      <c r="H656" s="50"/>
      <c r="I656" s="55" t="str">
        <f t="shared" ca="1" si="68"/>
        <v/>
      </c>
      <c r="J656" s="50"/>
      <c r="K656" s="55" t="str">
        <f t="shared" ca="1" si="69"/>
        <v/>
      </c>
      <c r="L656" s="64" t="str">
        <f>IF(B656="","",D656+F656+H656+J656+#REF!+#REF!+#REF!+#REF!+#REF!)</f>
        <v/>
      </c>
      <c r="M656" s="55" t="str">
        <f t="shared" ca="1" si="70"/>
        <v/>
      </c>
    </row>
    <row r="657" spans="1:13" ht="19.95" customHeight="1" x14ac:dyDescent="0.25">
      <c r="A657" s="52"/>
      <c r="B657" s="51"/>
      <c r="C657" s="54" t="str">
        <f>IF(B657="","",VLOOKUP(B657,学生信息汇总!A:E,2,0))</f>
        <v/>
      </c>
      <c r="D657" s="50"/>
      <c r="E657" s="55" t="str">
        <f t="shared" ca="1" si="66"/>
        <v/>
      </c>
      <c r="F657" s="51"/>
      <c r="G657" s="55" t="str">
        <f t="shared" ca="1" si="67"/>
        <v/>
      </c>
      <c r="H657" s="50"/>
      <c r="I657" s="55" t="str">
        <f t="shared" ca="1" si="68"/>
        <v/>
      </c>
      <c r="J657" s="50"/>
      <c r="K657" s="55" t="str">
        <f t="shared" ca="1" si="69"/>
        <v/>
      </c>
      <c r="L657" s="64" t="str">
        <f>IF(B657="","",D657+F657+H657+J657+#REF!+#REF!+#REF!+#REF!+#REF!)</f>
        <v/>
      </c>
      <c r="M657" s="55" t="str">
        <f t="shared" ca="1" si="70"/>
        <v/>
      </c>
    </row>
    <row r="658" spans="1:13" ht="19.95" customHeight="1" x14ac:dyDescent="0.25">
      <c r="A658" s="52"/>
      <c r="B658" s="51"/>
      <c r="C658" s="54" t="str">
        <f>IF(B658="","",VLOOKUP(B658,学生信息汇总!A:E,2,0))</f>
        <v/>
      </c>
      <c r="D658" s="50"/>
      <c r="E658" s="55" t="str">
        <f t="shared" ca="1" si="66"/>
        <v/>
      </c>
      <c r="F658" s="51"/>
      <c r="G658" s="55" t="str">
        <f t="shared" ca="1" si="67"/>
        <v/>
      </c>
      <c r="H658" s="50"/>
      <c r="I658" s="55" t="str">
        <f t="shared" ca="1" si="68"/>
        <v/>
      </c>
      <c r="J658" s="50"/>
      <c r="K658" s="55" t="str">
        <f t="shared" ca="1" si="69"/>
        <v/>
      </c>
      <c r="L658" s="64" t="str">
        <f>IF(B658="","",D658+F658+H658+J658+#REF!+#REF!+#REF!+#REF!+#REF!)</f>
        <v/>
      </c>
      <c r="M658" s="55" t="str">
        <f t="shared" ca="1" si="70"/>
        <v/>
      </c>
    </row>
    <row r="659" spans="1:13" ht="19.95" customHeight="1" x14ac:dyDescent="0.25">
      <c r="A659" s="52"/>
      <c r="B659" s="51"/>
      <c r="C659" s="54" t="str">
        <f>IF(B659="","",VLOOKUP(B659,学生信息汇总!A:E,2,0))</f>
        <v/>
      </c>
      <c r="D659" s="50"/>
      <c r="E659" s="55" t="str">
        <f t="shared" ca="1" si="66"/>
        <v/>
      </c>
      <c r="F659" s="51"/>
      <c r="G659" s="55" t="str">
        <f t="shared" ca="1" si="67"/>
        <v/>
      </c>
      <c r="H659" s="50"/>
      <c r="I659" s="55" t="str">
        <f t="shared" ca="1" si="68"/>
        <v/>
      </c>
      <c r="J659" s="50"/>
      <c r="K659" s="55" t="str">
        <f t="shared" ca="1" si="69"/>
        <v/>
      </c>
      <c r="L659" s="64" t="str">
        <f>IF(B659="","",D659+F659+H659+J659+#REF!+#REF!+#REF!+#REF!+#REF!)</f>
        <v/>
      </c>
      <c r="M659" s="55" t="str">
        <f t="shared" ca="1" si="70"/>
        <v/>
      </c>
    </row>
    <row r="660" spans="1:13" ht="19.95" customHeight="1" x14ac:dyDescent="0.25">
      <c r="A660" s="52"/>
      <c r="B660" s="51"/>
      <c r="C660" s="54" t="str">
        <f>IF(B660="","",VLOOKUP(B660,学生信息汇总!A:E,2,0))</f>
        <v/>
      </c>
      <c r="D660" s="50"/>
      <c r="E660" s="55" t="str">
        <f t="shared" ca="1" si="66"/>
        <v/>
      </c>
      <c r="F660" s="51"/>
      <c r="G660" s="55" t="str">
        <f t="shared" ca="1" si="67"/>
        <v/>
      </c>
      <c r="H660" s="50"/>
      <c r="I660" s="55" t="str">
        <f t="shared" ca="1" si="68"/>
        <v/>
      </c>
      <c r="J660" s="50"/>
      <c r="K660" s="55" t="str">
        <f t="shared" ca="1" si="69"/>
        <v/>
      </c>
      <c r="L660" s="64" t="str">
        <f>IF(B660="","",D660+F660+H660+J660+#REF!+#REF!+#REF!+#REF!+#REF!)</f>
        <v/>
      </c>
      <c r="M660" s="55" t="str">
        <f t="shared" ca="1" si="70"/>
        <v/>
      </c>
    </row>
    <row r="661" spans="1:13" ht="19.95" customHeight="1" x14ac:dyDescent="0.25">
      <c r="A661" s="52"/>
      <c r="B661" s="51"/>
      <c r="C661" s="54" t="str">
        <f>IF(B661="","",VLOOKUP(B661,学生信息汇总!A:E,2,0))</f>
        <v/>
      </c>
      <c r="D661" s="50"/>
      <c r="E661" s="55" t="str">
        <f t="shared" ca="1" si="66"/>
        <v/>
      </c>
      <c r="F661" s="51"/>
      <c r="G661" s="55" t="str">
        <f t="shared" ca="1" si="67"/>
        <v/>
      </c>
      <c r="H661" s="50"/>
      <c r="I661" s="55" t="str">
        <f t="shared" ca="1" si="68"/>
        <v/>
      </c>
      <c r="J661" s="50"/>
      <c r="K661" s="55" t="str">
        <f t="shared" ca="1" si="69"/>
        <v/>
      </c>
      <c r="L661" s="64" t="str">
        <f>IF(B661="","",D661+F661+H661+J661+#REF!+#REF!+#REF!+#REF!+#REF!)</f>
        <v/>
      </c>
      <c r="M661" s="55" t="str">
        <f t="shared" ca="1" si="70"/>
        <v/>
      </c>
    </row>
    <row r="662" spans="1:13" ht="19.95" customHeight="1" x14ac:dyDescent="0.25">
      <c r="A662" s="52"/>
      <c r="B662" s="51"/>
      <c r="C662" s="54" t="str">
        <f>IF(B662="","",VLOOKUP(B662,学生信息汇总!A:E,2,0))</f>
        <v/>
      </c>
      <c r="D662" s="50"/>
      <c r="E662" s="55" t="str">
        <f t="shared" ca="1" si="66"/>
        <v/>
      </c>
      <c r="F662" s="51"/>
      <c r="G662" s="55" t="str">
        <f t="shared" ca="1" si="67"/>
        <v/>
      </c>
      <c r="H662" s="50"/>
      <c r="I662" s="55" t="str">
        <f t="shared" ca="1" si="68"/>
        <v/>
      </c>
      <c r="J662" s="50"/>
      <c r="K662" s="55" t="str">
        <f t="shared" ca="1" si="69"/>
        <v/>
      </c>
      <c r="L662" s="64" t="str">
        <f>IF(B662="","",D662+F662+H662+J662+#REF!+#REF!+#REF!+#REF!+#REF!)</f>
        <v/>
      </c>
      <c r="M662" s="55" t="str">
        <f t="shared" ca="1" si="70"/>
        <v/>
      </c>
    </row>
    <row r="663" spans="1:13" ht="19.95" customHeight="1" x14ac:dyDescent="0.25">
      <c r="A663" s="52"/>
      <c r="B663" s="51"/>
      <c r="C663" s="54" t="str">
        <f>IF(B663="","",VLOOKUP(B663,学生信息汇总!A:E,2,0))</f>
        <v/>
      </c>
      <c r="D663" s="50"/>
      <c r="E663" s="55" t="str">
        <f t="shared" ca="1" si="66"/>
        <v/>
      </c>
      <c r="F663" s="51"/>
      <c r="G663" s="55" t="str">
        <f t="shared" ca="1" si="67"/>
        <v/>
      </c>
      <c r="H663" s="50"/>
      <c r="I663" s="55" t="str">
        <f t="shared" ca="1" si="68"/>
        <v/>
      </c>
      <c r="J663" s="50"/>
      <c r="K663" s="55" t="str">
        <f t="shared" ca="1" si="69"/>
        <v/>
      </c>
      <c r="L663" s="64" t="str">
        <f>IF(B663="","",D663+F663+H663+J663+#REF!+#REF!+#REF!+#REF!+#REF!)</f>
        <v/>
      </c>
      <c r="M663" s="55" t="str">
        <f t="shared" ca="1" si="70"/>
        <v/>
      </c>
    </row>
    <row r="664" spans="1:13" ht="19.95" customHeight="1" x14ac:dyDescent="0.25">
      <c r="A664" s="52"/>
      <c r="B664" s="51"/>
      <c r="C664" s="54" t="str">
        <f>IF(B664="","",VLOOKUP(B664,学生信息汇总!A:E,2,0))</f>
        <v/>
      </c>
      <c r="D664" s="50"/>
      <c r="E664" s="55" t="str">
        <f t="shared" ca="1" si="66"/>
        <v/>
      </c>
      <c r="F664" s="51"/>
      <c r="G664" s="55" t="str">
        <f t="shared" ca="1" si="67"/>
        <v/>
      </c>
      <c r="H664" s="50"/>
      <c r="I664" s="55" t="str">
        <f t="shared" ca="1" si="68"/>
        <v/>
      </c>
      <c r="J664" s="50"/>
      <c r="K664" s="55" t="str">
        <f t="shared" ca="1" si="69"/>
        <v/>
      </c>
      <c r="L664" s="64" t="str">
        <f>IF(B664="","",D664+F664+H664+J664+#REF!+#REF!+#REF!+#REF!+#REF!)</f>
        <v/>
      </c>
      <c r="M664" s="55" t="str">
        <f t="shared" ca="1" si="70"/>
        <v/>
      </c>
    </row>
    <row r="665" spans="1:13" ht="19.95" customHeight="1" x14ac:dyDescent="0.25">
      <c r="A665" s="52"/>
      <c r="B665" s="51"/>
      <c r="C665" s="54" t="str">
        <f>IF(B665="","",VLOOKUP(B665,学生信息汇总!A:E,2,0))</f>
        <v/>
      </c>
      <c r="D665" s="50"/>
      <c r="E665" s="55" t="str">
        <f t="shared" ca="1" si="66"/>
        <v/>
      </c>
      <c r="F665" s="51"/>
      <c r="G665" s="55" t="str">
        <f t="shared" ca="1" si="67"/>
        <v/>
      </c>
      <c r="H665" s="50"/>
      <c r="I665" s="55" t="str">
        <f t="shared" ca="1" si="68"/>
        <v/>
      </c>
      <c r="J665" s="50"/>
      <c r="K665" s="55" t="str">
        <f t="shared" ca="1" si="69"/>
        <v/>
      </c>
      <c r="L665" s="64" t="str">
        <f>IF(B665="","",D665+F665+H665+J665+#REF!+#REF!+#REF!+#REF!+#REF!)</f>
        <v/>
      </c>
      <c r="M665" s="55" t="str">
        <f t="shared" ca="1" si="70"/>
        <v/>
      </c>
    </row>
    <row r="666" spans="1:13" ht="19.95" customHeight="1" x14ac:dyDescent="0.25">
      <c r="A666" s="52"/>
      <c r="B666" s="51"/>
      <c r="C666" s="54" t="str">
        <f>IF(B666="","",VLOOKUP(B666,学生信息汇总!A:E,2,0))</f>
        <v/>
      </c>
      <c r="D666" s="50"/>
      <c r="E666" s="55" t="str">
        <f t="shared" ca="1" si="66"/>
        <v/>
      </c>
      <c r="F666" s="51"/>
      <c r="G666" s="55" t="str">
        <f t="shared" ca="1" si="67"/>
        <v/>
      </c>
      <c r="H666" s="50"/>
      <c r="I666" s="55" t="str">
        <f t="shared" ca="1" si="68"/>
        <v/>
      </c>
      <c r="J666" s="50"/>
      <c r="K666" s="55" t="str">
        <f t="shared" ca="1" si="69"/>
        <v/>
      </c>
      <c r="L666" s="64" t="str">
        <f>IF(B666="","",D666+F666+H666+J666+#REF!+#REF!+#REF!+#REF!+#REF!)</f>
        <v/>
      </c>
      <c r="M666" s="55" t="str">
        <f t="shared" ca="1" si="70"/>
        <v/>
      </c>
    </row>
    <row r="667" spans="1:13" ht="19.95" customHeight="1" x14ac:dyDescent="0.25">
      <c r="A667" s="52"/>
      <c r="B667" s="51"/>
      <c r="C667" s="54" t="str">
        <f>IF(B667="","",VLOOKUP(B667,学生信息汇总!A:E,2,0))</f>
        <v/>
      </c>
      <c r="D667" s="50"/>
      <c r="E667" s="55" t="str">
        <f t="shared" ca="1" si="66"/>
        <v/>
      </c>
      <c r="F667" s="51"/>
      <c r="G667" s="55" t="str">
        <f t="shared" ca="1" si="67"/>
        <v/>
      </c>
      <c r="H667" s="50"/>
      <c r="I667" s="55" t="str">
        <f t="shared" ca="1" si="68"/>
        <v/>
      </c>
      <c r="J667" s="50"/>
      <c r="K667" s="55" t="str">
        <f t="shared" ca="1" si="69"/>
        <v/>
      </c>
      <c r="L667" s="64" t="str">
        <f>IF(B667="","",D667+F667+H667+J667+#REF!+#REF!+#REF!+#REF!+#REF!)</f>
        <v/>
      </c>
      <c r="M667" s="55" t="str">
        <f t="shared" ca="1" si="70"/>
        <v/>
      </c>
    </row>
    <row r="668" spans="1:13" ht="19.95" customHeight="1" x14ac:dyDescent="0.25">
      <c r="A668" s="52"/>
      <c r="B668" s="51"/>
      <c r="C668" s="54" t="str">
        <f>IF(B668="","",VLOOKUP(B668,学生信息汇总!A:E,2,0))</f>
        <v/>
      </c>
      <c r="D668" s="50"/>
      <c r="E668" s="55" t="str">
        <f t="shared" ca="1" si="66"/>
        <v/>
      </c>
      <c r="F668" s="51"/>
      <c r="G668" s="55" t="str">
        <f t="shared" ca="1" si="67"/>
        <v/>
      </c>
      <c r="H668" s="50"/>
      <c r="I668" s="55" t="str">
        <f t="shared" ca="1" si="68"/>
        <v/>
      </c>
      <c r="J668" s="50"/>
      <c r="K668" s="55" t="str">
        <f t="shared" ca="1" si="69"/>
        <v/>
      </c>
      <c r="L668" s="64" t="str">
        <f>IF(B668="","",D668+F668+H668+J668+#REF!+#REF!+#REF!+#REF!+#REF!)</f>
        <v/>
      </c>
      <c r="M668" s="55" t="str">
        <f t="shared" ca="1" si="70"/>
        <v/>
      </c>
    </row>
    <row r="669" spans="1:13" ht="19.95" customHeight="1" x14ac:dyDescent="0.25">
      <c r="A669" s="52"/>
      <c r="B669" s="51"/>
      <c r="C669" s="54" t="str">
        <f>IF(B669="","",VLOOKUP(B669,学生信息汇总!A:E,2,0))</f>
        <v/>
      </c>
      <c r="D669" s="50"/>
      <c r="E669" s="55" t="str">
        <f t="shared" ca="1" si="66"/>
        <v/>
      </c>
      <c r="F669" s="51"/>
      <c r="G669" s="55" t="str">
        <f t="shared" ca="1" si="67"/>
        <v/>
      </c>
      <c r="H669" s="50"/>
      <c r="I669" s="55" t="str">
        <f t="shared" ca="1" si="68"/>
        <v/>
      </c>
      <c r="J669" s="50"/>
      <c r="K669" s="55" t="str">
        <f t="shared" ca="1" si="69"/>
        <v/>
      </c>
      <c r="L669" s="64" t="str">
        <f>IF(B669="","",D669+F669+H669+J669+#REF!+#REF!+#REF!+#REF!+#REF!)</f>
        <v/>
      </c>
      <c r="M669" s="55" t="str">
        <f t="shared" ca="1" si="70"/>
        <v/>
      </c>
    </row>
    <row r="670" spans="1:13" ht="19.95" customHeight="1" x14ac:dyDescent="0.25">
      <c r="A670" s="52"/>
      <c r="B670" s="51"/>
      <c r="C670" s="54" t="str">
        <f>IF(B670="","",VLOOKUP(B670,学生信息汇总!A:E,2,0))</f>
        <v/>
      </c>
      <c r="D670" s="50"/>
      <c r="E670" s="55" t="str">
        <f t="shared" ca="1" si="66"/>
        <v/>
      </c>
      <c r="F670" s="51"/>
      <c r="G670" s="55" t="str">
        <f t="shared" ca="1" si="67"/>
        <v/>
      </c>
      <c r="H670" s="50"/>
      <c r="I670" s="55" t="str">
        <f t="shared" ca="1" si="68"/>
        <v/>
      </c>
      <c r="J670" s="50"/>
      <c r="K670" s="55" t="str">
        <f t="shared" ca="1" si="69"/>
        <v/>
      </c>
      <c r="L670" s="64" t="str">
        <f>IF(B670="","",D670+F670+H670+J670+#REF!+#REF!+#REF!+#REF!+#REF!)</f>
        <v/>
      </c>
      <c r="M670" s="55" t="str">
        <f t="shared" ca="1" si="70"/>
        <v/>
      </c>
    </row>
    <row r="671" spans="1:13" ht="19.95" customHeight="1" x14ac:dyDescent="0.25">
      <c r="A671" s="52"/>
      <c r="B671" s="51"/>
      <c r="C671" s="54" t="str">
        <f>IF(B671="","",VLOOKUP(B671,学生信息汇总!A:E,2,0))</f>
        <v/>
      </c>
      <c r="D671" s="50"/>
      <c r="E671" s="55" t="str">
        <f t="shared" ca="1" si="66"/>
        <v/>
      </c>
      <c r="F671" s="51"/>
      <c r="G671" s="55" t="str">
        <f t="shared" ca="1" si="67"/>
        <v/>
      </c>
      <c r="H671" s="50"/>
      <c r="I671" s="55" t="str">
        <f t="shared" ca="1" si="68"/>
        <v/>
      </c>
      <c r="J671" s="50"/>
      <c r="K671" s="55" t="str">
        <f t="shared" ca="1" si="69"/>
        <v/>
      </c>
      <c r="L671" s="64" t="str">
        <f>IF(B671="","",D671+F671+H671+J671+#REF!+#REF!+#REF!+#REF!+#REF!)</f>
        <v/>
      </c>
      <c r="M671" s="55" t="str">
        <f t="shared" ca="1" si="70"/>
        <v/>
      </c>
    </row>
    <row r="672" spans="1:13" ht="19.95" customHeight="1" x14ac:dyDescent="0.25">
      <c r="A672" s="52"/>
      <c r="B672" s="51"/>
      <c r="C672" s="54" t="str">
        <f>IF(B672="","",VLOOKUP(B672,学生信息汇总!A:E,2,0))</f>
        <v/>
      </c>
      <c r="D672" s="50"/>
      <c r="E672" s="55" t="str">
        <f t="shared" ca="1" si="66"/>
        <v/>
      </c>
      <c r="F672" s="51"/>
      <c r="G672" s="55" t="str">
        <f t="shared" ca="1" si="67"/>
        <v/>
      </c>
      <c r="H672" s="50"/>
      <c r="I672" s="55" t="str">
        <f t="shared" ca="1" si="68"/>
        <v/>
      </c>
      <c r="J672" s="50"/>
      <c r="K672" s="55" t="str">
        <f t="shared" ca="1" si="69"/>
        <v/>
      </c>
      <c r="L672" s="64" t="str">
        <f>IF(B672="","",D672+F672+H672+J672+#REF!+#REF!+#REF!+#REF!+#REF!)</f>
        <v/>
      </c>
      <c r="M672" s="55" t="str">
        <f t="shared" ca="1" si="70"/>
        <v/>
      </c>
    </row>
    <row r="673" spans="1:13" ht="19.95" customHeight="1" x14ac:dyDescent="0.25">
      <c r="A673" s="52"/>
      <c r="B673" s="51"/>
      <c r="C673" s="54" t="str">
        <f>IF(B673="","",VLOOKUP(B673,学生信息汇总!A:E,2,0))</f>
        <v/>
      </c>
      <c r="D673" s="50"/>
      <c r="E673" s="55" t="str">
        <f t="shared" ca="1" si="66"/>
        <v/>
      </c>
      <c r="F673" s="51"/>
      <c r="G673" s="55" t="str">
        <f t="shared" ca="1" si="67"/>
        <v/>
      </c>
      <c r="H673" s="50"/>
      <c r="I673" s="55" t="str">
        <f t="shared" ca="1" si="68"/>
        <v/>
      </c>
      <c r="J673" s="50"/>
      <c r="K673" s="55" t="str">
        <f t="shared" ca="1" si="69"/>
        <v/>
      </c>
      <c r="L673" s="64" t="str">
        <f>IF(B673="","",D673+F673+H673+J673+#REF!+#REF!+#REF!+#REF!+#REF!)</f>
        <v/>
      </c>
      <c r="M673" s="55" t="str">
        <f t="shared" ca="1" si="70"/>
        <v/>
      </c>
    </row>
    <row r="674" spans="1:13" ht="19.95" customHeight="1" x14ac:dyDescent="0.25">
      <c r="A674" s="52"/>
      <c r="B674" s="51"/>
      <c r="C674" s="54" t="str">
        <f>IF(B674="","",VLOOKUP(B674,学生信息汇总!A:E,2,0))</f>
        <v/>
      </c>
      <c r="D674" s="50"/>
      <c r="E674" s="55" t="str">
        <f t="shared" ca="1" si="66"/>
        <v/>
      </c>
      <c r="F674" s="51"/>
      <c r="G674" s="55" t="str">
        <f t="shared" ca="1" si="67"/>
        <v/>
      </c>
      <c r="H674" s="50"/>
      <c r="I674" s="55" t="str">
        <f t="shared" ca="1" si="68"/>
        <v/>
      </c>
      <c r="J674" s="50"/>
      <c r="K674" s="55" t="str">
        <f t="shared" ca="1" si="69"/>
        <v/>
      </c>
      <c r="L674" s="64" t="str">
        <f>IF(B674="","",D674+F674+H674+J674+#REF!+#REF!+#REF!+#REF!+#REF!)</f>
        <v/>
      </c>
      <c r="M674" s="55" t="str">
        <f t="shared" ca="1" si="70"/>
        <v/>
      </c>
    </row>
    <row r="675" spans="1:13" ht="19.95" customHeight="1" x14ac:dyDescent="0.25">
      <c r="A675" s="52"/>
      <c r="B675" s="51"/>
      <c r="C675" s="54" t="str">
        <f>IF(B675="","",VLOOKUP(B675,学生信息汇总!A:E,2,0))</f>
        <v/>
      </c>
      <c r="D675" s="50"/>
      <c r="E675" s="55" t="str">
        <f t="shared" ca="1" si="66"/>
        <v/>
      </c>
      <c r="F675" s="51"/>
      <c r="G675" s="55" t="str">
        <f t="shared" ca="1" si="67"/>
        <v/>
      </c>
      <c r="H675" s="50"/>
      <c r="I675" s="55" t="str">
        <f t="shared" ca="1" si="68"/>
        <v/>
      </c>
      <c r="J675" s="50"/>
      <c r="K675" s="55" t="str">
        <f t="shared" ca="1" si="69"/>
        <v/>
      </c>
      <c r="L675" s="64" t="str">
        <f>IF(B675="","",D675+F675+H675+J675+#REF!+#REF!+#REF!+#REF!+#REF!)</f>
        <v/>
      </c>
      <c r="M675" s="55" t="str">
        <f t="shared" ca="1" si="70"/>
        <v/>
      </c>
    </row>
    <row r="676" spans="1:13" ht="19.95" customHeight="1" x14ac:dyDescent="0.25">
      <c r="A676" s="52"/>
      <c r="B676" s="51"/>
      <c r="C676" s="54" t="str">
        <f>IF(B676="","",VLOOKUP(B676,学生信息汇总!A:E,2,0))</f>
        <v/>
      </c>
      <c r="D676" s="50"/>
      <c r="E676" s="55" t="str">
        <f t="shared" ca="1" si="66"/>
        <v/>
      </c>
      <c r="F676" s="51"/>
      <c r="G676" s="55" t="str">
        <f t="shared" ca="1" si="67"/>
        <v/>
      </c>
      <c r="H676" s="50"/>
      <c r="I676" s="55" t="str">
        <f t="shared" ca="1" si="68"/>
        <v/>
      </c>
      <c r="J676" s="50"/>
      <c r="K676" s="55" t="str">
        <f t="shared" ca="1" si="69"/>
        <v/>
      </c>
      <c r="L676" s="64" t="str">
        <f>IF(B676="","",D676+F676+H676+J676+#REF!+#REF!+#REF!+#REF!+#REF!)</f>
        <v/>
      </c>
      <c r="M676" s="55" t="str">
        <f t="shared" ca="1" si="70"/>
        <v/>
      </c>
    </row>
    <row r="677" spans="1:13" ht="19.95" customHeight="1" x14ac:dyDescent="0.25">
      <c r="A677" s="52"/>
      <c r="B677" s="51"/>
      <c r="C677" s="54" t="str">
        <f>IF(B677="","",VLOOKUP(B677,学生信息汇总!A:E,2,0))</f>
        <v/>
      </c>
      <c r="D677" s="50"/>
      <c r="E677" s="55" t="str">
        <f t="shared" ca="1" si="66"/>
        <v/>
      </c>
      <c r="F677" s="51"/>
      <c r="G677" s="55" t="str">
        <f t="shared" ca="1" si="67"/>
        <v/>
      </c>
      <c r="H677" s="50"/>
      <c r="I677" s="55" t="str">
        <f t="shared" ca="1" si="68"/>
        <v/>
      </c>
      <c r="J677" s="50"/>
      <c r="K677" s="55" t="str">
        <f t="shared" ca="1" si="69"/>
        <v/>
      </c>
      <c r="L677" s="64" t="str">
        <f>IF(B677="","",D677+F677+H677+J677+#REF!+#REF!+#REF!+#REF!+#REF!)</f>
        <v/>
      </c>
      <c r="M677" s="55" t="str">
        <f t="shared" ca="1" si="70"/>
        <v/>
      </c>
    </row>
    <row r="678" spans="1:13" ht="19.95" customHeight="1" x14ac:dyDescent="0.25">
      <c r="A678" s="52"/>
      <c r="B678" s="51"/>
      <c r="C678" s="54" t="str">
        <f>IF(B678="","",VLOOKUP(B678,学生信息汇总!A:E,2,0))</f>
        <v/>
      </c>
      <c r="D678" s="50"/>
      <c r="E678" s="55" t="str">
        <f t="shared" ca="1" si="66"/>
        <v/>
      </c>
      <c r="F678" s="51"/>
      <c r="G678" s="55" t="str">
        <f t="shared" ca="1" si="67"/>
        <v/>
      </c>
      <c r="H678" s="50"/>
      <c r="I678" s="55" t="str">
        <f t="shared" ca="1" si="68"/>
        <v/>
      </c>
      <c r="J678" s="50"/>
      <c r="K678" s="55" t="str">
        <f t="shared" ca="1" si="69"/>
        <v/>
      </c>
      <c r="L678" s="64" t="str">
        <f>IF(B678="","",D678+F678+H678+J678+#REF!+#REF!+#REF!+#REF!+#REF!)</f>
        <v/>
      </c>
      <c r="M678" s="55" t="str">
        <f t="shared" ca="1" si="70"/>
        <v/>
      </c>
    </row>
    <row r="679" spans="1:13" ht="19.95" customHeight="1" x14ac:dyDescent="0.25">
      <c r="A679" s="52"/>
      <c r="B679" s="51"/>
      <c r="C679" s="54" t="str">
        <f>IF(B679="","",VLOOKUP(B679,学生信息汇总!A:E,2,0))</f>
        <v/>
      </c>
      <c r="D679" s="50"/>
      <c r="E679" s="55" t="str">
        <f t="shared" ca="1" si="66"/>
        <v/>
      </c>
      <c r="F679" s="51"/>
      <c r="G679" s="55" t="str">
        <f t="shared" ca="1" si="67"/>
        <v/>
      </c>
      <c r="H679" s="50"/>
      <c r="I679" s="55" t="str">
        <f t="shared" ca="1" si="68"/>
        <v/>
      </c>
      <c r="J679" s="50"/>
      <c r="K679" s="55" t="str">
        <f t="shared" ca="1" si="69"/>
        <v/>
      </c>
      <c r="L679" s="64" t="str">
        <f>IF(B679="","",D679+F679+H679+J679+#REF!+#REF!+#REF!+#REF!+#REF!)</f>
        <v/>
      </c>
      <c r="M679" s="55" t="str">
        <f t="shared" ca="1" si="70"/>
        <v/>
      </c>
    </row>
    <row r="680" spans="1:13" ht="19.95" customHeight="1" x14ac:dyDescent="0.25">
      <c r="A680" s="52"/>
      <c r="B680" s="51"/>
      <c r="C680" s="54" t="str">
        <f>IF(B680="","",VLOOKUP(B680,学生信息汇总!A:E,2,0))</f>
        <v/>
      </c>
      <c r="D680" s="50"/>
      <c r="E680" s="55" t="str">
        <f t="shared" ca="1" si="66"/>
        <v/>
      </c>
      <c r="F680" s="51"/>
      <c r="G680" s="55" t="str">
        <f t="shared" ca="1" si="67"/>
        <v/>
      </c>
      <c r="H680" s="50"/>
      <c r="I680" s="55" t="str">
        <f t="shared" ca="1" si="68"/>
        <v/>
      </c>
      <c r="J680" s="50"/>
      <c r="K680" s="55" t="str">
        <f t="shared" ca="1" si="69"/>
        <v/>
      </c>
      <c r="L680" s="64" t="str">
        <f>IF(B680="","",D680+F680+H680+J680+#REF!+#REF!+#REF!+#REF!+#REF!)</f>
        <v/>
      </c>
      <c r="M680" s="55" t="str">
        <f t="shared" ca="1" si="70"/>
        <v/>
      </c>
    </row>
    <row r="681" spans="1:13" ht="19.95" customHeight="1" x14ac:dyDescent="0.25">
      <c r="A681" s="52"/>
      <c r="B681" s="51"/>
      <c r="C681" s="54" t="str">
        <f>IF(B681="","",VLOOKUP(B681,学生信息汇总!A:E,2,0))</f>
        <v/>
      </c>
      <c r="D681" s="50"/>
      <c r="E681" s="55" t="str">
        <f t="shared" ca="1" si="66"/>
        <v/>
      </c>
      <c r="F681" s="51"/>
      <c r="G681" s="55" t="str">
        <f t="shared" ca="1" si="67"/>
        <v/>
      </c>
      <c r="H681" s="50"/>
      <c r="I681" s="55" t="str">
        <f t="shared" ca="1" si="68"/>
        <v/>
      </c>
      <c r="J681" s="50"/>
      <c r="K681" s="55" t="str">
        <f t="shared" ca="1" si="69"/>
        <v/>
      </c>
      <c r="L681" s="64" t="str">
        <f>IF(B681="","",D681+F681+H681+J681+#REF!+#REF!+#REF!+#REF!+#REF!)</f>
        <v/>
      </c>
      <c r="M681" s="55" t="str">
        <f t="shared" ca="1" si="70"/>
        <v/>
      </c>
    </row>
    <row r="682" spans="1:13" ht="19.95" customHeight="1" x14ac:dyDescent="0.25">
      <c r="A682" s="52"/>
      <c r="B682" s="51"/>
      <c r="C682" s="54" t="str">
        <f>IF(B682="","",VLOOKUP(B682,学生信息汇总!A:E,2,0))</f>
        <v/>
      </c>
      <c r="D682" s="50"/>
      <c r="E682" s="55" t="str">
        <f t="shared" ca="1" si="66"/>
        <v/>
      </c>
      <c r="F682" s="51"/>
      <c r="G682" s="55" t="str">
        <f t="shared" ca="1" si="67"/>
        <v/>
      </c>
      <c r="H682" s="50"/>
      <c r="I682" s="55" t="str">
        <f t="shared" ca="1" si="68"/>
        <v/>
      </c>
      <c r="J682" s="50"/>
      <c r="K682" s="55" t="str">
        <f t="shared" ca="1" si="69"/>
        <v/>
      </c>
      <c r="L682" s="64" t="str">
        <f>IF(B682="","",D682+F682+H682+J682+#REF!+#REF!+#REF!+#REF!+#REF!)</f>
        <v/>
      </c>
      <c r="M682" s="55" t="str">
        <f t="shared" ca="1" si="70"/>
        <v/>
      </c>
    </row>
    <row r="683" spans="1:13" ht="19.95" customHeight="1" x14ac:dyDescent="0.25">
      <c r="A683" s="52"/>
      <c r="B683" s="51"/>
      <c r="C683" s="54" t="str">
        <f>IF(B683="","",VLOOKUP(B683,学生信息汇总!A:E,2,0))</f>
        <v/>
      </c>
      <c r="D683" s="50"/>
      <c r="E683" s="55" t="str">
        <f t="shared" ca="1" si="66"/>
        <v/>
      </c>
      <c r="F683" s="51"/>
      <c r="G683" s="55" t="str">
        <f t="shared" ca="1" si="67"/>
        <v/>
      </c>
      <c r="H683" s="50"/>
      <c r="I683" s="55" t="str">
        <f t="shared" ca="1" si="68"/>
        <v/>
      </c>
      <c r="J683" s="50"/>
      <c r="K683" s="55" t="str">
        <f t="shared" ca="1" si="69"/>
        <v/>
      </c>
      <c r="L683" s="64" t="str">
        <f>IF(B683="","",D683+F683+H683+J683+#REF!+#REF!+#REF!+#REF!+#REF!)</f>
        <v/>
      </c>
      <c r="M683" s="55" t="str">
        <f t="shared" ca="1" si="70"/>
        <v/>
      </c>
    </row>
    <row r="684" spans="1:13" ht="19.95" customHeight="1" x14ac:dyDescent="0.25">
      <c r="A684" s="52"/>
      <c r="B684" s="51"/>
      <c r="C684" s="54" t="str">
        <f>IF(B684="","",VLOOKUP(B684,学生信息汇总!A:E,2,0))</f>
        <v/>
      </c>
      <c r="D684" s="50"/>
      <c r="E684" s="55" t="str">
        <f t="shared" ref="E684:E747" ca="1" si="71">IF(D684="","",RANK(D684,INDIRECT(ADDRESS(MATCH(VLOOKUP(A684,A:A,1,0),A:A,0),6)&amp;":"&amp;ADDRESS((MATCH(VLOOKUP(A684,A:A,1,0),A:A,0)+COUNTIF(A:A,A684)-1),6))))</f>
        <v/>
      </c>
      <c r="F684" s="51"/>
      <c r="G684" s="55" t="str">
        <f t="shared" ref="G684:G747" ca="1" si="72">IF(F684="","",RANK(F684,INDIRECT(ADDRESS(MATCH(VLOOKUP(A684,A:A,1,0),A:A,0),8)&amp;":"&amp;ADDRESS((MATCH(VLOOKUP(A684,A:A,1,0),A:A,0)+COUNTIF(A:A,A684)-1),8))))</f>
        <v/>
      </c>
      <c r="H684" s="50"/>
      <c r="I684" s="55" t="str">
        <f t="shared" ref="I684:I747" ca="1" si="73">IF(H684="","",RANK(H684,INDIRECT(ADDRESS(MATCH(VLOOKUP(A684,A:A,1,0),A:A,0),10)&amp;":"&amp;ADDRESS((MATCH(VLOOKUP(A684,A:A,1,0),A:A,0)+COUNTIF(A:A,A684)-1),10))))</f>
        <v/>
      </c>
      <c r="J684" s="50"/>
      <c r="K684" s="55" t="str">
        <f t="shared" ref="K684:K747" ca="1" si="74">IF(J684="","",RANK(J684,INDIRECT(ADDRESS(MATCH(VLOOKUP(A684,A:A,1,0),A:A,0),12)&amp;":"&amp;ADDRESS((MATCH(VLOOKUP(A684,A:A,1,0),A:A,0)+COUNTIF(A:A,A684)-1),12))))</f>
        <v/>
      </c>
      <c r="L684" s="64" t="str">
        <f>IF(B684="","",D684+F684+H684+J684+#REF!+#REF!+#REF!+#REF!+#REF!)</f>
        <v/>
      </c>
      <c r="M684" s="55" t="str">
        <f t="shared" ref="M684:M747" ca="1" si="75">IF(L684="","",RANK(L684,INDIRECT(ADDRESS(MATCH(VLOOKUP(A684,A:A,1,0),A:A,0),26)&amp;":"&amp;ADDRESS((MATCH(VLOOKUP(A684,A:A,1,0),A:A,0)+COUNTIF(A:A,A684)-1),26))))</f>
        <v/>
      </c>
    </row>
    <row r="685" spans="1:13" ht="19.95" customHeight="1" x14ac:dyDescent="0.25">
      <c r="A685" s="52"/>
      <c r="B685" s="51"/>
      <c r="C685" s="54" t="str">
        <f>IF(B685="","",VLOOKUP(B685,学生信息汇总!A:E,2,0))</f>
        <v/>
      </c>
      <c r="D685" s="50"/>
      <c r="E685" s="55" t="str">
        <f t="shared" ca="1" si="71"/>
        <v/>
      </c>
      <c r="F685" s="51"/>
      <c r="G685" s="55" t="str">
        <f t="shared" ca="1" si="72"/>
        <v/>
      </c>
      <c r="H685" s="50"/>
      <c r="I685" s="55" t="str">
        <f t="shared" ca="1" si="73"/>
        <v/>
      </c>
      <c r="J685" s="50"/>
      <c r="K685" s="55" t="str">
        <f t="shared" ca="1" si="74"/>
        <v/>
      </c>
      <c r="L685" s="64" t="str">
        <f>IF(B685="","",D685+F685+H685+J685+#REF!+#REF!+#REF!+#REF!+#REF!)</f>
        <v/>
      </c>
      <c r="M685" s="55" t="str">
        <f t="shared" ca="1" si="75"/>
        <v/>
      </c>
    </row>
    <row r="686" spans="1:13" ht="19.95" customHeight="1" x14ac:dyDescent="0.25">
      <c r="A686" s="52"/>
      <c r="B686" s="51"/>
      <c r="C686" s="54" t="str">
        <f>IF(B686="","",VLOOKUP(B686,学生信息汇总!A:E,2,0))</f>
        <v/>
      </c>
      <c r="D686" s="50"/>
      <c r="E686" s="55" t="str">
        <f t="shared" ca="1" si="71"/>
        <v/>
      </c>
      <c r="F686" s="51"/>
      <c r="G686" s="55" t="str">
        <f t="shared" ca="1" si="72"/>
        <v/>
      </c>
      <c r="H686" s="50"/>
      <c r="I686" s="55" t="str">
        <f t="shared" ca="1" si="73"/>
        <v/>
      </c>
      <c r="J686" s="50"/>
      <c r="K686" s="55" t="str">
        <f t="shared" ca="1" si="74"/>
        <v/>
      </c>
      <c r="L686" s="64" t="str">
        <f>IF(B686="","",D686+F686+H686+J686+#REF!+#REF!+#REF!+#REF!+#REF!)</f>
        <v/>
      </c>
      <c r="M686" s="55" t="str">
        <f t="shared" ca="1" si="75"/>
        <v/>
      </c>
    </row>
    <row r="687" spans="1:13" ht="19.95" customHeight="1" x14ac:dyDescent="0.25">
      <c r="A687" s="52"/>
      <c r="B687" s="51"/>
      <c r="C687" s="54" t="str">
        <f>IF(B687="","",VLOOKUP(B687,学生信息汇总!A:E,2,0))</f>
        <v/>
      </c>
      <c r="D687" s="50"/>
      <c r="E687" s="55" t="str">
        <f t="shared" ca="1" si="71"/>
        <v/>
      </c>
      <c r="F687" s="51"/>
      <c r="G687" s="55" t="str">
        <f t="shared" ca="1" si="72"/>
        <v/>
      </c>
      <c r="H687" s="50"/>
      <c r="I687" s="55" t="str">
        <f t="shared" ca="1" si="73"/>
        <v/>
      </c>
      <c r="J687" s="50"/>
      <c r="K687" s="55" t="str">
        <f t="shared" ca="1" si="74"/>
        <v/>
      </c>
      <c r="L687" s="64" t="str">
        <f>IF(B687="","",D687+F687+H687+J687+#REF!+#REF!+#REF!+#REF!+#REF!)</f>
        <v/>
      </c>
      <c r="M687" s="55" t="str">
        <f t="shared" ca="1" si="75"/>
        <v/>
      </c>
    </row>
    <row r="688" spans="1:13" ht="19.95" customHeight="1" x14ac:dyDescent="0.25">
      <c r="A688" s="52"/>
      <c r="B688" s="51"/>
      <c r="C688" s="54" t="str">
        <f>IF(B688="","",VLOOKUP(B688,学生信息汇总!A:E,2,0))</f>
        <v/>
      </c>
      <c r="D688" s="50"/>
      <c r="E688" s="55" t="str">
        <f t="shared" ca="1" si="71"/>
        <v/>
      </c>
      <c r="F688" s="51"/>
      <c r="G688" s="55" t="str">
        <f t="shared" ca="1" si="72"/>
        <v/>
      </c>
      <c r="H688" s="50"/>
      <c r="I688" s="55" t="str">
        <f t="shared" ca="1" si="73"/>
        <v/>
      </c>
      <c r="J688" s="50"/>
      <c r="K688" s="55" t="str">
        <f t="shared" ca="1" si="74"/>
        <v/>
      </c>
      <c r="L688" s="64" t="str">
        <f>IF(B688="","",D688+F688+H688+J688+#REF!+#REF!+#REF!+#REF!+#REF!)</f>
        <v/>
      </c>
      <c r="M688" s="55" t="str">
        <f t="shared" ca="1" si="75"/>
        <v/>
      </c>
    </row>
    <row r="689" spans="1:13" ht="19.95" customHeight="1" x14ac:dyDescent="0.25">
      <c r="A689" s="52"/>
      <c r="B689" s="51"/>
      <c r="C689" s="54" t="str">
        <f>IF(B689="","",VLOOKUP(B689,学生信息汇总!A:E,2,0))</f>
        <v/>
      </c>
      <c r="D689" s="50"/>
      <c r="E689" s="55" t="str">
        <f t="shared" ca="1" si="71"/>
        <v/>
      </c>
      <c r="F689" s="51"/>
      <c r="G689" s="55" t="str">
        <f t="shared" ca="1" si="72"/>
        <v/>
      </c>
      <c r="H689" s="50"/>
      <c r="I689" s="55" t="str">
        <f t="shared" ca="1" si="73"/>
        <v/>
      </c>
      <c r="J689" s="50"/>
      <c r="K689" s="55" t="str">
        <f t="shared" ca="1" si="74"/>
        <v/>
      </c>
      <c r="L689" s="64" t="str">
        <f>IF(B689="","",D689+F689+H689+J689+#REF!+#REF!+#REF!+#REF!+#REF!)</f>
        <v/>
      </c>
      <c r="M689" s="55" t="str">
        <f t="shared" ca="1" si="75"/>
        <v/>
      </c>
    </row>
    <row r="690" spans="1:13" ht="19.95" customHeight="1" x14ac:dyDescent="0.25">
      <c r="A690" s="52"/>
      <c r="B690" s="51"/>
      <c r="C690" s="54" t="str">
        <f>IF(B690="","",VLOOKUP(B690,学生信息汇总!A:E,2,0))</f>
        <v/>
      </c>
      <c r="D690" s="50"/>
      <c r="E690" s="55" t="str">
        <f t="shared" ca="1" si="71"/>
        <v/>
      </c>
      <c r="F690" s="51"/>
      <c r="G690" s="55" t="str">
        <f t="shared" ca="1" si="72"/>
        <v/>
      </c>
      <c r="H690" s="50"/>
      <c r="I690" s="55" t="str">
        <f t="shared" ca="1" si="73"/>
        <v/>
      </c>
      <c r="J690" s="50"/>
      <c r="K690" s="55" t="str">
        <f t="shared" ca="1" si="74"/>
        <v/>
      </c>
      <c r="L690" s="64" t="str">
        <f>IF(B690="","",D690+F690+H690+J690+#REF!+#REF!+#REF!+#REF!+#REF!)</f>
        <v/>
      </c>
      <c r="M690" s="55" t="str">
        <f t="shared" ca="1" si="75"/>
        <v/>
      </c>
    </row>
    <row r="691" spans="1:13" ht="19.95" customHeight="1" x14ac:dyDescent="0.25">
      <c r="A691" s="52"/>
      <c r="B691" s="51"/>
      <c r="C691" s="54" t="str">
        <f>IF(B691="","",VLOOKUP(B691,学生信息汇总!A:E,2,0))</f>
        <v/>
      </c>
      <c r="D691" s="50"/>
      <c r="E691" s="55" t="str">
        <f t="shared" ca="1" si="71"/>
        <v/>
      </c>
      <c r="F691" s="51"/>
      <c r="G691" s="55" t="str">
        <f t="shared" ca="1" si="72"/>
        <v/>
      </c>
      <c r="H691" s="50"/>
      <c r="I691" s="55" t="str">
        <f t="shared" ca="1" si="73"/>
        <v/>
      </c>
      <c r="J691" s="50"/>
      <c r="K691" s="55" t="str">
        <f t="shared" ca="1" si="74"/>
        <v/>
      </c>
      <c r="L691" s="64" t="str">
        <f>IF(B691="","",D691+F691+H691+J691+#REF!+#REF!+#REF!+#REF!+#REF!)</f>
        <v/>
      </c>
      <c r="M691" s="55" t="str">
        <f t="shared" ca="1" si="75"/>
        <v/>
      </c>
    </row>
    <row r="692" spans="1:13" ht="19.95" customHeight="1" x14ac:dyDescent="0.25">
      <c r="A692" s="52"/>
      <c r="B692" s="51"/>
      <c r="C692" s="54" t="str">
        <f>IF(B692="","",VLOOKUP(B692,学生信息汇总!A:E,2,0))</f>
        <v/>
      </c>
      <c r="D692" s="50"/>
      <c r="E692" s="55" t="str">
        <f t="shared" ca="1" si="71"/>
        <v/>
      </c>
      <c r="F692" s="51"/>
      <c r="G692" s="55" t="str">
        <f t="shared" ca="1" si="72"/>
        <v/>
      </c>
      <c r="H692" s="50"/>
      <c r="I692" s="55" t="str">
        <f t="shared" ca="1" si="73"/>
        <v/>
      </c>
      <c r="J692" s="50"/>
      <c r="K692" s="55" t="str">
        <f t="shared" ca="1" si="74"/>
        <v/>
      </c>
      <c r="L692" s="64" t="str">
        <f>IF(B692="","",D692+F692+H692+J692+#REF!+#REF!+#REF!+#REF!+#REF!)</f>
        <v/>
      </c>
      <c r="M692" s="55" t="str">
        <f t="shared" ca="1" si="75"/>
        <v/>
      </c>
    </row>
    <row r="693" spans="1:13" ht="19.95" customHeight="1" x14ac:dyDescent="0.25">
      <c r="A693" s="52"/>
      <c r="B693" s="51"/>
      <c r="C693" s="54" t="str">
        <f>IF(B693="","",VLOOKUP(B693,学生信息汇总!A:E,2,0))</f>
        <v/>
      </c>
      <c r="D693" s="50"/>
      <c r="E693" s="55" t="str">
        <f t="shared" ca="1" si="71"/>
        <v/>
      </c>
      <c r="F693" s="51"/>
      <c r="G693" s="55" t="str">
        <f t="shared" ca="1" si="72"/>
        <v/>
      </c>
      <c r="H693" s="50"/>
      <c r="I693" s="55" t="str">
        <f t="shared" ca="1" si="73"/>
        <v/>
      </c>
      <c r="J693" s="50"/>
      <c r="K693" s="55" t="str">
        <f t="shared" ca="1" si="74"/>
        <v/>
      </c>
      <c r="L693" s="64" t="str">
        <f>IF(B693="","",D693+F693+H693+J693+#REF!+#REF!+#REF!+#REF!+#REF!)</f>
        <v/>
      </c>
      <c r="M693" s="55" t="str">
        <f t="shared" ca="1" si="75"/>
        <v/>
      </c>
    </row>
    <row r="694" spans="1:13" ht="19.95" customHeight="1" x14ac:dyDescent="0.25">
      <c r="A694" s="52"/>
      <c r="B694" s="51"/>
      <c r="C694" s="54" t="str">
        <f>IF(B694="","",VLOOKUP(B694,学生信息汇总!A:E,2,0))</f>
        <v/>
      </c>
      <c r="D694" s="50"/>
      <c r="E694" s="55" t="str">
        <f t="shared" ca="1" si="71"/>
        <v/>
      </c>
      <c r="F694" s="51"/>
      <c r="G694" s="55" t="str">
        <f t="shared" ca="1" si="72"/>
        <v/>
      </c>
      <c r="H694" s="50"/>
      <c r="I694" s="55" t="str">
        <f t="shared" ca="1" si="73"/>
        <v/>
      </c>
      <c r="J694" s="50"/>
      <c r="K694" s="55" t="str">
        <f t="shared" ca="1" si="74"/>
        <v/>
      </c>
      <c r="L694" s="64" t="str">
        <f>IF(B694="","",D694+F694+H694+J694+#REF!+#REF!+#REF!+#REF!+#REF!)</f>
        <v/>
      </c>
      <c r="M694" s="55" t="str">
        <f t="shared" ca="1" si="75"/>
        <v/>
      </c>
    </row>
    <row r="695" spans="1:13" ht="19.95" customHeight="1" x14ac:dyDescent="0.25">
      <c r="A695" s="52"/>
      <c r="B695" s="51"/>
      <c r="C695" s="54" t="str">
        <f>IF(B695="","",VLOOKUP(B695,学生信息汇总!A:E,2,0))</f>
        <v/>
      </c>
      <c r="D695" s="50"/>
      <c r="E695" s="55" t="str">
        <f t="shared" ca="1" si="71"/>
        <v/>
      </c>
      <c r="F695" s="51"/>
      <c r="G695" s="55" t="str">
        <f t="shared" ca="1" si="72"/>
        <v/>
      </c>
      <c r="H695" s="50"/>
      <c r="I695" s="55" t="str">
        <f t="shared" ca="1" si="73"/>
        <v/>
      </c>
      <c r="J695" s="50"/>
      <c r="K695" s="55" t="str">
        <f t="shared" ca="1" si="74"/>
        <v/>
      </c>
      <c r="L695" s="64" t="str">
        <f>IF(B695="","",D695+F695+H695+J695+#REF!+#REF!+#REF!+#REF!+#REF!)</f>
        <v/>
      </c>
      <c r="M695" s="55" t="str">
        <f t="shared" ca="1" si="75"/>
        <v/>
      </c>
    </row>
    <row r="696" spans="1:13" ht="19.95" customHeight="1" x14ac:dyDescent="0.25">
      <c r="A696" s="52"/>
      <c r="B696" s="51"/>
      <c r="C696" s="54" t="str">
        <f>IF(B696="","",VLOOKUP(B696,学生信息汇总!A:E,2,0))</f>
        <v/>
      </c>
      <c r="D696" s="50"/>
      <c r="E696" s="55" t="str">
        <f t="shared" ca="1" si="71"/>
        <v/>
      </c>
      <c r="F696" s="51"/>
      <c r="G696" s="55" t="str">
        <f t="shared" ca="1" si="72"/>
        <v/>
      </c>
      <c r="H696" s="50"/>
      <c r="I696" s="55" t="str">
        <f t="shared" ca="1" si="73"/>
        <v/>
      </c>
      <c r="J696" s="50"/>
      <c r="K696" s="55" t="str">
        <f t="shared" ca="1" si="74"/>
        <v/>
      </c>
      <c r="L696" s="64" t="str">
        <f>IF(B696="","",D696+F696+H696+J696+#REF!+#REF!+#REF!+#REF!+#REF!)</f>
        <v/>
      </c>
      <c r="M696" s="55" t="str">
        <f t="shared" ca="1" si="75"/>
        <v/>
      </c>
    </row>
    <row r="697" spans="1:13" ht="19.95" customHeight="1" x14ac:dyDescent="0.25">
      <c r="A697" s="52"/>
      <c r="B697" s="51"/>
      <c r="C697" s="54" t="str">
        <f>IF(B697="","",VLOOKUP(B697,学生信息汇总!A:E,2,0))</f>
        <v/>
      </c>
      <c r="D697" s="50"/>
      <c r="E697" s="55" t="str">
        <f t="shared" ca="1" si="71"/>
        <v/>
      </c>
      <c r="F697" s="51"/>
      <c r="G697" s="55" t="str">
        <f t="shared" ca="1" si="72"/>
        <v/>
      </c>
      <c r="H697" s="50"/>
      <c r="I697" s="55" t="str">
        <f t="shared" ca="1" si="73"/>
        <v/>
      </c>
      <c r="J697" s="50"/>
      <c r="K697" s="55" t="str">
        <f t="shared" ca="1" si="74"/>
        <v/>
      </c>
      <c r="L697" s="64" t="str">
        <f>IF(B697="","",D697+F697+H697+J697+#REF!+#REF!+#REF!+#REF!+#REF!)</f>
        <v/>
      </c>
      <c r="M697" s="55" t="str">
        <f t="shared" ca="1" si="75"/>
        <v/>
      </c>
    </row>
    <row r="698" spans="1:13" ht="19.95" customHeight="1" x14ac:dyDescent="0.25">
      <c r="A698" s="52"/>
      <c r="B698" s="51"/>
      <c r="C698" s="54" t="str">
        <f>IF(B698="","",VLOOKUP(B698,学生信息汇总!A:E,2,0))</f>
        <v/>
      </c>
      <c r="D698" s="50"/>
      <c r="E698" s="55" t="str">
        <f t="shared" ca="1" si="71"/>
        <v/>
      </c>
      <c r="F698" s="51"/>
      <c r="G698" s="55" t="str">
        <f t="shared" ca="1" si="72"/>
        <v/>
      </c>
      <c r="H698" s="50"/>
      <c r="I698" s="55" t="str">
        <f t="shared" ca="1" si="73"/>
        <v/>
      </c>
      <c r="J698" s="50"/>
      <c r="K698" s="55" t="str">
        <f t="shared" ca="1" si="74"/>
        <v/>
      </c>
      <c r="L698" s="64" t="str">
        <f>IF(B698="","",D698+F698+H698+J698+#REF!+#REF!+#REF!+#REF!+#REF!)</f>
        <v/>
      </c>
      <c r="M698" s="55" t="str">
        <f t="shared" ca="1" si="75"/>
        <v/>
      </c>
    </row>
    <row r="699" spans="1:13" ht="19.95" customHeight="1" x14ac:dyDescent="0.25">
      <c r="A699" s="52"/>
      <c r="B699" s="51"/>
      <c r="C699" s="54" t="str">
        <f>IF(B699="","",VLOOKUP(B699,学生信息汇总!A:E,2,0))</f>
        <v/>
      </c>
      <c r="D699" s="50"/>
      <c r="E699" s="55" t="str">
        <f t="shared" ca="1" si="71"/>
        <v/>
      </c>
      <c r="F699" s="51"/>
      <c r="G699" s="55" t="str">
        <f t="shared" ca="1" si="72"/>
        <v/>
      </c>
      <c r="H699" s="50"/>
      <c r="I699" s="55" t="str">
        <f t="shared" ca="1" si="73"/>
        <v/>
      </c>
      <c r="J699" s="50"/>
      <c r="K699" s="55" t="str">
        <f t="shared" ca="1" si="74"/>
        <v/>
      </c>
      <c r="L699" s="64" t="str">
        <f>IF(B699="","",D699+F699+H699+J699+#REF!+#REF!+#REF!+#REF!+#REF!)</f>
        <v/>
      </c>
      <c r="M699" s="55" t="str">
        <f t="shared" ca="1" si="75"/>
        <v/>
      </c>
    </row>
    <row r="700" spans="1:13" ht="19.95" customHeight="1" x14ac:dyDescent="0.25">
      <c r="A700" s="52"/>
      <c r="B700" s="51"/>
      <c r="C700" s="54" t="str">
        <f>IF(B700="","",VLOOKUP(B700,学生信息汇总!A:E,2,0))</f>
        <v/>
      </c>
      <c r="D700" s="50"/>
      <c r="E700" s="55" t="str">
        <f t="shared" ca="1" si="71"/>
        <v/>
      </c>
      <c r="F700" s="51"/>
      <c r="G700" s="55" t="str">
        <f t="shared" ca="1" si="72"/>
        <v/>
      </c>
      <c r="H700" s="50"/>
      <c r="I700" s="55" t="str">
        <f t="shared" ca="1" si="73"/>
        <v/>
      </c>
      <c r="J700" s="50"/>
      <c r="K700" s="55" t="str">
        <f t="shared" ca="1" si="74"/>
        <v/>
      </c>
      <c r="L700" s="64" t="str">
        <f>IF(B700="","",D700+F700+H700+J700+#REF!+#REF!+#REF!+#REF!+#REF!)</f>
        <v/>
      </c>
      <c r="M700" s="55" t="str">
        <f t="shared" ca="1" si="75"/>
        <v/>
      </c>
    </row>
    <row r="701" spans="1:13" ht="19.95" customHeight="1" x14ac:dyDescent="0.25">
      <c r="A701" s="52"/>
      <c r="B701" s="51"/>
      <c r="C701" s="54" t="str">
        <f>IF(B701="","",VLOOKUP(B701,学生信息汇总!A:E,2,0))</f>
        <v/>
      </c>
      <c r="D701" s="50"/>
      <c r="E701" s="55" t="str">
        <f t="shared" ca="1" si="71"/>
        <v/>
      </c>
      <c r="F701" s="51"/>
      <c r="G701" s="55" t="str">
        <f t="shared" ca="1" si="72"/>
        <v/>
      </c>
      <c r="H701" s="50"/>
      <c r="I701" s="55" t="str">
        <f t="shared" ca="1" si="73"/>
        <v/>
      </c>
      <c r="J701" s="50"/>
      <c r="K701" s="55" t="str">
        <f t="shared" ca="1" si="74"/>
        <v/>
      </c>
      <c r="L701" s="64" t="str">
        <f>IF(B701="","",D701+F701+H701+J701+#REF!+#REF!+#REF!+#REF!+#REF!)</f>
        <v/>
      </c>
      <c r="M701" s="55" t="str">
        <f t="shared" ca="1" si="75"/>
        <v/>
      </c>
    </row>
    <row r="702" spans="1:13" ht="19.95" customHeight="1" x14ac:dyDescent="0.25">
      <c r="A702" s="52"/>
      <c r="B702" s="51"/>
      <c r="C702" s="54" t="str">
        <f>IF(B702="","",VLOOKUP(B702,学生信息汇总!A:E,2,0))</f>
        <v/>
      </c>
      <c r="D702" s="50"/>
      <c r="E702" s="55" t="str">
        <f t="shared" ca="1" si="71"/>
        <v/>
      </c>
      <c r="F702" s="51"/>
      <c r="G702" s="55" t="str">
        <f t="shared" ca="1" si="72"/>
        <v/>
      </c>
      <c r="H702" s="50"/>
      <c r="I702" s="55" t="str">
        <f t="shared" ca="1" si="73"/>
        <v/>
      </c>
      <c r="J702" s="50"/>
      <c r="K702" s="55" t="str">
        <f t="shared" ca="1" si="74"/>
        <v/>
      </c>
      <c r="L702" s="64" t="str">
        <f>IF(B702="","",D702+F702+H702+J702+#REF!+#REF!+#REF!+#REF!+#REF!)</f>
        <v/>
      </c>
      <c r="M702" s="55" t="str">
        <f t="shared" ca="1" si="75"/>
        <v/>
      </c>
    </row>
    <row r="703" spans="1:13" ht="19.95" customHeight="1" x14ac:dyDescent="0.25">
      <c r="A703" s="52"/>
      <c r="B703" s="51"/>
      <c r="C703" s="54" t="str">
        <f>IF(B703="","",VLOOKUP(B703,学生信息汇总!A:E,2,0))</f>
        <v/>
      </c>
      <c r="D703" s="50"/>
      <c r="E703" s="55" t="str">
        <f t="shared" ca="1" si="71"/>
        <v/>
      </c>
      <c r="F703" s="51"/>
      <c r="G703" s="55" t="str">
        <f t="shared" ca="1" si="72"/>
        <v/>
      </c>
      <c r="H703" s="50"/>
      <c r="I703" s="55" t="str">
        <f t="shared" ca="1" si="73"/>
        <v/>
      </c>
      <c r="J703" s="50"/>
      <c r="K703" s="55" t="str">
        <f t="shared" ca="1" si="74"/>
        <v/>
      </c>
      <c r="L703" s="64" t="str">
        <f>IF(B703="","",D703+F703+H703+J703+#REF!+#REF!+#REF!+#REF!+#REF!)</f>
        <v/>
      </c>
      <c r="M703" s="55" t="str">
        <f t="shared" ca="1" si="75"/>
        <v/>
      </c>
    </row>
    <row r="704" spans="1:13" ht="19.95" customHeight="1" x14ac:dyDescent="0.25">
      <c r="A704" s="52"/>
      <c r="B704" s="51"/>
      <c r="C704" s="54" t="str">
        <f>IF(B704="","",VLOOKUP(B704,学生信息汇总!A:E,2,0))</f>
        <v/>
      </c>
      <c r="D704" s="50"/>
      <c r="E704" s="55" t="str">
        <f t="shared" ca="1" si="71"/>
        <v/>
      </c>
      <c r="F704" s="51"/>
      <c r="G704" s="55" t="str">
        <f t="shared" ca="1" si="72"/>
        <v/>
      </c>
      <c r="H704" s="50"/>
      <c r="I704" s="55" t="str">
        <f t="shared" ca="1" si="73"/>
        <v/>
      </c>
      <c r="J704" s="50"/>
      <c r="K704" s="55" t="str">
        <f t="shared" ca="1" si="74"/>
        <v/>
      </c>
      <c r="L704" s="64" t="str">
        <f>IF(B704="","",D704+F704+H704+J704+#REF!+#REF!+#REF!+#REF!+#REF!)</f>
        <v/>
      </c>
      <c r="M704" s="55" t="str">
        <f t="shared" ca="1" si="75"/>
        <v/>
      </c>
    </row>
    <row r="705" spans="1:13" ht="19.95" customHeight="1" x14ac:dyDescent="0.25">
      <c r="A705" s="52"/>
      <c r="B705" s="51"/>
      <c r="C705" s="54" t="str">
        <f>IF(B705="","",VLOOKUP(B705,学生信息汇总!A:E,2,0))</f>
        <v/>
      </c>
      <c r="D705" s="50"/>
      <c r="E705" s="55" t="str">
        <f t="shared" ca="1" si="71"/>
        <v/>
      </c>
      <c r="F705" s="51"/>
      <c r="G705" s="55" t="str">
        <f t="shared" ca="1" si="72"/>
        <v/>
      </c>
      <c r="H705" s="50"/>
      <c r="I705" s="55" t="str">
        <f t="shared" ca="1" si="73"/>
        <v/>
      </c>
      <c r="J705" s="50"/>
      <c r="K705" s="55" t="str">
        <f t="shared" ca="1" si="74"/>
        <v/>
      </c>
      <c r="L705" s="64" t="str">
        <f>IF(B705="","",D705+F705+H705+J705+#REF!+#REF!+#REF!+#REF!+#REF!)</f>
        <v/>
      </c>
      <c r="M705" s="55" t="str">
        <f t="shared" ca="1" si="75"/>
        <v/>
      </c>
    </row>
    <row r="706" spans="1:13" ht="19.95" customHeight="1" x14ac:dyDescent="0.25">
      <c r="A706" s="52"/>
      <c r="B706" s="51"/>
      <c r="C706" s="54" t="str">
        <f>IF(B706="","",VLOOKUP(B706,学生信息汇总!A:E,2,0))</f>
        <v/>
      </c>
      <c r="D706" s="50"/>
      <c r="E706" s="55" t="str">
        <f t="shared" ca="1" si="71"/>
        <v/>
      </c>
      <c r="F706" s="51"/>
      <c r="G706" s="55" t="str">
        <f t="shared" ca="1" si="72"/>
        <v/>
      </c>
      <c r="H706" s="50"/>
      <c r="I706" s="55" t="str">
        <f t="shared" ca="1" si="73"/>
        <v/>
      </c>
      <c r="J706" s="50"/>
      <c r="K706" s="55" t="str">
        <f t="shared" ca="1" si="74"/>
        <v/>
      </c>
      <c r="L706" s="64" t="str">
        <f>IF(B706="","",D706+F706+H706+J706+#REF!+#REF!+#REF!+#REF!+#REF!)</f>
        <v/>
      </c>
      <c r="M706" s="55" t="str">
        <f t="shared" ca="1" si="75"/>
        <v/>
      </c>
    </row>
    <row r="707" spans="1:13" ht="19.95" customHeight="1" x14ac:dyDescent="0.25">
      <c r="A707" s="52"/>
      <c r="B707" s="51"/>
      <c r="C707" s="54" t="str">
        <f>IF(B707="","",VLOOKUP(B707,学生信息汇总!A:E,2,0))</f>
        <v/>
      </c>
      <c r="D707" s="50"/>
      <c r="E707" s="55" t="str">
        <f t="shared" ca="1" si="71"/>
        <v/>
      </c>
      <c r="F707" s="51"/>
      <c r="G707" s="55" t="str">
        <f t="shared" ca="1" si="72"/>
        <v/>
      </c>
      <c r="H707" s="50"/>
      <c r="I707" s="55" t="str">
        <f t="shared" ca="1" si="73"/>
        <v/>
      </c>
      <c r="J707" s="50"/>
      <c r="K707" s="55" t="str">
        <f t="shared" ca="1" si="74"/>
        <v/>
      </c>
      <c r="L707" s="64" t="str">
        <f>IF(B707="","",D707+F707+H707+J707+#REF!+#REF!+#REF!+#REF!+#REF!)</f>
        <v/>
      </c>
      <c r="M707" s="55" t="str">
        <f t="shared" ca="1" si="75"/>
        <v/>
      </c>
    </row>
    <row r="708" spans="1:13" ht="19.95" customHeight="1" x14ac:dyDescent="0.25">
      <c r="A708" s="52"/>
      <c r="B708" s="51"/>
      <c r="C708" s="54" t="str">
        <f>IF(B708="","",VLOOKUP(B708,学生信息汇总!A:E,2,0))</f>
        <v/>
      </c>
      <c r="D708" s="50"/>
      <c r="E708" s="55" t="str">
        <f t="shared" ca="1" si="71"/>
        <v/>
      </c>
      <c r="F708" s="51"/>
      <c r="G708" s="55" t="str">
        <f t="shared" ca="1" si="72"/>
        <v/>
      </c>
      <c r="H708" s="50"/>
      <c r="I708" s="55" t="str">
        <f t="shared" ca="1" si="73"/>
        <v/>
      </c>
      <c r="J708" s="50"/>
      <c r="K708" s="55" t="str">
        <f t="shared" ca="1" si="74"/>
        <v/>
      </c>
      <c r="L708" s="64" t="str">
        <f>IF(B708="","",D708+F708+H708+J708+#REF!+#REF!+#REF!+#REF!+#REF!)</f>
        <v/>
      </c>
      <c r="M708" s="55" t="str">
        <f t="shared" ca="1" si="75"/>
        <v/>
      </c>
    </row>
    <row r="709" spans="1:13" ht="19.95" customHeight="1" x14ac:dyDescent="0.25">
      <c r="A709" s="52"/>
      <c r="B709" s="51"/>
      <c r="C709" s="54" t="str">
        <f>IF(B709="","",VLOOKUP(B709,学生信息汇总!A:E,2,0))</f>
        <v/>
      </c>
      <c r="D709" s="50"/>
      <c r="E709" s="55" t="str">
        <f t="shared" ca="1" si="71"/>
        <v/>
      </c>
      <c r="F709" s="51"/>
      <c r="G709" s="55" t="str">
        <f t="shared" ca="1" si="72"/>
        <v/>
      </c>
      <c r="H709" s="50"/>
      <c r="I709" s="55" t="str">
        <f t="shared" ca="1" si="73"/>
        <v/>
      </c>
      <c r="J709" s="50"/>
      <c r="K709" s="55" t="str">
        <f t="shared" ca="1" si="74"/>
        <v/>
      </c>
      <c r="L709" s="64" t="str">
        <f>IF(B709="","",D709+F709+H709+J709+#REF!+#REF!+#REF!+#REF!+#REF!)</f>
        <v/>
      </c>
      <c r="M709" s="55" t="str">
        <f t="shared" ca="1" si="75"/>
        <v/>
      </c>
    </row>
    <row r="710" spans="1:13" ht="19.95" customHeight="1" x14ac:dyDescent="0.25">
      <c r="A710" s="52"/>
      <c r="B710" s="51"/>
      <c r="C710" s="54" t="str">
        <f>IF(B710="","",VLOOKUP(B710,学生信息汇总!A:E,2,0))</f>
        <v/>
      </c>
      <c r="D710" s="50"/>
      <c r="E710" s="55" t="str">
        <f t="shared" ca="1" si="71"/>
        <v/>
      </c>
      <c r="F710" s="51"/>
      <c r="G710" s="55" t="str">
        <f t="shared" ca="1" si="72"/>
        <v/>
      </c>
      <c r="H710" s="50"/>
      <c r="I710" s="55" t="str">
        <f t="shared" ca="1" si="73"/>
        <v/>
      </c>
      <c r="J710" s="50"/>
      <c r="K710" s="55" t="str">
        <f t="shared" ca="1" si="74"/>
        <v/>
      </c>
      <c r="L710" s="64" t="str">
        <f>IF(B710="","",D710+F710+H710+J710+#REF!+#REF!+#REF!+#REF!+#REF!)</f>
        <v/>
      </c>
      <c r="M710" s="55" t="str">
        <f t="shared" ca="1" si="75"/>
        <v/>
      </c>
    </row>
    <row r="711" spans="1:13" ht="19.95" customHeight="1" x14ac:dyDescent="0.25">
      <c r="A711" s="52"/>
      <c r="B711" s="51"/>
      <c r="C711" s="54" t="str">
        <f>IF(B711="","",VLOOKUP(B711,学生信息汇总!A:E,2,0))</f>
        <v/>
      </c>
      <c r="D711" s="50"/>
      <c r="E711" s="55" t="str">
        <f t="shared" ca="1" si="71"/>
        <v/>
      </c>
      <c r="F711" s="51"/>
      <c r="G711" s="55" t="str">
        <f t="shared" ca="1" si="72"/>
        <v/>
      </c>
      <c r="H711" s="50"/>
      <c r="I711" s="55" t="str">
        <f t="shared" ca="1" si="73"/>
        <v/>
      </c>
      <c r="J711" s="50"/>
      <c r="K711" s="55" t="str">
        <f t="shared" ca="1" si="74"/>
        <v/>
      </c>
      <c r="L711" s="64" t="str">
        <f>IF(B711="","",D711+F711+H711+J711+#REF!+#REF!+#REF!+#REF!+#REF!)</f>
        <v/>
      </c>
      <c r="M711" s="55" t="str">
        <f t="shared" ca="1" si="75"/>
        <v/>
      </c>
    </row>
    <row r="712" spans="1:13" ht="19.95" customHeight="1" x14ac:dyDescent="0.25">
      <c r="A712" s="52"/>
      <c r="B712" s="51"/>
      <c r="C712" s="54" t="str">
        <f>IF(B712="","",VLOOKUP(B712,学生信息汇总!A:E,2,0))</f>
        <v/>
      </c>
      <c r="D712" s="50"/>
      <c r="E712" s="55" t="str">
        <f t="shared" ca="1" si="71"/>
        <v/>
      </c>
      <c r="F712" s="51"/>
      <c r="G712" s="55" t="str">
        <f t="shared" ca="1" si="72"/>
        <v/>
      </c>
      <c r="H712" s="50"/>
      <c r="I712" s="55" t="str">
        <f t="shared" ca="1" si="73"/>
        <v/>
      </c>
      <c r="J712" s="50"/>
      <c r="K712" s="55" t="str">
        <f t="shared" ca="1" si="74"/>
        <v/>
      </c>
      <c r="L712" s="64" t="str">
        <f>IF(B712="","",D712+F712+H712+J712+#REF!+#REF!+#REF!+#REF!+#REF!)</f>
        <v/>
      </c>
      <c r="M712" s="55" t="str">
        <f t="shared" ca="1" si="75"/>
        <v/>
      </c>
    </row>
    <row r="713" spans="1:13" ht="19.95" customHeight="1" x14ac:dyDescent="0.25">
      <c r="A713" s="52"/>
      <c r="B713" s="51"/>
      <c r="C713" s="54" t="str">
        <f>IF(B713="","",VLOOKUP(B713,学生信息汇总!A:E,2,0))</f>
        <v/>
      </c>
      <c r="D713" s="50"/>
      <c r="E713" s="55" t="str">
        <f t="shared" ca="1" si="71"/>
        <v/>
      </c>
      <c r="F713" s="51"/>
      <c r="G713" s="55" t="str">
        <f t="shared" ca="1" si="72"/>
        <v/>
      </c>
      <c r="H713" s="50"/>
      <c r="I713" s="55" t="str">
        <f t="shared" ca="1" si="73"/>
        <v/>
      </c>
      <c r="J713" s="50"/>
      <c r="K713" s="55" t="str">
        <f t="shared" ca="1" si="74"/>
        <v/>
      </c>
      <c r="L713" s="64" t="str">
        <f>IF(B713="","",D713+F713+H713+J713+#REF!+#REF!+#REF!+#REF!+#REF!)</f>
        <v/>
      </c>
      <c r="M713" s="55" t="str">
        <f t="shared" ca="1" si="75"/>
        <v/>
      </c>
    </row>
    <row r="714" spans="1:13" ht="19.95" customHeight="1" x14ac:dyDescent="0.25">
      <c r="A714" s="52"/>
      <c r="B714" s="51"/>
      <c r="C714" s="54" t="str">
        <f>IF(B714="","",VLOOKUP(B714,学生信息汇总!A:E,2,0))</f>
        <v/>
      </c>
      <c r="D714" s="50"/>
      <c r="E714" s="55" t="str">
        <f t="shared" ca="1" si="71"/>
        <v/>
      </c>
      <c r="F714" s="51"/>
      <c r="G714" s="55" t="str">
        <f t="shared" ca="1" si="72"/>
        <v/>
      </c>
      <c r="H714" s="50"/>
      <c r="I714" s="55" t="str">
        <f t="shared" ca="1" si="73"/>
        <v/>
      </c>
      <c r="J714" s="50"/>
      <c r="K714" s="55" t="str">
        <f t="shared" ca="1" si="74"/>
        <v/>
      </c>
      <c r="L714" s="64" t="str">
        <f>IF(B714="","",D714+F714+H714+J714+#REF!+#REF!+#REF!+#REF!+#REF!)</f>
        <v/>
      </c>
      <c r="M714" s="55" t="str">
        <f t="shared" ca="1" si="75"/>
        <v/>
      </c>
    </row>
    <row r="715" spans="1:13" ht="19.95" customHeight="1" x14ac:dyDescent="0.25">
      <c r="A715" s="52"/>
      <c r="B715" s="51"/>
      <c r="C715" s="54" t="str">
        <f>IF(B715="","",VLOOKUP(B715,学生信息汇总!A:E,2,0))</f>
        <v/>
      </c>
      <c r="D715" s="50"/>
      <c r="E715" s="55" t="str">
        <f t="shared" ca="1" si="71"/>
        <v/>
      </c>
      <c r="F715" s="51"/>
      <c r="G715" s="55" t="str">
        <f t="shared" ca="1" si="72"/>
        <v/>
      </c>
      <c r="H715" s="50"/>
      <c r="I715" s="55" t="str">
        <f t="shared" ca="1" si="73"/>
        <v/>
      </c>
      <c r="J715" s="50"/>
      <c r="K715" s="55" t="str">
        <f t="shared" ca="1" si="74"/>
        <v/>
      </c>
      <c r="L715" s="64" t="str">
        <f>IF(B715="","",D715+F715+H715+J715+#REF!+#REF!+#REF!+#REF!+#REF!)</f>
        <v/>
      </c>
      <c r="M715" s="55" t="str">
        <f t="shared" ca="1" si="75"/>
        <v/>
      </c>
    </row>
    <row r="716" spans="1:13" ht="19.95" customHeight="1" x14ac:dyDescent="0.25">
      <c r="A716" s="52"/>
      <c r="B716" s="51"/>
      <c r="C716" s="54" t="str">
        <f>IF(B716="","",VLOOKUP(B716,学生信息汇总!A:E,2,0))</f>
        <v/>
      </c>
      <c r="D716" s="50"/>
      <c r="E716" s="55" t="str">
        <f t="shared" ca="1" si="71"/>
        <v/>
      </c>
      <c r="F716" s="51"/>
      <c r="G716" s="55" t="str">
        <f t="shared" ca="1" si="72"/>
        <v/>
      </c>
      <c r="H716" s="50"/>
      <c r="I716" s="55" t="str">
        <f t="shared" ca="1" si="73"/>
        <v/>
      </c>
      <c r="J716" s="50"/>
      <c r="K716" s="55" t="str">
        <f t="shared" ca="1" si="74"/>
        <v/>
      </c>
      <c r="L716" s="64" t="str">
        <f>IF(B716="","",D716+F716+H716+J716+#REF!+#REF!+#REF!+#REF!+#REF!)</f>
        <v/>
      </c>
      <c r="M716" s="55" t="str">
        <f t="shared" ca="1" si="75"/>
        <v/>
      </c>
    </row>
    <row r="717" spans="1:13" ht="19.95" customHeight="1" x14ac:dyDescent="0.25">
      <c r="A717" s="52"/>
      <c r="B717" s="51"/>
      <c r="C717" s="54" t="str">
        <f>IF(B717="","",VLOOKUP(B717,学生信息汇总!A:E,2,0))</f>
        <v/>
      </c>
      <c r="D717" s="50"/>
      <c r="E717" s="55" t="str">
        <f t="shared" ca="1" si="71"/>
        <v/>
      </c>
      <c r="F717" s="51"/>
      <c r="G717" s="55" t="str">
        <f t="shared" ca="1" si="72"/>
        <v/>
      </c>
      <c r="H717" s="50"/>
      <c r="I717" s="55" t="str">
        <f t="shared" ca="1" si="73"/>
        <v/>
      </c>
      <c r="J717" s="50"/>
      <c r="K717" s="55" t="str">
        <f t="shared" ca="1" si="74"/>
        <v/>
      </c>
      <c r="L717" s="64" t="str">
        <f>IF(B717="","",D717+F717+H717+J717+#REF!+#REF!+#REF!+#REF!+#REF!)</f>
        <v/>
      </c>
      <c r="M717" s="55" t="str">
        <f t="shared" ca="1" si="75"/>
        <v/>
      </c>
    </row>
    <row r="718" spans="1:13" ht="19.95" customHeight="1" x14ac:dyDescent="0.25">
      <c r="A718" s="52"/>
      <c r="B718" s="51"/>
      <c r="C718" s="54" t="str">
        <f>IF(B718="","",VLOOKUP(B718,学生信息汇总!A:E,2,0))</f>
        <v/>
      </c>
      <c r="D718" s="50"/>
      <c r="E718" s="55" t="str">
        <f t="shared" ca="1" si="71"/>
        <v/>
      </c>
      <c r="F718" s="51"/>
      <c r="G718" s="55" t="str">
        <f t="shared" ca="1" si="72"/>
        <v/>
      </c>
      <c r="H718" s="50"/>
      <c r="I718" s="55" t="str">
        <f t="shared" ca="1" si="73"/>
        <v/>
      </c>
      <c r="J718" s="50"/>
      <c r="K718" s="55" t="str">
        <f t="shared" ca="1" si="74"/>
        <v/>
      </c>
      <c r="L718" s="64" t="str">
        <f>IF(B718="","",D718+F718+H718+J718+#REF!+#REF!+#REF!+#REF!+#REF!)</f>
        <v/>
      </c>
      <c r="M718" s="55" t="str">
        <f t="shared" ca="1" si="75"/>
        <v/>
      </c>
    </row>
    <row r="719" spans="1:13" ht="19.95" customHeight="1" x14ac:dyDescent="0.25">
      <c r="A719" s="52"/>
      <c r="B719" s="51"/>
      <c r="C719" s="54" t="str">
        <f>IF(B719="","",VLOOKUP(B719,学生信息汇总!A:E,2,0))</f>
        <v/>
      </c>
      <c r="D719" s="50"/>
      <c r="E719" s="55" t="str">
        <f t="shared" ca="1" si="71"/>
        <v/>
      </c>
      <c r="F719" s="51"/>
      <c r="G719" s="55" t="str">
        <f t="shared" ca="1" si="72"/>
        <v/>
      </c>
      <c r="H719" s="50"/>
      <c r="I719" s="55" t="str">
        <f t="shared" ca="1" si="73"/>
        <v/>
      </c>
      <c r="J719" s="50"/>
      <c r="K719" s="55" t="str">
        <f t="shared" ca="1" si="74"/>
        <v/>
      </c>
      <c r="L719" s="64" t="str">
        <f>IF(B719="","",D719+F719+H719+J719+#REF!+#REF!+#REF!+#REF!+#REF!)</f>
        <v/>
      </c>
      <c r="M719" s="55" t="str">
        <f t="shared" ca="1" si="75"/>
        <v/>
      </c>
    </row>
    <row r="720" spans="1:13" ht="19.95" customHeight="1" x14ac:dyDescent="0.25">
      <c r="A720" s="52"/>
      <c r="B720" s="51"/>
      <c r="C720" s="54" t="str">
        <f>IF(B720="","",VLOOKUP(B720,学生信息汇总!A:E,2,0))</f>
        <v/>
      </c>
      <c r="D720" s="50"/>
      <c r="E720" s="55" t="str">
        <f t="shared" ca="1" si="71"/>
        <v/>
      </c>
      <c r="F720" s="51"/>
      <c r="G720" s="55" t="str">
        <f t="shared" ca="1" si="72"/>
        <v/>
      </c>
      <c r="H720" s="50"/>
      <c r="I720" s="55" t="str">
        <f t="shared" ca="1" si="73"/>
        <v/>
      </c>
      <c r="J720" s="50"/>
      <c r="K720" s="55" t="str">
        <f t="shared" ca="1" si="74"/>
        <v/>
      </c>
      <c r="L720" s="64" t="str">
        <f>IF(B720="","",D720+F720+H720+J720+#REF!+#REF!+#REF!+#REF!+#REF!)</f>
        <v/>
      </c>
      <c r="M720" s="55" t="str">
        <f t="shared" ca="1" si="75"/>
        <v/>
      </c>
    </row>
    <row r="721" spans="1:13" ht="19.95" customHeight="1" x14ac:dyDescent="0.25">
      <c r="A721" s="52"/>
      <c r="B721" s="51"/>
      <c r="C721" s="54" t="str">
        <f>IF(B721="","",VLOOKUP(B721,学生信息汇总!A:E,2,0))</f>
        <v/>
      </c>
      <c r="D721" s="50"/>
      <c r="E721" s="55" t="str">
        <f t="shared" ca="1" si="71"/>
        <v/>
      </c>
      <c r="F721" s="51"/>
      <c r="G721" s="55" t="str">
        <f t="shared" ca="1" si="72"/>
        <v/>
      </c>
      <c r="H721" s="50"/>
      <c r="I721" s="55" t="str">
        <f t="shared" ca="1" si="73"/>
        <v/>
      </c>
      <c r="J721" s="50"/>
      <c r="K721" s="55" t="str">
        <f t="shared" ca="1" si="74"/>
        <v/>
      </c>
      <c r="L721" s="64" t="str">
        <f>IF(B721="","",D721+F721+H721+J721+#REF!+#REF!+#REF!+#REF!+#REF!)</f>
        <v/>
      </c>
      <c r="M721" s="55" t="str">
        <f t="shared" ca="1" si="75"/>
        <v/>
      </c>
    </row>
    <row r="722" spans="1:13" ht="19.95" customHeight="1" x14ac:dyDescent="0.25">
      <c r="A722" s="52"/>
      <c r="B722" s="51"/>
      <c r="C722" s="54" t="str">
        <f>IF(B722="","",VLOOKUP(B722,学生信息汇总!A:E,2,0))</f>
        <v/>
      </c>
      <c r="D722" s="50"/>
      <c r="E722" s="55" t="str">
        <f t="shared" ca="1" si="71"/>
        <v/>
      </c>
      <c r="F722" s="51"/>
      <c r="G722" s="55" t="str">
        <f t="shared" ca="1" si="72"/>
        <v/>
      </c>
      <c r="H722" s="50"/>
      <c r="I722" s="55" t="str">
        <f t="shared" ca="1" si="73"/>
        <v/>
      </c>
      <c r="J722" s="50"/>
      <c r="K722" s="55" t="str">
        <f t="shared" ca="1" si="74"/>
        <v/>
      </c>
      <c r="L722" s="64" t="str">
        <f>IF(B722="","",D722+F722+H722+J722+#REF!+#REF!+#REF!+#REF!+#REF!)</f>
        <v/>
      </c>
      <c r="M722" s="55" t="str">
        <f t="shared" ca="1" si="75"/>
        <v/>
      </c>
    </row>
    <row r="723" spans="1:13" ht="19.95" customHeight="1" x14ac:dyDescent="0.25">
      <c r="A723" s="52"/>
      <c r="B723" s="51"/>
      <c r="C723" s="54" t="str">
        <f>IF(B723="","",VLOOKUP(B723,学生信息汇总!A:E,2,0))</f>
        <v/>
      </c>
      <c r="D723" s="50"/>
      <c r="E723" s="55" t="str">
        <f t="shared" ca="1" si="71"/>
        <v/>
      </c>
      <c r="F723" s="51"/>
      <c r="G723" s="55" t="str">
        <f t="shared" ca="1" si="72"/>
        <v/>
      </c>
      <c r="H723" s="50"/>
      <c r="I723" s="55" t="str">
        <f t="shared" ca="1" si="73"/>
        <v/>
      </c>
      <c r="J723" s="50"/>
      <c r="K723" s="55" t="str">
        <f t="shared" ca="1" si="74"/>
        <v/>
      </c>
      <c r="L723" s="64" t="str">
        <f>IF(B723="","",D723+F723+H723+J723+#REF!+#REF!+#REF!+#REF!+#REF!)</f>
        <v/>
      </c>
      <c r="M723" s="55" t="str">
        <f t="shared" ca="1" si="75"/>
        <v/>
      </c>
    </row>
    <row r="724" spans="1:13" ht="19.95" customHeight="1" x14ac:dyDescent="0.25">
      <c r="A724" s="52"/>
      <c r="B724" s="51"/>
      <c r="C724" s="54" t="str">
        <f>IF(B724="","",VLOOKUP(B724,学生信息汇总!A:E,2,0))</f>
        <v/>
      </c>
      <c r="D724" s="50"/>
      <c r="E724" s="55" t="str">
        <f t="shared" ca="1" si="71"/>
        <v/>
      </c>
      <c r="F724" s="51"/>
      <c r="G724" s="55" t="str">
        <f t="shared" ca="1" si="72"/>
        <v/>
      </c>
      <c r="H724" s="50"/>
      <c r="I724" s="55" t="str">
        <f t="shared" ca="1" si="73"/>
        <v/>
      </c>
      <c r="J724" s="50"/>
      <c r="K724" s="55" t="str">
        <f t="shared" ca="1" si="74"/>
        <v/>
      </c>
      <c r="L724" s="64" t="str">
        <f>IF(B724="","",D724+F724+H724+J724+#REF!+#REF!+#REF!+#REF!+#REF!)</f>
        <v/>
      </c>
      <c r="M724" s="55" t="str">
        <f t="shared" ca="1" si="75"/>
        <v/>
      </c>
    </row>
    <row r="725" spans="1:13" ht="19.95" customHeight="1" x14ac:dyDescent="0.25">
      <c r="A725" s="52"/>
      <c r="B725" s="51"/>
      <c r="C725" s="54" t="str">
        <f>IF(B725="","",VLOOKUP(B725,学生信息汇总!A:E,2,0))</f>
        <v/>
      </c>
      <c r="D725" s="50"/>
      <c r="E725" s="55" t="str">
        <f t="shared" ca="1" si="71"/>
        <v/>
      </c>
      <c r="F725" s="51"/>
      <c r="G725" s="55" t="str">
        <f t="shared" ca="1" si="72"/>
        <v/>
      </c>
      <c r="H725" s="50"/>
      <c r="I725" s="55" t="str">
        <f t="shared" ca="1" si="73"/>
        <v/>
      </c>
      <c r="J725" s="50"/>
      <c r="K725" s="55" t="str">
        <f t="shared" ca="1" si="74"/>
        <v/>
      </c>
      <c r="L725" s="64" t="str">
        <f>IF(B725="","",D725+F725+H725+J725+#REF!+#REF!+#REF!+#REF!+#REF!)</f>
        <v/>
      </c>
      <c r="M725" s="55" t="str">
        <f t="shared" ca="1" si="75"/>
        <v/>
      </c>
    </row>
    <row r="726" spans="1:13" ht="19.95" customHeight="1" x14ac:dyDescent="0.25">
      <c r="A726" s="52"/>
      <c r="B726" s="51"/>
      <c r="C726" s="54" t="str">
        <f>IF(B726="","",VLOOKUP(B726,学生信息汇总!A:E,2,0))</f>
        <v/>
      </c>
      <c r="D726" s="50"/>
      <c r="E726" s="55" t="str">
        <f t="shared" ca="1" si="71"/>
        <v/>
      </c>
      <c r="F726" s="51"/>
      <c r="G726" s="55" t="str">
        <f t="shared" ca="1" si="72"/>
        <v/>
      </c>
      <c r="H726" s="50"/>
      <c r="I726" s="55" t="str">
        <f t="shared" ca="1" si="73"/>
        <v/>
      </c>
      <c r="J726" s="50"/>
      <c r="K726" s="55" t="str">
        <f t="shared" ca="1" si="74"/>
        <v/>
      </c>
      <c r="L726" s="64" t="str">
        <f>IF(B726="","",D726+F726+H726+J726+#REF!+#REF!+#REF!+#REF!+#REF!)</f>
        <v/>
      </c>
      <c r="M726" s="55" t="str">
        <f t="shared" ca="1" si="75"/>
        <v/>
      </c>
    </row>
    <row r="727" spans="1:13" ht="19.95" customHeight="1" x14ac:dyDescent="0.25">
      <c r="A727" s="52"/>
      <c r="B727" s="51"/>
      <c r="C727" s="54" t="str">
        <f>IF(B727="","",VLOOKUP(B727,学生信息汇总!A:E,2,0))</f>
        <v/>
      </c>
      <c r="D727" s="50"/>
      <c r="E727" s="55" t="str">
        <f t="shared" ca="1" si="71"/>
        <v/>
      </c>
      <c r="F727" s="51"/>
      <c r="G727" s="55" t="str">
        <f t="shared" ca="1" si="72"/>
        <v/>
      </c>
      <c r="H727" s="50"/>
      <c r="I727" s="55" t="str">
        <f t="shared" ca="1" si="73"/>
        <v/>
      </c>
      <c r="J727" s="50"/>
      <c r="K727" s="55" t="str">
        <f t="shared" ca="1" si="74"/>
        <v/>
      </c>
      <c r="L727" s="64" t="str">
        <f>IF(B727="","",D727+F727+H727+J727+#REF!+#REF!+#REF!+#REF!+#REF!)</f>
        <v/>
      </c>
      <c r="M727" s="55" t="str">
        <f t="shared" ca="1" si="75"/>
        <v/>
      </c>
    </row>
    <row r="728" spans="1:13" ht="19.95" customHeight="1" x14ac:dyDescent="0.25">
      <c r="A728" s="52"/>
      <c r="B728" s="51"/>
      <c r="C728" s="54" t="str">
        <f>IF(B728="","",VLOOKUP(B728,学生信息汇总!A:E,2,0))</f>
        <v/>
      </c>
      <c r="D728" s="50"/>
      <c r="E728" s="55" t="str">
        <f t="shared" ca="1" si="71"/>
        <v/>
      </c>
      <c r="F728" s="51"/>
      <c r="G728" s="55" t="str">
        <f t="shared" ca="1" si="72"/>
        <v/>
      </c>
      <c r="H728" s="50"/>
      <c r="I728" s="55" t="str">
        <f t="shared" ca="1" si="73"/>
        <v/>
      </c>
      <c r="J728" s="50"/>
      <c r="K728" s="55" t="str">
        <f t="shared" ca="1" si="74"/>
        <v/>
      </c>
      <c r="L728" s="64" t="str">
        <f>IF(B728="","",D728+F728+H728+J728+#REF!+#REF!+#REF!+#REF!+#REF!)</f>
        <v/>
      </c>
      <c r="M728" s="55" t="str">
        <f t="shared" ca="1" si="75"/>
        <v/>
      </c>
    </row>
    <row r="729" spans="1:13" ht="19.95" customHeight="1" x14ac:dyDescent="0.25">
      <c r="A729" s="52"/>
      <c r="B729" s="51"/>
      <c r="C729" s="54" t="str">
        <f>IF(B729="","",VLOOKUP(B729,学生信息汇总!A:E,2,0))</f>
        <v/>
      </c>
      <c r="D729" s="50"/>
      <c r="E729" s="55" t="str">
        <f t="shared" ca="1" si="71"/>
        <v/>
      </c>
      <c r="F729" s="51"/>
      <c r="G729" s="55" t="str">
        <f t="shared" ca="1" si="72"/>
        <v/>
      </c>
      <c r="H729" s="50"/>
      <c r="I729" s="55" t="str">
        <f t="shared" ca="1" si="73"/>
        <v/>
      </c>
      <c r="J729" s="50"/>
      <c r="K729" s="55" t="str">
        <f t="shared" ca="1" si="74"/>
        <v/>
      </c>
      <c r="L729" s="64" t="str">
        <f>IF(B729="","",D729+F729+H729+J729+#REF!+#REF!+#REF!+#REF!+#REF!)</f>
        <v/>
      </c>
      <c r="M729" s="55" t="str">
        <f t="shared" ca="1" si="75"/>
        <v/>
      </c>
    </row>
    <row r="730" spans="1:13" ht="19.95" customHeight="1" x14ac:dyDescent="0.25">
      <c r="A730" s="52"/>
      <c r="B730" s="51"/>
      <c r="C730" s="54" t="str">
        <f>IF(B730="","",VLOOKUP(B730,学生信息汇总!A:E,2,0))</f>
        <v/>
      </c>
      <c r="D730" s="50"/>
      <c r="E730" s="55" t="str">
        <f t="shared" ca="1" si="71"/>
        <v/>
      </c>
      <c r="F730" s="51"/>
      <c r="G730" s="55" t="str">
        <f t="shared" ca="1" si="72"/>
        <v/>
      </c>
      <c r="H730" s="50"/>
      <c r="I730" s="55" t="str">
        <f t="shared" ca="1" si="73"/>
        <v/>
      </c>
      <c r="J730" s="50"/>
      <c r="K730" s="55" t="str">
        <f t="shared" ca="1" si="74"/>
        <v/>
      </c>
      <c r="L730" s="64" t="str">
        <f>IF(B730="","",D730+F730+H730+J730+#REF!+#REF!+#REF!+#REF!+#REF!)</f>
        <v/>
      </c>
      <c r="M730" s="55" t="str">
        <f t="shared" ca="1" si="75"/>
        <v/>
      </c>
    </row>
    <row r="731" spans="1:13" ht="19.95" customHeight="1" x14ac:dyDescent="0.25">
      <c r="A731" s="52"/>
      <c r="B731" s="51"/>
      <c r="C731" s="54" t="str">
        <f>IF(B731="","",VLOOKUP(B731,学生信息汇总!A:E,2,0))</f>
        <v/>
      </c>
      <c r="D731" s="50"/>
      <c r="E731" s="55" t="str">
        <f t="shared" ca="1" si="71"/>
        <v/>
      </c>
      <c r="F731" s="51"/>
      <c r="G731" s="55" t="str">
        <f t="shared" ca="1" si="72"/>
        <v/>
      </c>
      <c r="H731" s="50"/>
      <c r="I731" s="55" t="str">
        <f t="shared" ca="1" si="73"/>
        <v/>
      </c>
      <c r="J731" s="50"/>
      <c r="K731" s="55" t="str">
        <f t="shared" ca="1" si="74"/>
        <v/>
      </c>
      <c r="L731" s="64" t="str">
        <f>IF(B731="","",D731+F731+H731+J731+#REF!+#REF!+#REF!+#REF!+#REF!)</f>
        <v/>
      </c>
      <c r="M731" s="55" t="str">
        <f t="shared" ca="1" si="75"/>
        <v/>
      </c>
    </row>
    <row r="732" spans="1:13" ht="19.95" customHeight="1" x14ac:dyDescent="0.25">
      <c r="A732" s="52"/>
      <c r="B732" s="51"/>
      <c r="C732" s="54" t="str">
        <f>IF(B732="","",VLOOKUP(B732,学生信息汇总!A:E,2,0))</f>
        <v/>
      </c>
      <c r="D732" s="50"/>
      <c r="E732" s="55" t="str">
        <f t="shared" ca="1" si="71"/>
        <v/>
      </c>
      <c r="F732" s="51"/>
      <c r="G732" s="55" t="str">
        <f t="shared" ca="1" si="72"/>
        <v/>
      </c>
      <c r="H732" s="50"/>
      <c r="I732" s="55" t="str">
        <f t="shared" ca="1" si="73"/>
        <v/>
      </c>
      <c r="J732" s="50"/>
      <c r="K732" s="55" t="str">
        <f t="shared" ca="1" si="74"/>
        <v/>
      </c>
      <c r="L732" s="64" t="str">
        <f>IF(B732="","",D732+F732+H732+J732+#REF!+#REF!+#REF!+#REF!+#REF!)</f>
        <v/>
      </c>
      <c r="M732" s="55" t="str">
        <f t="shared" ca="1" si="75"/>
        <v/>
      </c>
    </row>
    <row r="733" spans="1:13" ht="19.95" customHeight="1" x14ac:dyDescent="0.25">
      <c r="A733" s="52"/>
      <c r="B733" s="51"/>
      <c r="C733" s="54" t="str">
        <f>IF(B733="","",VLOOKUP(B733,学生信息汇总!A:E,2,0))</f>
        <v/>
      </c>
      <c r="D733" s="50"/>
      <c r="E733" s="55" t="str">
        <f t="shared" ca="1" si="71"/>
        <v/>
      </c>
      <c r="F733" s="51"/>
      <c r="G733" s="55" t="str">
        <f t="shared" ca="1" si="72"/>
        <v/>
      </c>
      <c r="H733" s="50"/>
      <c r="I733" s="55" t="str">
        <f t="shared" ca="1" si="73"/>
        <v/>
      </c>
      <c r="J733" s="50"/>
      <c r="K733" s="55" t="str">
        <f t="shared" ca="1" si="74"/>
        <v/>
      </c>
      <c r="L733" s="64" t="str">
        <f>IF(B733="","",D733+F733+H733+J733+#REF!+#REF!+#REF!+#REF!+#REF!)</f>
        <v/>
      </c>
      <c r="M733" s="55" t="str">
        <f t="shared" ca="1" si="75"/>
        <v/>
      </c>
    </row>
    <row r="734" spans="1:13" ht="19.95" customHeight="1" x14ac:dyDescent="0.25">
      <c r="A734" s="52"/>
      <c r="B734" s="51"/>
      <c r="C734" s="54" t="str">
        <f>IF(B734="","",VLOOKUP(B734,学生信息汇总!A:E,2,0))</f>
        <v/>
      </c>
      <c r="D734" s="50"/>
      <c r="E734" s="55" t="str">
        <f t="shared" ca="1" si="71"/>
        <v/>
      </c>
      <c r="F734" s="51"/>
      <c r="G734" s="55" t="str">
        <f t="shared" ca="1" si="72"/>
        <v/>
      </c>
      <c r="H734" s="50"/>
      <c r="I734" s="55" t="str">
        <f t="shared" ca="1" si="73"/>
        <v/>
      </c>
      <c r="J734" s="50"/>
      <c r="K734" s="55" t="str">
        <f t="shared" ca="1" si="74"/>
        <v/>
      </c>
      <c r="L734" s="64" t="str">
        <f>IF(B734="","",D734+F734+H734+J734+#REF!+#REF!+#REF!+#REF!+#REF!)</f>
        <v/>
      </c>
      <c r="M734" s="55" t="str">
        <f t="shared" ca="1" si="75"/>
        <v/>
      </c>
    </row>
    <row r="735" spans="1:13" ht="19.95" customHeight="1" x14ac:dyDescent="0.25">
      <c r="A735" s="52"/>
      <c r="B735" s="51"/>
      <c r="C735" s="54" t="str">
        <f>IF(B735="","",VLOOKUP(B735,学生信息汇总!A:E,2,0))</f>
        <v/>
      </c>
      <c r="D735" s="50"/>
      <c r="E735" s="55" t="str">
        <f t="shared" ca="1" si="71"/>
        <v/>
      </c>
      <c r="F735" s="51"/>
      <c r="G735" s="55" t="str">
        <f t="shared" ca="1" si="72"/>
        <v/>
      </c>
      <c r="H735" s="50"/>
      <c r="I735" s="55" t="str">
        <f t="shared" ca="1" si="73"/>
        <v/>
      </c>
      <c r="J735" s="50"/>
      <c r="K735" s="55" t="str">
        <f t="shared" ca="1" si="74"/>
        <v/>
      </c>
      <c r="L735" s="64" t="str">
        <f>IF(B735="","",D735+F735+H735+J735+#REF!+#REF!+#REF!+#REF!+#REF!)</f>
        <v/>
      </c>
      <c r="M735" s="55" t="str">
        <f t="shared" ca="1" si="75"/>
        <v/>
      </c>
    </row>
    <row r="736" spans="1:13" ht="19.95" customHeight="1" x14ac:dyDescent="0.25">
      <c r="A736" s="52"/>
      <c r="B736" s="51"/>
      <c r="C736" s="54" t="str">
        <f>IF(B736="","",VLOOKUP(B736,学生信息汇总!A:E,2,0))</f>
        <v/>
      </c>
      <c r="D736" s="50"/>
      <c r="E736" s="55" t="str">
        <f t="shared" ca="1" si="71"/>
        <v/>
      </c>
      <c r="F736" s="51"/>
      <c r="G736" s="55" t="str">
        <f t="shared" ca="1" si="72"/>
        <v/>
      </c>
      <c r="H736" s="50"/>
      <c r="I736" s="55" t="str">
        <f t="shared" ca="1" si="73"/>
        <v/>
      </c>
      <c r="J736" s="50"/>
      <c r="K736" s="55" t="str">
        <f t="shared" ca="1" si="74"/>
        <v/>
      </c>
      <c r="L736" s="64" t="str">
        <f>IF(B736="","",D736+F736+H736+J736+#REF!+#REF!+#REF!+#REF!+#REF!)</f>
        <v/>
      </c>
      <c r="M736" s="55" t="str">
        <f t="shared" ca="1" si="75"/>
        <v/>
      </c>
    </row>
    <row r="737" spans="1:13" ht="19.95" customHeight="1" x14ac:dyDescent="0.25">
      <c r="A737" s="52"/>
      <c r="B737" s="51"/>
      <c r="C737" s="54" t="str">
        <f>IF(B737="","",VLOOKUP(B737,学生信息汇总!A:E,2,0))</f>
        <v/>
      </c>
      <c r="D737" s="50"/>
      <c r="E737" s="55" t="str">
        <f t="shared" ca="1" si="71"/>
        <v/>
      </c>
      <c r="F737" s="51"/>
      <c r="G737" s="55" t="str">
        <f t="shared" ca="1" si="72"/>
        <v/>
      </c>
      <c r="H737" s="50"/>
      <c r="I737" s="55" t="str">
        <f t="shared" ca="1" si="73"/>
        <v/>
      </c>
      <c r="J737" s="50"/>
      <c r="K737" s="55" t="str">
        <f t="shared" ca="1" si="74"/>
        <v/>
      </c>
      <c r="L737" s="64" t="str">
        <f>IF(B737="","",D737+F737+H737+J737+#REF!+#REF!+#REF!+#REF!+#REF!)</f>
        <v/>
      </c>
      <c r="M737" s="55" t="str">
        <f t="shared" ca="1" si="75"/>
        <v/>
      </c>
    </row>
    <row r="738" spans="1:13" ht="19.95" customHeight="1" x14ac:dyDescent="0.25">
      <c r="A738" s="52"/>
      <c r="B738" s="51"/>
      <c r="C738" s="54" t="str">
        <f>IF(B738="","",VLOOKUP(B738,学生信息汇总!A:E,2,0))</f>
        <v/>
      </c>
      <c r="D738" s="50"/>
      <c r="E738" s="55" t="str">
        <f t="shared" ca="1" si="71"/>
        <v/>
      </c>
      <c r="F738" s="51"/>
      <c r="G738" s="55" t="str">
        <f t="shared" ca="1" si="72"/>
        <v/>
      </c>
      <c r="H738" s="50"/>
      <c r="I738" s="55" t="str">
        <f t="shared" ca="1" si="73"/>
        <v/>
      </c>
      <c r="J738" s="50"/>
      <c r="K738" s="55" t="str">
        <f t="shared" ca="1" si="74"/>
        <v/>
      </c>
      <c r="L738" s="64" t="str">
        <f>IF(B738="","",D738+F738+H738+J738+#REF!+#REF!+#REF!+#REF!+#REF!)</f>
        <v/>
      </c>
      <c r="M738" s="55" t="str">
        <f t="shared" ca="1" si="75"/>
        <v/>
      </c>
    </row>
    <row r="739" spans="1:13" ht="19.95" customHeight="1" x14ac:dyDescent="0.25">
      <c r="A739" s="52"/>
      <c r="B739" s="51"/>
      <c r="C739" s="54" t="str">
        <f>IF(B739="","",VLOOKUP(B739,学生信息汇总!A:E,2,0))</f>
        <v/>
      </c>
      <c r="D739" s="50"/>
      <c r="E739" s="55" t="str">
        <f t="shared" ca="1" si="71"/>
        <v/>
      </c>
      <c r="F739" s="51"/>
      <c r="G739" s="55" t="str">
        <f t="shared" ca="1" si="72"/>
        <v/>
      </c>
      <c r="H739" s="50"/>
      <c r="I739" s="55" t="str">
        <f t="shared" ca="1" si="73"/>
        <v/>
      </c>
      <c r="J739" s="50"/>
      <c r="K739" s="55" t="str">
        <f t="shared" ca="1" si="74"/>
        <v/>
      </c>
      <c r="L739" s="64" t="str">
        <f>IF(B739="","",D739+F739+H739+J739+#REF!+#REF!+#REF!+#REF!+#REF!)</f>
        <v/>
      </c>
      <c r="M739" s="55" t="str">
        <f t="shared" ca="1" si="75"/>
        <v/>
      </c>
    </row>
    <row r="740" spans="1:13" ht="19.95" customHeight="1" x14ac:dyDescent="0.25">
      <c r="A740" s="52"/>
      <c r="B740" s="51"/>
      <c r="C740" s="54" t="str">
        <f>IF(B740="","",VLOOKUP(B740,学生信息汇总!A:E,2,0))</f>
        <v/>
      </c>
      <c r="D740" s="50"/>
      <c r="E740" s="55" t="str">
        <f t="shared" ca="1" si="71"/>
        <v/>
      </c>
      <c r="F740" s="51"/>
      <c r="G740" s="55" t="str">
        <f t="shared" ca="1" si="72"/>
        <v/>
      </c>
      <c r="H740" s="50"/>
      <c r="I740" s="55" t="str">
        <f t="shared" ca="1" si="73"/>
        <v/>
      </c>
      <c r="J740" s="50"/>
      <c r="K740" s="55" t="str">
        <f t="shared" ca="1" si="74"/>
        <v/>
      </c>
      <c r="L740" s="64" t="str">
        <f>IF(B740="","",D740+F740+H740+J740+#REF!+#REF!+#REF!+#REF!+#REF!)</f>
        <v/>
      </c>
      <c r="M740" s="55" t="str">
        <f t="shared" ca="1" si="75"/>
        <v/>
      </c>
    </row>
    <row r="741" spans="1:13" ht="19.95" customHeight="1" x14ac:dyDescent="0.25">
      <c r="A741" s="52"/>
      <c r="B741" s="51"/>
      <c r="C741" s="54" t="str">
        <f>IF(B741="","",VLOOKUP(B741,学生信息汇总!A:E,2,0))</f>
        <v/>
      </c>
      <c r="D741" s="50"/>
      <c r="E741" s="55" t="str">
        <f t="shared" ca="1" si="71"/>
        <v/>
      </c>
      <c r="F741" s="51"/>
      <c r="G741" s="55" t="str">
        <f t="shared" ca="1" si="72"/>
        <v/>
      </c>
      <c r="H741" s="50"/>
      <c r="I741" s="55" t="str">
        <f t="shared" ca="1" si="73"/>
        <v/>
      </c>
      <c r="J741" s="50"/>
      <c r="K741" s="55" t="str">
        <f t="shared" ca="1" si="74"/>
        <v/>
      </c>
      <c r="L741" s="64" t="str">
        <f>IF(B741="","",D741+F741+H741+J741+#REF!+#REF!+#REF!+#REF!+#REF!)</f>
        <v/>
      </c>
      <c r="M741" s="55" t="str">
        <f t="shared" ca="1" si="75"/>
        <v/>
      </c>
    </row>
    <row r="742" spans="1:13" ht="19.95" customHeight="1" x14ac:dyDescent="0.25">
      <c r="A742" s="52"/>
      <c r="B742" s="51"/>
      <c r="C742" s="54" t="str">
        <f>IF(B742="","",VLOOKUP(B742,学生信息汇总!A:E,2,0))</f>
        <v/>
      </c>
      <c r="D742" s="50"/>
      <c r="E742" s="55" t="str">
        <f t="shared" ca="1" si="71"/>
        <v/>
      </c>
      <c r="F742" s="51"/>
      <c r="G742" s="55" t="str">
        <f t="shared" ca="1" si="72"/>
        <v/>
      </c>
      <c r="H742" s="50"/>
      <c r="I742" s="55" t="str">
        <f t="shared" ca="1" si="73"/>
        <v/>
      </c>
      <c r="J742" s="50"/>
      <c r="K742" s="55" t="str">
        <f t="shared" ca="1" si="74"/>
        <v/>
      </c>
      <c r="L742" s="64" t="str">
        <f>IF(B742="","",D742+F742+H742+J742+#REF!+#REF!+#REF!+#REF!+#REF!)</f>
        <v/>
      </c>
      <c r="M742" s="55" t="str">
        <f t="shared" ca="1" si="75"/>
        <v/>
      </c>
    </row>
    <row r="743" spans="1:13" ht="19.95" customHeight="1" x14ac:dyDescent="0.25">
      <c r="A743" s="52"/>
      <c r="B743" s="51"/>
      <c r="C743" s="54" t="str">
        <f>IF(B743="","",VLOOKUP(B743,学生信息汇总!A:E,2,0))</f>
        <v/>
      </c>
      <c r="D743" s="50"/>
      <c r="E743" s="55" t="str">
        <f t="shared" ca="1" si="71"/>
        <v/>
      </c>
      <c r="F743" s="51"/>
      <c r="G743" s="55" t="str">
        <f t="shared" ca="1" si="72"/>
        <v/>
      </c>
      <c r="H743" s="50"/>
      <c r="I743" s="55" t="str">
        <f t="shared" ca="1" si="73"/>
        <v/>
      </c>
      <c r="J743" s="50"/>
      <c r="K743" s="55" t="str">
        <f t="shared" ca="1" si="74"/>
        <v/>
      </c>
      <c r="L743" s="64" t="str">
        <f>IF(B743="","",D743+F743+H743+J743+#REF!+#REF!+#REF!+#REF!+#REF!)</f>
        <v/>
      </c>
      <c r="M743" s="55" t="str">
        <f t="shared" ca="1" si="75"/>
        <v/>
      </c>
    </row>
    <row r="744" spans="1:13" ht="19.95" customHeight="1" x14ac:dyDescent="0.25">
      <c r="A744" s="52"/>
      <c r="B744" s="51"/>
      <c r="C744" s="54" t="str">
        <f>IF(B744="","",VLOOKUP(B744,学生信息汇总!A:E,2,0))</f>
        <v/>
      </c>
      <c r="D744" s="50"/>
      <c r="E744" s="55" t="str">
        <f t="shared" ca="1" si="71"/>
        <v/>
      </c>
      <c r="F744" s="51"/>
      <c r="G744" s="55" t="str">
        <f t="shared" ca="1" si="72"/>
        <v/>
      </c>
      <c r="H744" s="50"/>
      <c r="I744" s="55" t="str">
        <f t="shared" ca="1" si="73"/>
        <v/>
      </c>
      <c r="J744" s="50"/>
      <c r="K744" s="55" t="str">
        <f t="shared" ca="1" si="74"/>
        <v/>
      </c>
      <c r="L744" s="64" t="str">
        <f>IF(B744="","",D744+F744+H744+J744+#REF!+#REF!+#REF!+#REF!+#REF!)</f>
        <v/>
      </c>
      <c r="M744" s="55" t="str">
        <f t="shared" ca="1" si="75"/>
        <v/>
      </c>
    </row>
    <row r="745" spans="1:13" ht="19.95" customHeight="1" x14ac:dyDescent="0.25">
      <c r="A745" s="52"/>
      <c r="B745" s="51"/>
      <c r="C745" s="54" t="str">
        <f>IF(B745="","",VLOOKUP(B745,学生信息汇总!A:E,2,0))</f>
        <v/>
      </c>
      <c r="D745" s="50"/>
      <c r="E745" s="55" t="str">
        <f t="shared" ca="1" si="71"/>
        <v/>
      </c>
      <c r="F745" s="51"/>
      <c r="G745" s="55" t="str">
        <f t="shared" ca="1" si="72"/>
        <v/>
      </c>
      <c r="H745" s="50"/>
      <c r="I745" s="55" t="str">
        <f t="shared" ca="1" si="73"/>
        <v/>
      </c>
      <c r="J745" s="50"/>
      <c r="K745" s="55" t="str">
        <f t="shared" ca="1" si="74"/>
        <v/>
      </c>
      <c r="L745" s="64" t="str">
        <f>IF(B745="","",D745+F745+H745+J745+#REF!+#REF!+#REF!+#REF!+#REF!)</f>
        <v/>
      </c>
      <c r="M745" s="55" t="str">
        <f t="shared" ca="1" si="75"/>
        <v/>
      </c>
    </row>
    <row r="746" spans="1:13" ht="19.95" customHeight="1" x14ac:dyDescent="0.25">
      <c r="A746" s="52"/>
      <c r="B746" s="51"/>
      <c r="C746" s="54" t="str">
        <f>IF(B746="","",VLOOKUP(B746,学生信息汇总!A:E,2,0))</f>
        <v/>
      </c>
      <c r="D746" s="50"/>
      <c r="E746" s="55" t="str">
        <f t="shared" ca="1" si="71"/>
        <v/>
      </c>
      <c r="F746" s="51"/>
      <c r="G746" s="55" t="str">
        <f t="shared" ca="1" si="72"/>
        <v/>
      </c>
      <c r="H746" s="50"/>
      <c r="I746" s="55" t="str">
        <f t="shared" ca="1" si="73"/>
        <v/>
      </c>
      <c r="J746" s="50"/>
      <c r="K746" s="55" t="str">
        <f t="shared" ca="1" si="74"/>
        <v/>
      </c>
      <c r="L746" s="64" t="str">
        <f>IF(B746="","",D746+F746+H746+J746+#REF!+#REF!+#REF!+#REF!+#REF!)</f>
        <v/>
      </c>
      <c r="M746" s="55" t="str">
        <f t="shared" ca="1" si="75"/>
        <v/>
      </c>
    </row>
    <row r="747" spans="1:13" ht="19.95" customHeight="1" x14ac:dyDescent="0.25">
      <c r="A747" s="52"/>
      <c r="B747" s="51"/>
      <c r="C747" s="54" t="str">
        <f>IF(B747="","",VLOOKUP(B747,学生信息汇总!A:E,2,0))</f>
        <v/>
      </c>
      <c r="D747" s="50"/>
      <c r="E747" s="55" t="str">
        <f t="shared" ca="1" si="71"/>
        <v/>
      </c>
      <c r="F747" s="51"/>
      <c r="G747" s="55" t="str">
        <f t="shared" ca="1" si="72"/>
        <v/>
      </c>
      <c r="H747" s="50"/>
      <c r="I747" s="55" t="str">
        <f t="shared" ca="1" si="73"/>
        <v/>
      </c>
      <c r="J747" s="50"/>
      <c r="K747" s="55" t="str">
        <f t="shared" ca="1" si="74"/>
        <v/>
      </c>
      <c r="L747" s="64" t="str">
        <f>IF(B747="","",D747+F747+H747+J747+#REF!+#REF!+#REF!+#REF!+#REF!)</f>
        <v/>
      </c>
      <c r="M747" s="55" t="str">
        <f t="shared" ca="1" si="75"/>
        <v/>
      </c>
    </row>
    <row r="748" spans="1:13" ht="19.95" customHeight="1" x14ac:dyDescent="0.25">
      <c r="A748" s="52"/>
      <c r="B748" s="51"/>
      <c r="C748" s="54" t="str">
        <f>IF(B748="","",VLOOKUP(B748,学生信息汇总!A:E,2,0))</f>
        <v/>
      </c>
      <c r="D748" s="50"/>
      <c r="E748" s="55" t="str">
        <f t="shared" ref="E748:E811" ca="1" si="76">IF(D748="","",RANK(D748,INDIRECT(ADDRESS(MATCH(VLOOKUP(A748,A:A,1,0),A:A,0),6)&amp;":"&amp;ADDRESS((MATCH(VLOOKUP(A748,A:A,1,0),A:A,0)+COUNTIF(A:A,A748)-1),6))))</f>
        <v/>
      </c>
      <c r="F748" s="51"/>
      <c r="G748" s="55" t="str">
        <f t="shared" ref="G748:G811" ca="1" si="77">IF(F748="","",RANK(F748,INDIRECT(ADDRESS(MATCH(VLOOKUP(A748,A:A,1,0),A:A,0),8)&amp;":"&amp;ADDRESS((MATCH(VLOOKUP(A748,A:A,1,0),A:A,0)+COUNTIF(A:A,A748)-1),8))))</f>
        <v/>
      </c>
      <c r="H748" s="50"/>
      <c r="I748" s="55" t="str">
        <f t="shared" ref="I748:I811" ca="1" si="78">IF(H748="","",RANK(H748,INDIRECT(ADDRESS(MATCH(VLOOKUP(A748,A:A,1,0),A:A,0),10)&amp;":"&amp;ADDRESS((MATCH(VLOOKUP(A748,A:A,1,0),A:A,0)+COUNTIF(A:A,A748)-1),10))))</f>
        <v/>
      </c>
      <c r="J748" s="50"/>
      <c r="K748" s="55" t="str">
        <f t="shared" ref="K748:K811" ca="1" si="79">IF(J748="","",RANK(J748,INDIRECT(ADDRESS(MATCH(VLOOKUP(A748,A:A,1,0),A:A,0),12)&amp;":"&amp;ADDRESS((MATCH(VLOOKUP(A748,A:A,1,0),A:A,0)+COUNTIF(A:A,A748)-1),12))))</f>
        <v/>
      </c>
      <c r="L748" s="64" t="str">
        <f>IF(B748="","",D748+F748+H748+J748+#REF!+#REF!+#REF!+#REF!+#REF!)</f>
        <v/>
      </c>
      <c r="M748" s="55" t="str">
        <f t="shared" ref="M748:M811" ca="1" si="80">IF(L748="","",RANK(L748,INDIRECT(ADDRESS(MATCH(VLOOKUP(A748,A:A,1,0),A:A,0),26)&amp;":"&amp;ADDRESS((MATCH(VLOOKUP(A748,A:A,1,0),A:A,0)+COUNTIF(A:A,A748)-1),26))))</f>
        <v/>
      </c>
    </row>
    <row r="749" spans="1:13" ht="19.95" customHeight="1" x14ac:dyDescent="0.25">
      <c r="A749" s="52"/>
      <c r="B749" s="51"/>
      <c r="C749" s="54" t="str">
        <f>IF(B749="","",VLOOKUP(B749,学生信息汇总!A:E,2,0))</f>
        <v/>
      </c>
      <c r="D749" s="50"/>
      <c r="E749" s="55" t="str">
        <f t="shared" ca="1" si="76"/>
        <v/>
      </c>
      <c r="F749" s="51"/>
      <c r="G749" s="55" t="str">
        <f t="shared" ca="1" si="77"/>
        <v/>
      </c>
      <c r="H749" s="50"/>
      <c r="I749" s="55" t="str">
        <f t="shared" ca="1" si="78"/>
        <v/>
      </c>
      <c r="J749" s="50"/>
      <c r="K749" s="55" t="str">
        <f t="shared" ca="1" si="79"/>
        <v/>
      </c>
      <c r="L749" s="64" t="str">
        <f>IF(B749="","",D749+F749+H749+J749+#REF!+#REF!+#REF!+#REF!+#REF!)</f>
        <v/>
      </c>
      <c r="M749" s="55" t="str">
        <f t="shared" ca="1" si="80"/>
        <v/>
      </c>
    </row>
    <row r="750" spans="1:13" ht="19.95" customHeight="1" x14ac:dyDescent="0.25">
      <c r="A750" s="52"/>
      <c r="B750" s="51"/>
      <c r="C750" s="54" t="str">
        <f>IF(B750="","",VLOOKUP(B750,学生信息汇总!A:E,2,0))</f>
        <v/>
      </c>
      <c r="D750" s="50"/>
      <c r="E750" s="55" t="str">
        <f t="shared" ca="1" si="76"/>
        <v/>
      </c>
      <c r="F750" s="51"/>
      <c r="G750" s="55" t="str">
        <f t="shared" ca="1" si="77"/>
        <v/>
      </c>
      <c r="H750" s="50"/>
      <c r="I750" s="55" t="str">
        <f t="shared" ca="1" si="78"/>
        <v/>
      </c>
      <c r="J750" s="50"/>
      <c r="K750" s="55" t="str">
        <f t="shared" ca="1" si="79"/>
        <v/>
      </c>
      <c r="L750" s="64" t="str">
        <f>IF(B750="","",D750+F750+H750+J750+#REF!+#REF!+#REF!+#REF!+#REF!)</f>
        <v/>
      </c>
      <c r="M750" s="55" t="str">
        <f t="shared" ca="1" si="80"/>
        <v/>
      </c>
    </row>
    <row r="751" spans="1:13" ht="19.95" customHeight="1" x14ac:dyDescent="0.25">
      <c r="A751" s="52"/>
      <c r="B751" s="51"/>
      <c r="C751" s="54" t="str">
        <f>IF(B751="","",VLOOKUP(B751,学生信息汇总!A:E,2,0))</f>
        <v/>
      </c>
      <c r="D751" s="50"/>
      <c r="E751" s="55" t="str">
        <f t="shared" ca="1" si="76"/>
        <v/>
      </c>
      <c r="F751" s="51"/>
      <c r="G751" s="55" t="str">
        <f t="shared" ca="1" si="77"/>
        <v/>
      </c>
      <c r="H751" s="50"/>
      <c r="I751" s="55" t="str">
        <f t="shared" ca="1" si="78"/>
        <v/>
      </c>
      <c r="J751" s="50"/>
      <c r="K751" s="55" t="str">
        <f t="shared" ca="1" si="79"/>
        <v/>
      </c>
      <c r="L751" s="64" t="str">
        <f>IF(B751="","",D751+F751+H751+J751+#REF!+#REF!+#REF!+#REF!+#REF!)</f>
        <v/>
      </c>
      <c r="M751" s="55" t="str">
        <f t="shared" ca="1" si="80"/>
        <v/>
      </c>
    </row>
    <row r="752" spans="1:13" ht="19.95" customHeight="1" x14ac:dyDescent="0.25">
      <c r="A752" s="52"/>
      <c r="B752" s="51"/>
      <c r="C752" s="54" t="str">
        <f>IF(B752="","",VLOOKUP(B752,学生信息汇总!A:E,2,0))</f>
        <v/>
      </c>
      <c r="D752" s="50"/>
      <c r="E752" s="55" t="str">
        <f t="shared" ca="1" si="76"/>
        <v/>
      </c>
      <c r="F752" s="51"/>
      <c r="G752" s="55" t="str">
        <f t="shared" ca="1" si="77"/>
        <v/>
      </c>
      <c r="H752" s="50"/>
      <c r="I752" s="55" t="str">
        <f t="shared" ca="1" si="78"/>
        <v/>
      </c>
      <c r="J752" s="50"/>
      <c r="K752" s="55" t="str">
        <f t="shared" ca="1" si="79"/>
        <v/>
      </c>
      <c r="L752" s="64" t="str">
        <f>IF(B752="","",D752+F752+H752+J752+#REF!+#REF!+#REF!+#REF!+#REF!)</f>
        <v/>
      </c>
      <c r="M752" s="55" t="str">
        <f t="shared" ca="1" si="80"/>
        <v/>
      </c>
    </row>
    <row r="753" spans="1:13" ht="19.95" customHeight="1" x14ac:dyDescent="0.25">
      <c r="A753" s="52"/>
      <c r="B753" s="51"/>
      <c r="C753" s="54" t="str">
        <f>IF(B753="","",VLOOKUP(B753,学生信息汇总!A:E,2,0))</f>
        <v/>
      </c>
      <c r="D753" s="50"/>
      <c r="E753" s="55" t="str">
        <f t="shared" ca="1" si="76"/>
        <v/>
      </c>
      <c r="F753" s="51"/>
      <c r="G753" s="55" t="str">
        <f t="shared" ca="1" si="77"/>
        <v/>
      </c>
      <c r="H753" s="50"/>
      <c r="I753" s="55" t="str">
        <f t="shared" ca="1" si="78"/>
        <v/>
      </c>
      <c r="J753" s="50"/>
      <c r="K753" s="55" t="str">
        <f t="shared" ca="1" si="79"/>
        <v/>
      </c>
      <c r="L753" s="64" t="str">
        <f>IF(B753="","",D753+F753+H753+J753+#REF!+#REF!+#REF!+#REF!+#REF!)</f>
        <v/>
      </c>
      <c r="M753" s="55" t="str">
        <f t="shared" ca="1" si="80"/>
        <v/>
      </c>
    </row>
    <row r="754" spans="1:13" ht="19.95" customHeight="1" x14ac:dyDescent="0.25">
      <c r="A754" s="52"/>
      <c r="B754" s="51"/>
      <c r="C754" s="54" t="str">
        <f>IF(B754="","",VLOOKUP(B754,学生信息汇总!A:E,2,0))</f>
        <v/>
      </c>
      <c r="D754" s="50"/>
      <c r="E754" s="55" t="str">
        <f t="shared" ca="1" si="76"/>
        <v/>
      </c>
      <c r="F754" s="51"/>
      <c r="G754" s="55" t="str">
        <f t="shared" ca="1" si="77"/>
        <v/>
      </c>
      <c r="H754" s="50"/>
      <c r="I754" s="55" t="str">
        <f t="shared" ca="1" si="78"/>
        <v/>
      </c>
      <c r="J754" s="50"/>
      <c r="K754" s="55" t="str">
        <f t="shared" ca="1" si="79"/>
        <v/>
      </c>
      <c r="L754" s="64" t="str">
        <f>IF(B754="","",D754+F754+H754+J754+#REF!+#REF!+#REF!+#REF!+#REF!)</f>
        <v/>
      </c>
      <c r="M754" s="55" t="str">
        <f t="shared" ca="1" si="80"/>
        <v/>
      </c>
    </row>
    <row r="755" spans="1:13" ht="19.95" customHeight="1" x14ac:dyDescent="0.25">
      <c r="A755" s="52"/>
      <c r="B755" s="51"/>
      <c r="C755" s="54" t="str">
        <f>IF(B755="","",VLOOKUP(B755,学生信息汇总!A:E,2,0))</f>
        <v/>
      </c>
      <c r="D755" s="50"/>
      <c r="E755" s="55" t="str">
        <f t="shared" ca="1" si="76"/>
        <v/>
      </c>
      <c r="F755" s="51"/>
      <c r="G755" s="55" t="str">
        <f t="shared" ca="1" si="77"/>
        <v/>
      </c>
      <c r="H755" s="50"/>
      <c r="I755" s="55" t="str">
        <f t="shared" ca="1" si="78"/>
        <v/>
      </c>
      <c r="J755" s="50"/>
      <c r="K755" s="55" t="str">
        <f t="shared" ca="1" si="79"/>
        <v/>
      </c>
      <c r="L755" s="64" t="str">
        <f>IF(B755="","",D755+F755+H755+J755+#REF!+#REF!+#REF!+#REF!+#REF!)</f>
        <v/>
      </c>
      <c r="M755" s="55" t="str">
        <f t="shared" ca="1" si="80"/>
        <v/>
      </c>
    </row>
    <row r="756" spans="1:13" ht="19.95" customHeight="1" x14ac:dyDescent="0.25">
      <c r="A756" s="52"/>
      <c r="B756" s="51"/>
      <c r="C756" s="54" t="str">
        <f>IF(B756="","",VLOOKUP(B756,学生信息汇总!A:E,2,0))</f>
        <v/>
      </c>
      <c r="D756" s="50"/>
      <c r="E756" s="55" t="str">
        <f t="shared" ca="1" si="76"/>
        <v/>
      </c>
      <c r="F756" s="51"/>
      <c r="G756" s="55" t="str">
        <f t="shared" ca="1" si="77"/>
        <v/>
      </c>
      <c r="H756" s="50"/>
      <c r="I756" s="55" t="str">
        <f t="shared" ca="1" si="78"/>
        <v/>
      </c>
      <c r="J756" s="50"/>
      <c r="K756" s="55" t="str">
        <f t="shared" ca="1" si="79"/>
        <v/>
      </c>
      <c r="L756" s="64" t="str">
        <f>IF(B756="","",D756+F756+H756+J756+#REF!+#REF!+#REF!+#REF!+#REF!)</f>
        <v/>
      </c>
      <c r="M756" s="55" t="str">
        <f t="shared" ca="1" si="80"/>
        <v/>
      </c>
    </row>
    <row r="757" spans="1:13" ht="19.95" customHeight="1" x14ac:dyDescent="0.25">
      <c r="A757" s="52"/>
      <c r="B757" s="51"/>
      <c r="C757" s="54" t="str">
        <f>IF(B757="","",VLOOKUP(B757,学生信息汇总!A:E,2,0))</f>
        <v/>
      </c>
      <c r="D757" s="50"/>
      <c r="E757" s="55" t="str">
        <f t="shared" ca="1" si="76"/>
        <v/>
      </c>
      <c r="F757" s="51"/>
      <c r="G757" s="55" t="str">
        <f t="shared" ca="1" si="77"/>
        <v/>
      </c>
      <c r="H757" s="50"/>
      <c r="I757" s="55" t="str">
        <f t="shared" ca="1" si="78"/>
        <v/>
      </c>
      <c r="J757" s="50"/>
      <c r="K757" s="55" t="str">
        <f t="shared" ca="1" si="79"/>
        <v/>
      </c>
      <c r="L757" s="64" t="str">
        <f>IF(B757="","",D757+F757+H757+J757+#REF!+#REF!+#REF!+#REF!+#REF!)</f>
        <v/>
      </c>
      <c r="M757" s="55" t="str">
        <f t="shared" ca="1" si="80"/>
        <v/>
      </c>
    </row>
    <row r="758" spans="1:13" ht="19.95" customHeight="1" x14ac:dyDescent="0.25">
      <c r="A758" s="52"/>
      <c r="B758" s="51"/>
      <c r="C758" s="54" t="str">
        <f>IF(B758="","",VLOOKUP(B758,学生信息汇总!A:E,2,0))</f>
        <v/>
      </c>
      <c r="D758" s="50"/>
      <c r="E758" s="55" t="str">
        <f t="shared" ca="1" si="76"/>
        <v/>
      </c>
      <c r="F758" s="51"/>
      <c r="G758" s="55" t="str">
        <f t="shared" ca="1" si="77"/>
        <v/>
      </c>
      <c r="H758" s="50"/>
      <c r="I758" s="55" t="str">
        <f t="shared" ca="1" si="78"/>
        <v/>
      </c>
      <c r="J758" s="50"/>
      <c r="K758" s="55" t="str">
        <f t="shared" ca="1" si="79"/>
        <v/>
      </c>
      <c r="L758" s="64" t="str">
        <f>IF(B758="","",D758+F758+H758+J758+#REF!+#REF!+#REF!+#REF!+#REF!)</f>
        <v/>
      </c>
      <c r="M758" s="55" t="str">
        <f t="shared" ca="1" si="80"/>
        <v/>
      </c>
    </row>
    <row r="759" spans="1:13" ht="19.95" customHeight="1" x14ac:dyDescent="0.25">
      <c r="A759" s="52"/>
      <c r="B759" s="51"/>
      <c r="C759" s="54" t="str">
        <f>IF(B759="","",VLOOKUP(B759,学生信息汇总!A:E,2,0))</f>
        <v/>
      </c>
      <c r="D759" s="50"/>
      <c r="E759" s="55" t="str">
        <f t="shared" ca="1" si="76"/>
        <v/>
      </c>
      <c r="F759" s="51"/>
      <c r="G759" s="55" t="str">
        <f t="shared" ca="1" si="77"/>
        <v/>
      </c>
      <c r="H759" s="50"/>
      <c r="I759" s="55" t="str">
        <f t="shared" ca="1" si="78"/>
        <v/>
      </c>
      <c r="J759" s="50"/>
      <c r="K759" s="55" t="str">
        <f t="shared" ca="1" si="79"/>
        <v/>
      </c>
      <c r="L759" s="64" t="str">
        <f>IF(B759="","",D759+F759+H759+J759+#REF!+#REF!+#REF!+#REF!+#REF!)</f>
        <v/>
      </c>
      <c r="M759" s="55" t="str">
        <f t="shared" ca="1" si="80"/>
        <v/>
      </c>
    </row>
    <row r="760" spans="1:13" ht="19.95" customHeight="1" x14ac:dyDescent="0.25">
      <c r="A760" s="52"/>
      <c r="B760" s="51"/>
      <c r="C760" s="54" t="str">
        <f>IF(B760="","",VLOOKUP(B760,学生信息汇总!A:E,2,0))</f>
        <v/>
      </c>
      <c r="D760" s="50"/>
      <c r="E760" s="55" t="str">
        <f t="shared" ca="1" si="76"/>
        <v/>
      </c>
      <c r="F760" s="51"/>
      <c r="G760" s="55" t="str">
        <f t="shared" ca="1" si="77"/>
        <v/>
      </c>
      <c r="H760" s="50"/>
      <c r="I760" s="55" t="str">
        <f t="shared" ca="1" si="78"/>
        <v/>
      </c>
      <c r="J760" s="50"/>
      <c r="K760" s="55" t="str">
        <f t="shared" ca="1" si="79"/>
        <v/>
      </c>
      <c r="L760" s="64" t="str">
        <f>IF(B760="","",D760+F760+H760+J760+#REF!+#REF!+#REF!+#REF!+#REF!)</f>
        <v/>
      </c>
      <c r="M760" s="55" t="str">
        <f t="shared" ca="1" si="80"/>
        <v/>
      </c>
    </row>
    <row r="761" spans="1:13" ht="19.95" customHeight="1" x14ac:dyDescent="0.25">
      <c r="A761" s="52"/>
      <c r="B761" s="51"/>
      <c r="C761" s="54" t="str">
        <f>IF(B761="","",VLOOKUP(B761,学生信息汇总!A:E,2,0))</f>
        <v/>
      </c>
      <c r="D761" s="50"/>
      <c r="E761" s="55" t="str">
        <f t="shared" ca="1" si="76"/>
        <v/>
      </c>
      <c r="F761" s="51"/>
      <c r="G761" s="55" t="str">
        <f t="shared" ca="1" si="77"/>
        <v/>
      </c>
      <c r="H761" s="50"/>
      <c r="I761" s="55" t="str">
        <f t="shared" ca="1" si="78"/>
        <v/>
      </c>
      <c r="J761" s="50"/>
      <c r="K761" s="55" t="str">
        <f t="shared" ca="1" si="79"/>
        <v/>
      </c>
      <c r="L761" s="64" t="str">
        <f>IF(B761="","",D761+F761+H761+J761+#REF!+#REF!+#REF!+#REF!+#REF!)</f>
        <v/>
      </c>
      <c r="M761" s="55" t="str">
        <f t="shared" ca="1" si="80"/>
        <v/>
      </c>
    </row>
    <row r="762" spans="1:13" ht="19.95" customHeight="1" x14ac:dyDescent="0.25">
      <c r="A762" s="52"/>
      <c r="B762" s="51"/>
      <c r="C762" s="54" t="str">
        <f>IF(B762="","",VLOOKUP(B762,学生信息汇总!A:E,2,0))</f>
        <v/>
      </c>
      <c r="D762" s="50"/>
      <c r="E762" s="55" t="str">
        <f t="shared" ca="1" si="76"/>
        <v/>
      </c>
      <c r="F762" s="51"/>
      <c r="G762" s="55" t="str">
        <f t="shared" ca="1" si="77"/>
        <v/>
      </c>
      <c r="H762" s="50"/>
      <c r="I762" s="55" t="str">
        <f t="shared" ca="1" si="78"/>
        <v/>
      </c>
      <c r="J762" s="50"/>
      <c r="K762" s="55" t="str">
        <f t="shared" ca="1" si="79"/>
        <v/>
      </c>
      <c r="L762" s="64" t="str">
        <f>IF(B762="","",D762+F762+H762+J762+#REF!+#REF!+#REF!+#REF!+#REF!)</f>
        <v/>
      </c>
      <c r="M762" s="55" t="str">
        <f t="shared" ca="1" si="80"/>
        <v/>
      </c>
    </row>
    <row r="763" spans="1:13" ht="19.95" customHeight="1" x14ac:dyDescent="0.25">
      <c r="A763" s="52"/>
      <c r="B763" s="51"/>
      <c r="C763" s="54" t="str">
        <f>IF(B763="","",VLOOKUP(B763,学生信息汇总!A:E,2,0))</f>
        <v/>
      </c>
      <c r="D763" s="50"/>
      <c r="E763" s="55" t="str">
        <f t="shared" ca="1" si="76"/>
        <v/>
      </c>
      <c r="F763" s="51"/>
      <c r="G763" s="55" t="str">
        <f t="shared" ca="1" si="77"/>
        <v/>
      </c>
      <c r="H763" s="50"/>
      <c r="I763" s="55" t="str">
        <f t="shared" ca="1" si="78"/>
        <v/>
      </c>
      <c r="J763" s="50"/>
      <c r="K763" s="55" t="str">
        <f t="shared" ca="1" si="79"/>
        <v/>
      </c>
      <c r="L763" s="64" t="str">
        <f>IF(B763="","",D763+F763+H763+J763+#REF!+#REF!+#REF!+#REF!+#REF!)</f>
        <v/>
      </c>
      <c r="M763" s="55" t="str">
        <f t="shared" ca="1" si="80"/>
        <v/>
      </c>
    </row>
    <row r="764" spans="1:13" ht="19.95" customHeight="1" x14ac:dyDescent="0.25">
      <c r="A764" s="52"/>
      <c r="B764" s="51"/>
      <c r="C764" s="54" t="str">
        <f>IF(B764="","",VLOOKUP(B764,学生信息汇总!A:E,2,0))</f>
        <v/>
      </c>
      <c r="D764" s="50"/>
      <c r="E764" s="55" t="str">
        <f t="shared" ca="1" si="76"/>
        <v/>
      </c>
      <c r="F764" s="51"/>
      <c r="G764" s="55" t="str">
        <f t="shared" ca="1" si="77"/>
        <v/>
      </c>
      <c r="H764" s="50"/>
      <c r="I764" s="55" t="str">
        <f t="shared" ca="1" si="78"/>
        <v/>
      </c>
      <c r="J764" s="50"/>
      <c r="K764" s="55" t="str">
        <f t="shared" ca="1" si="79"/>
        <v/>
      </c>
      <c r="L764" s="64" t="str">
        <f>IF(B764="","",D764+F764+H764+J764+#REF!+#REF!+#REF!+#REF!+#REF!)</f>
        <v/>
      </c>
      <c r="M764" s="55" t="str">
        <f t="shared" ca="1" si="80"/>
        <v/>
      </c>
    </row>
    <row r="765" spans="1:13" ht="19.95" customHeight="1" x14ac:dyDescent="0.25">
      <c r="A765" s="52"/>
      <c r="B765" s="51"/>
      <c r="C765" s="54" t="str">
        <f>IF(B765="","",VLOOKUP(B765,学生信息汇总!A:E,2,0))</f>
        <v/>
      </c>
      <c r="D765" s="50"/>
      <c r="E765" s="55" t="str">
        <f t="shared" ca="1" si="76"/>
        <v/>
      </c>
      <c r="F765" s="51"/>
      <c r="G765" s="55" t="str">
        <f t="shared" ca="1" si="77"/>
        <v/>
      </c>
      <c r="H765" s="50"/>
      <c r="I765" s="55" t="str">
        <f t="shared" ca="1" si="78"/>
        <v/>
      </c>
      <c r="J765" s="50"/>
      <c r="K765" s="55" t="str">
        <f t="shared" ca="1" si="79"/>
        <v/>
      </c>
      <c r="L765" s="64" t="str">
        <f>IF(B765="","",D765+F765+H765+J765+#REF!+#REF!+#REF!+#REF!+#REF!)</f>
        <v/>
      </c>
      <c r="M765" s="55" t="str">
        <f t="shared" ca="1" si="80"/>
        <v/>
      </c>
    </row>
    <row r="766" spans="1:13" ht="19.95" customHeight="1" x14ac:dyDescent="0.25">
      <c r="A766" s="52"/>
      <c r="B766" s="51"/>
      <c r="C766" s="54" t="str">
        <f>IF(B766="","",VLOOKUP(B766,学生信息汇总!A:E,2,0))</f>
        <v/>
      </c>
      <c r="D766" s="50"/>
      <c r="E766" s="55" t="str">
        <f t="shared" ca="1" si="76"/>
        <v/>
      </c>
      <c r="F766" s="51"/>
      <c r="G766" s="55" t="str">
        <f t="shared" ca="1" si="77"/>
        <v/>
      </c>
      <c r="H766" s="50"/>
      <c r="I766" s="55" t="str">
        <f t="shared" ca="1" si="78"/>
        <v/>
      </c>
      <c r="J766" s="50"/>
      <c r="K766" s="55" t="str">
        <f t="shared" ca="1" si="79"/>
        <v/>
      </c>
      <c r="L766" s="64" t="str">
        <f>IF(B766="","",D766+F766+H766+J766+#REF!+#REF!+#REF!+#REF!+#REF!)</f>
        <v/>
      </c>
      <c r="M766" s="55" t="str">
        <f t="shared" ca="1" si="80"/>
        <v/>
      </c>
    </row>
    <row r="767" spans="1:13" ht="19.95" customHeight="1" x14ac:dyDescent="0.25">
      <c r="A767" s="52"/>
      <c r="B767" s="51"/>
      <c r="C767" s="54" t="str">
        <f>IF(B767="","",VLOOKUP(B767,学生信息汇总!A:E,2,0))</f>
        <v/>
      </c>
      <c r="D767" s="50"/>
      <c r="E767" s="55" t="str">
        <f t="shared" ca="1" si="76"/>
        <v/>
      </c>
      <c r="F767" s="51"/>
      <c r="G767" s="55" t="str">
        <f t="shared" ca="1" si="77"/>
        <v/>
      </c>
      <c r="H767" s="50"/>
      <c r="I767" s="55" t="str">
        <f t="shared" ca="1" si="78"/>
        <v/>
      </c>
      <c r="J767" s="50"/>
      <c r="K767" s="55" t="str">
        <f t="shared" ca="1" si="79"/>
        <v/>
      </c>
      <c r="L767" s="64" t="str">
        <f>IF(B767="","",D767+F767+H767+J767+#REF!+#REF!+#REF!+#REF!+#REF!)</f>
        <v/>
      </c>
      <c r="M767" s="55" t="str">
        <f t="shared" ca="1" si="80"/>
        <v/>
      </c>
    </row>
    <row r="768" spans="1:13" ht="19.95" customHeight="1" x14ac:dyDescent="0.25">
      <c r="A768" s="52"/>
      <c r="B768" s="51"/>
      <c r="C768" s="54" t="str">
        <f>IF(B768="","",VLOOKUP(B768,学生信息汇总!A:E,2,0))</f>
        <v/>
      </c>
      <c r="D768" s="50"/>
      <c r="E768" s="55" t="str">
        <f t="shared" ca="1" si="76"/>
        <v/>
      </c>
      <c r="F768" s="51"/>
      <c r="G768" s="55" t="str">
        <f t="shared" ca="1" si="77"/>
        <v/>
      </c>
      <c r="H768" s="50"/>
      <c r="I768" s="55" t="str">
        <f t="shared" ca="1" si="78"/>
        <v/>
      </c>
      <c r="J768" s="50"/>
      <c r="K768" s="55" t="str">
        <f t="shared" ca="1" si="79"/>
        <v/>
      </c>
      <c r="L768" s="64" t="str">
        <f>IF(B768="","",D768+F768+H768+J768+#REF!+#REF!+#REF!+#REF!+#REF!)</f>
        <v/>
      </c>
      <c r="M768" s="55" t="str">
        <f t="shared" ca="1" si="80"/>
        <v/>
      </c>
    </row>
    <row r="769" spans="1:13" ht="19.95" customHeight="1" x14ac:dyDescent="0.25">
      <c r="A769" s="52"/>
      <c r="B769" s="51"/>
      <c r="C769" s="54" t="str">
        <f>IF(B769="","",VLOOKUP(B769,学生信息汇总!A:E,2,0))</f>
        <v/>
      </c>
      <c r="D769" s="50"/>
      <c r="E769" s="55" t="str">
        <f t="shared" ca="1" si="76"/>
        <v/>
      </c>
      <c r="F769" s="51"/>
      <c r="G769" s="55" t="str">
        <f t="shared" ca="1" si="77"/>
        <v/>
      </c>
      <c r="H769" s="50"/>
      <c r="I769" s="55" t="str">
        <f t="shared" ca="1" si="78"/>
        <v/>
      </c>
      <c r="J769" s="50"/>
      <c r="K769" s="55" t="str">
        <f t="shared" ca="1" si="79"/>
        <v/>
      </c>
      <c r="L769" s="64" t="str">
        <f>IF(B769="","",D769+F769+H769+J769+#REF!+#REF!+#REF!+#REF!+#REF!)</f>
        <v/>
      </c>
      <c r="M769" s="55" t="str">
        <f t="shared" ca="1" si="80"/>
        <v/>
      </c>
    </row>
    <row r="770" spans="1:13" ht="19.95" customHeight="1" x14ac:dyDescent="0.25">
      <c r="A770" s="52"/>
      <c r="B770" s="51"/>
      <c r="C770" s="54" t="str">
        <f>IF(B770="","",VLOOKUP(B770,学生信息汇总!A:E,2,0))</f>
        <v/>
      </c>
      <c r="D770" s="50"/>
      <c r="E770" s="55" t="str">
        <f t="shared" ca="1" si="76"/>
        <v/>
      </c>
      <c r="F770" s="51"/>
      <c r="G770" s="55" t="str">
        <f t="shared" ca="1" si="77"/>
        <v/>
      </c>
      <c r="H770" s="50"/>
      <c r="I770" s="55" t="str">
        <f t="shared" ca="1" si="78"/>
        <v/>
      </c>
      <c r="J770" s="50"/>
      <c r="K770" s="55" t="str">
        <f t="shared" ca="1" si="79"/>
        <v/>
      </c>
      <c r="L770" s="64" t="str">
        <f>IF(B770="","",D770+F770+H770+J770+#REF!+#REF!+#REF!+#REF!+#REF!)</f>
        <v/>
      </c>
      <c r="M770" s="55" t="str">
        <f t="shared" ca="1" si="80"/>
        <v/>
      </c>
    </row>
    <row r="771" spans="1:13" ht="19.95" customHeight="1" x14ac:dyDescent="0.25">
      <c r="A771" s="52"/>
      <c r="B771" s="51"/>
      <c r="C771" s="54" t="str">
        <f>IF(B771="","",VLOOKUP(B771,学生信息汇总!A:E,2,0))</f>
        <v/>
      </c>
      <c r="D771" s="50"/>
      <c r="E771" s="55" t="str">
        <f t="shared" ca="1" si="76"/>
        <v/>
      </c>
      <c r="F771" s="51"/>
      <c r="G771" s="55" t="str">
        <f t="shared" ca="1" si="77"/>
        <v/>
      </c>
      <c r="H771" s="50"/>
      <c r="I771" s="55" t="str">
        <f t="shared" ca="1" si="78"/>
        <v/>
      </c>
      <c r="J771" s="50"/>
      <c r="K771" s="55" t="str">
        <f t="shared" ca="1" si="79"/>
        <v/>
      </c>
      <c r="L771" s="64" t="str">
        <f>IF(B771="","",D771+F771+H771+J771+#REF!+#REF!+#REF!+#REF!+#REF!)</f>
        <v/>
      </c>
      <c r="M771" s="55" t="str">
        <f t="shared" ca="1" si="80"/>
        <v/>
      </c>
    </row>
    <row r="772" spans="1:13" ht="19.95" customHeight="1" x14ac:dyDescent="0.25">
      <c r="A772" s="52"/>
      <c r="B772" s="51"/>
      <c r="C772" s="54" t="str">
        <f>IF(B772="","",VLOOKUP(B772,学生信息汇总!A:E,2,0))</f>
        <v/>
      </c>
      <c r="D772" s="50"/>
      <c r="E772" s="55" t="str">
        <f t="shared" ca="1" si="76"/>
        <v/>
      </c>
      <c r="F772" s="51"/>
      <c r="G772" s="55" t="str">
        <f t="shared" ca="1" si="77"/>
        <v/>
      </c>
      <c r="H772" s="50"/>
      <c r="I772" s="55" t="str">
        <f t="shared" ca="1" si="78"/>
        <v/>
      </c>
      <c r="J772" s="50"/>
      <c r="K772" s="55" t="str">
        <f t="shared" ca="1" si="79"/>
        <v/>
      </c>
      <c r="L772" s="64" t="str">
        <f>IF(B772="","",D772+F772+H772+J772+#REF!+#REF!+#REF!+#REF!+#REF!)</f>
        <v/>
      </c>
      <c r="M772" s="55" t="str">
        <f t="shared" ca="1" si="80"/>
        <v/>
      </c>
    </row>
    <row r="773" spans="1:13" ht="19.95" customHeight="1" x14ac:dyDescent="0.25">
      <c r="A773" s="52"/>
      <c r="B773" s="51"/>
      <c r="C773" s="54" t="str">
        <f>IF(B773="","",VLOOKUP(B773,学生信息汇总!A:E,2,0))</f>
        <v/>
      </c>
      <c r="D773" s="50"/>
      <c r="E773" s="55" t="str">
        <f t="shared" ca="1" si="76"/>
        <v/>
      </c>
      <c r="F773" s="51"/>
      <c r="G773" s="55" t="str">
        <f t="shared" ca="1" si="77"/>
        <v/>
      </c>
      <c r="H773" s="50"/>
      <c r="I773" s="55" t="str">
        <f t="shared" ca="1" si="78"/>
        <v/>
      </c>
      <c r="J773" s="50"/>
      <c r="K773" s="55" t="str">
        <f t="shared" ca="1" si="79"/>
        <v/>
      </c>
      <c r="L773" s="64" t="str">
        <f>IF(B773="","",D773+F773+H773+J773+#REF!+#REF!+#REF!+#REF!+#REF!)</f>
        <v/>
      </c>
      <c r="M773" s="55" t="str">
        <f t="shared" ca="1" si="80"/>
        <v/>
      </c>
    </row>
    <row r="774" spans="1:13" ht="19.95" customHeight="1" x14ac:dyDescent="0.25">
      <c r="A774" s="52"/>
      <c r="B774" s="51"/>
      <c r="C774" s="54" t="str">
        <f>IF(B774="","",VLOOKUP(B774,学生信息汇总!A:E,2,0))</f>
        <v/>
      </c>
      <c r="D774" s="50"/>
      <c r="E774" s="55" t="str">
        <f t="shared" ca="1" si="76"/>
        <v/>
      </c>
      <c r="F774" s="51"/>
      <c r="G774" s="55" t="str">
        <f t="shared" ca="1" si="77"/>
        <v/>
      </c>
      <c r="H774" s="50"/>
      <c r="I774" s="55" t="str">
        <f t="shared" ca="1" si="78"/>
        <v/>
      </c>
      <c r="J774" s="50"/>
      <c r="K774" s="55" t="str">
        <f t="shared" ca="1" si="79"/>
        <v/>
      </c>
      <c r="L774" s="64" t="str">
        <f>IF(B774="","",D774+F774+H774+J774+#REF!+#REF!+#REF!+#REF!+#REF!)</f>
        <v/>
      </c>
      <c r="M774" s="55" t="str">
        <f t="shared" ca="1" si="80"/>
        <v/>
      </c>
    </row>
    <row r="775" spans="1:13" ht="19.95" customHeight="1" x14ac:dyDescent="0.25">
      <c r="A775" s="52"/>
      <c r="B775" s="51"/>
      <c r="C775" s="54" t="str">
        <f>IF(B775="","",VLOOKUP(B775,学生信息汇总!A:E,2,0))</f>
        <v/>
      </c>
      <c r="D775" s="50"/>
      <c r="E775" s="55" t="str">
        <f t="shared" ca="1" si="76"/>
        <v/>
      </c>
      <c r="F775" s="51"/>
      <c r="G775" s="55" t="str">
        <f t="shared" ca="1" si="77"/>
        <v/>
      </c>
      <c r="H775" s="50"/>
      <c r="I775" s="55" t="str">
        <f t="shared" ca="1" si="78"/>
        <v/>
      </c>
      <c r="J775" s="50"/>
      <c r="K775" s="55" t="str">
        <f t="shared" ca="1" si="79"/>
        <v/>
      </c>
      <c r="L775" s="64" t="str">
        <f>IF(B775="","",D775+F775+H775+J775+#REF!+#REF!+#REF!+#REF!+#REF!)</f>
        <v/>
      </c>
      <c r="M775" s="55" t="str">
        <f t="shared" ca="1" si="80"/>
        <v/>
      </c>
    </row>
    <row r="776" spans="1:13" ht="19.95" customHeight="1" x14ac:dyDescent="0.25">
      <c r="A776" s="52"/>
      <c r="B776" s="51"/>
      <c r="C776" s="54" t="str">
        <f>IF(B776="","",VLOOKUP(B776,学生信息汇总!A:E,2,0))</f>
        <v/>
      </c>
      <c r="D776" s="50"/>
      <c r="E776" s="55" t="str">
        <f t="shared" ca="1" si="76"/>
        <v/>
      </c>
      <c r="F776" s="51"/>
      <c r="G776" s="55" t="str">
        <f t="shared" ca="1" si="77"/>
        <v/>
      </c>
      <c r="H776" s="50"/>
      <c r="I776" s="55" t="str">
        <f t="shared" ca="1" si="78"/>
        <v/>
      </c>
      <c r="J776" s="50"/>
      <c r="K776" s="55" t="str">
        <f t="shared" ca="1" si="79"/>
        <v/>
      </c>
      <c r="L776" s="64" t="str">
        <f>IF(B776="","",D776+F776+H776+J776+#REF!+#REF!+#REF!+#REF!+#REF!)</f>
        <v/>
      </c>
      <c r="M776" s="55" t="str">
        <f t="shared" ca="1" si="80"/>
        <v/>
      </c>
    </row>
    <row r="777" spans="1:13" ht="19.95" customHeight="1" x14ac:dyDescent="0.25">
      <c r="A777" s="52"/>
      <c r="B777" s="51"/>
      <c r="C777" s="54" t="str">
        <f>IF(B777="","",VLOOKUP(B777,学生信息汇总!A:E,2,0))</f>
        <v/>
      </c>
      <c r="D777" s="50"/>
      <c r="E777" s="55" t="str">
        <f t="shared" ca="1" si="76"/>
        <v/>
      </c>
      <c r="F777" s="51"/>
      <c r="G777" s="55" t="str">
        <f t="shared" ca="1" si="77"/>
        <v/>
      </c>
      <c r="H777" s="50"/>
      <c r="I777" s="55" t="str">
        <f t="shared" ca="1" si="78"/>
        <v/>
      </c>
      <c r="J777" s="50"/>
      <c r="K777" s="55" t="str">
        <f t="shared" ca="1" si="79"/>
        <v/>
      </c>
      <c r="L777" s="64" t="str">
        <f>IF(B777="","",D777+F777+H777+J777+#REF!+#REF!+#REF!+#REF!+#REF!)</f>
        <v/>
      </c>
      <c r="M777" s="55" t="str">
        <f t="shared" ca="1" si="80"/>
        <v/>
      </c>
    </row>
    <row r="778" spans="1:13" ht="19.95" customHeight="1" x14ac:dyDescent="0.25">
      <c r="A778" s="52"/>
      <c r="B778" s="51"/>
      <c r="C778" s="54" t="str">
        <f>IF(B778="","",VLOOKUP(B778,学生信息汇总!A:E,2,0))</f>
        <v/>
      </c>
      <c r="D778" s="50"/>
      <c r="E778" s="55" t="str">
        <f t="shared" ca="1" si="76"/>
        <v/>
      </c>
      <c r="F778" s="51"/>
      <c r="G778" s="55" t="str">
        <f t="shared" ca="1" si="77"/>
        <v/>
      </c>
      <c r="H778" s="50"/>
      <c r="I778" s="55" t="str">
        <f t="shared" ca="1" si="78"/>
        <v/>
      </c>
      <c r="J778" s="50"/>
      <c r="K778" s="55" t="str">
        <f t="shared" ca="1" si="79"/>
        <v/>
      </c>
      <c r="L778" s="64" t="str">
        <f>IF(B778="","",D778+F778+H778+J778+#REF!+#REF!+#REF!+#REF!+#REF!)</f>
        <v/>
      </c>
      <c r="M778" s="55" t="str">
        <f t="shared" ca="1" si="80"/>
        <v/>
      </c>
    </row>
    <row r="779" spans="1:13" ht="19.95" customHeight="1" x14ac:dyDescent="0.25">
      <c r="A779" s="52"/>
      <c r="B779" s="51"/>
      <c r="C779" s="54" t="str">
        <f>IF(B779="","",VLOOKUP(B779,学生信息汇总!A:E,2,0))</f>
        <v/>
      </c>
      <c r="D779" s="50"/>
      <c r="E779" s="55" t="str">
        <f t="shared" ca="1" si="76"/>
        <v/>
      </c>
      <c r="F779" s="51"/>
      <c r="G779" s="55" t="str">
        <f t="shared" ca="1" si="77"/>
        <v/>
      </c>
      <c r="H779" s="50"/>
      <c r="I779" s="55" t="str">
        <f t="shared" ca="1" si="78"/>
        <v/>
      </c>
      <c r="J779" s="50"/>
      <c r="K779" s="55" t="str">
        <f t="shared" ca="1" si="79"/>
        <v/>
      </c>
      <c r="L779" s="64" t="str">
        <f>IF(B779="","",D779+F779+H779+J779+#REF!+#REF!+#REF!+#REF!+#REF!)</f>
        <v/>
      </c>
      <c r="M779" s="55" t="str">
        <f t="shared" ca="1" si="80"/>
        <v/>
      </c>
    </row>
    <row r="780" spans="1:13" ht="19.95" customHeight="1" x14ac:dyDescent="0.25">
      <c r="A780" s="52"/>
      <c r="B780" s="51"/>
      <c r="C780" s="54" t="str">
        <f>IF(B780="","",VLOOKUP(B780,学生信息汇总!A:E,2,0))</f>
        <v/>
      </c>
      <c r="D780" s="50"/>
      <c r="E780" s="55" t="str">
        <f t="shared" ca="1" si="76"/>
        <v/>
      </c>
      <c r="F780" s="51"/>
      <c r="G780" s="55" t="str">
        <f t="shared" ca="1" si="77"/>
        <v/>
      </c>
      <c r="H780" s="50"/>
      <c r="I780" s="55" t="str">
        <f t="shared" ca="1" si="78"/>
        <v/>
      </c>
      <c r="J780" s="50"/>
      <c r="K780" s="55" t="str">
        <f t="shared" ca="1" si="79"/>
        <v/>
      </c>
      <c r="L780" s="64" t="str">
        <f>IF(B780="","",D780+F780+H780+J780+#REF!+#REF!+#REF!+#REF!+#REF!)</f>
        <v/>
      </c>
      <c r="M780" s="55" t="str">
        <f t="shared" ca="1" si="80"/>
        <v/>
      </c>
    </row>
    <row r="781" spans="1:13" ht="19.95" customHeight="1" x14ac:dyDescent="0.25">
      <c r="A781" s="52"/>
      <c r="B781" s="51"/>
      <c r="C781" s="54" t="str">
        <f>IF(B781="","",VLOOKUP(B781,学生信息汇总!A:E,2,0))</f>
        <v/>
      </c>
      <c r="D781" s="50"/>
      <c r="E781" s="55" t="str">
        <f t="shared" ca="1" si="76"/>
        <v/>
      </c>
      <c r="F781" s="51"/>
      <c r="G781" s="55" t="str">
        <f t="shared" ca="1" si="77"/>
        <v/>
      </c>
      <c r="H781" s="50"/>
      <c r="I781" s="55" t="str">
        <f t="shared" ca="1" si="78"/>
        <v/>
      </c>
      <c r="J781" s="50"/>
      <c r="K781" s="55" t="str">
        <f t="shared" ca="1" si="79"/>
        <v/>
      </c>
      <c r="L781" s="64" t="str">
        <f>IF(B781="","",D781+F781+H781+J781+#REF!+#REF!+#REF!+#REF!+#REF!)</f>
        <v/>
      </c>
      <c r="M781" s="55" t="str">
        <f t="shared" ca="1" si="80"/>
        <v/>
      </c>
    </row>
    <row r="782" spans="1:13" ht="19.95" customHeight="1" x14ac:dyDescent="0.25">
      <c r="A782" s="52"/>
      <c r="B782" s="51"/>
      <c r="C782" s="54" t="str">
        <f>IF(B782="","",VLOOKUP(B782,学生信息汇总!A:E,2,0))</f>
        <v/>
      </c>
      <c r="D782" s="50"/>
      <c r="E782" s="55" t="str">
        <f t="shared" ca="1" si="76"/>
        <v/>
      </c>
      <c r="F782" s="51"/>
      <c r="G782" s="55" t="str">
        <f t="shared" ca="1" si="77"/>
        <v/>
      </c>
      <c r="H782" s="50"/>
      <c r="I782" s="55" t="str">
        <f t="shared" ca="1" si="78"/>
        <v/>
      </c>
      <c r="J782" s="50"/>
      <c r="K782" s="55" t="str">
        <f t="shared" ca="1" si="79"/>
        <v/>
      </c>
      <c r="L782" s="64" t="str">
        <f>IF(B782="","",D782+F782+H782+J782+#REF!+#REF!+#REF!+#REF!+#REF!)</f>
        <v/>
      </c>
      <c r="M782" s="55" t="str">
        <f t="shared" ca="1" si="80"/>
        <v/>
      </c>
    </row>
    <row r="783" spans="1:13" ht="19.95" customHeight="1" x14ac:dyDescent="0.25">
      <c r="A783" s="52"/>
      <c r="B783" s="51"/>
      <c r="C783" s="54" t="str">
        <f>IF(B783="","",VLOOKUP(B783,学生信息汇总!A:E,2,0))</f>
        <v/>
      </c>
      <c r="D783" s="50"/>
      <c r="E783" s="55" t="str">
        <f t="shared" ca="1" si="76"/>
        <v/>
      </c>
      <c r="F783" s="51"/>
      <c r="G783" s="55" t="str">
        <f t="shared" ca="1" si="77"/>
        <v/>
      </c>
      <c r="H783" s="50"/>
      <c r="I783" s="55" t="str">
        <f t="shared" ca="1" si="78"/>
        <v/>
      </c>
      <c r="J783" s="50"/>
      <c r="K783" s="55" t="str">
        <f t="shared" ca="1" si="79"/>
        <v/>
      </c>
      <c r="L783" s="64" t="str">
        <f>IF(B783="","",D783+F783+H783+J783+#REF!+#REF!+#REF!+#REF!+#REF!)</f>
        <v/>
      </c>
      <c r="M783" s="55" t="str">
        <f t="shared" ca="1" si="80"/>
        <v/>
      </c>
    </row>
    <row r="784" spans="1:13" ht="19.95" customHeight="1" x14ac:dyDescent="0.25">
      <c r="A784" s="52"/>
      <c r="B784" s="51"/>
      <c r="C784" s="54" t="str">
        <f>IF(B784="","",VLOOKUP(B784,学生信息汇总!A:E,2,0))</f>
        <v/>
      </c>
      <c r="D784" s="50"/>
      <c r="E784" s="55" t="str">
        <f t="shared" ca="1" si="76"/>
        <v/>
      </c>
      <c r="F784" s="51"/>
      <c r="G784" s="55" t="str">
        <f t="shared" ca="1" si="77"/>
        <v/>
      </c>
      <c r="H784" s="50"/>
      <c r="I784" s="55" t="str">
        <f t="shared" ca="1" si="78"/>
        <v/>
      </c>
      <c r="J784" s="50"/>
      <c r="K784" s="55" t="str">
        <f t="shared" ca="1" si="79"/>
        <v/>
      </c>
      <c r="L784" s="64" t="str">
        <f>IF(B784="","",D784+F784+H784+J784+#REF!+#REF!+#REF!+#REF!+#REF!)</f>
        <v/>
      </c>
      <c r="M784" s="55" t="str">
        <f t="shared" ca="1" si="80"/>
        <v/>
      </c>
    </row>
    <row r="785" spans="1:13" ht="19.95" customHeight="1" x14ac:dyDescent="0.25">
      <c r="A785" s="52"/>
      <c r="B785" s="51"/>
      <c r="C785" s="54" t="str">
        <f>IF(B785="","",VLOOKUP(B785,学生信息汇总!A:E,2,0))</f>
        <v/>
      </c>
      <c r="D785" s="50"/>
      <c r="E785" s="55" t="str">
        <f t="shared" ca="1" si="76"/>
        <v/>
      </c>
      <c r="F785" s="51"/>
      <c r="G785" s="55" t="str">
        <f t="shared" ca="1" si="77"/>
        <v/>
      </c>
      <c r="H785" s="50"/>
      <c r="I785" s="55" t="str">
        <f t="shared" ca="1" si="78"/>
        <v/>
      </c>
      <c r="J785" s="50"/>
      <c r="K785" s="55" t="str">
        <f t="shared" ca="1" si="79"/>
        <v/>
      </c>
      <c r="L785" s="64" t="str">
        <f>IF(B785="","",D785+F785+H785+J785+#REF!+#REF!+#REF!+#REF!+#REF!)</f>
        <v/>
      </c>
      <c r="M785" s="55" t="str">
        <f t="shared" ca="1" si="80"/>
        <v/>
      </c>
    </row>
    <row r="786" spans="1:13" ht="19.95" customHeight="1" x14ac:dyDescent="0.25">
      <c r="A786" s="52"/>
      <c r="B786" s="51"/>
      <c r="C786" s="54" t="str">
        <f>IF(B786="","",VLOOKUP(B786,学生信息汇总!A:E,2,0))</f>
        <v/>
      </c>
      <c r="D786" s="50"/>
      <c r="E786" s="55" t="str">
        <f t="shared" ca="1" si="76"/>
        <v/>
      </c>
      <c r="F786" s="51"/>
      <c r="G786" s="55" t="str">
        <f t="shared" ca="1" si="77"/>
        <v/>
      </c>
      <c r="H786" s="50"/>
      <c r="I786" s="55" t="str">
        <f t="shared" ca="1" si="78"/>
        <v/>
      </c>
      <c r="J786" s="50"/>
      <c r="K786" s="55" t="str">
        <f t="shared" ca="1" si="79"/>
        <v/>
      </c>
      <c r="L786" s="64" t="str">
        <f>IF(B786="","",D786+F786+H786+J786+#REF!+#REF!+#REF!+#REF!+#REF!)</f>
        <v/>
      </c>
      <c r="M786" s="55" t="str">
        <f t="shared" ca="1" si="80"/>
        <v/>
      </c>
    </row>
    <row r="787" spans="1:13" ht="19.95" customHeight="1" x14ac:dyDescent="0.25">
      <c r="A787" s="52"/>
      <c r="B787" s="51"/>
      <c r="C787" s="54" t="str">
        <f>IF(B787="","",VLOOKUP(B787,学生信息汇总!A:E,2,0))</f>
        <v/>
      </c>
      <c r="D787" s="50"/>
      <c r="E787" s="55" t="str">
        <f t="shared" ca="1" si="76"/>
        <v/>
      </c>
      <c r="F787" s="51"/>
      <c r="G787" s="55" t="str">
        <f t="shared" ca="1" si="77"/>
        <v/>
      </c>
      <c r="H787" s="50"/>
      <c r="I787" s="55" t="str">
        <f t="shared" ca="1" si="78"/>
        <v/>
      </c>
      <c r="J787" s="50"/>
      <c r="K787" s="55" t="str">
        <f t="shared" ca="1" si="79"/>
        <v/>
      </c>
      <c r="L787" s="64" t="str">
        <f>IF(B787="","",D787+F787+H787+J787+#REF!+#REF!+#REF!+#REF!+#REF!)</f>
        <v/>
      </c>
      <c r="M787" s="55" t="str">
        <f t="shared" ca="1" si="80"/>
        <v/>
      </c>
    </row>
    <row r="788" spans="1:13" ht="19.95" customHeight="1" x14ac:dyDescent="0.25">
      <c r="A788" s="52"/>
      <c r="B788" s="51"/>
      <c r="C788" s="54" t="str">
        <f>IF(B788="","",VLOOKUP(B788,学生信息汇总!A:E,2,0))</f>
        <v/>
      </c>
      <c r="D788" s="50"/>
      <c r="E788" s="55" t="str">
        <f t="shared" ca="1" si="76"/>
        <v/>
      </c>
      <c r="F788" s="51"/>
      <c r="G788" s="55" t="str">
        <f t="shared" ca="1" si="77"/>
        <v/>
      </c>
      <c r="H788" s="50"/>
      <c r="I788" s="55" t="str">
        <f t="shared" ca="1" si="78"/>
        <v/>
      </c>
      <c r="J788" s="50"/>
      <c r="K788" s="55" t="str">
        <f t="shared" ca="1" si="79"/>
        <v/>
      </c>
      <c r="L788" s="64" t="str">
        <f>IF(B788="","",D788+F788+H788+J788+#REF!+#REF!+#REF!+#REF!+#REF!)</f>
        <v/>
      </c>
      <c r="M788" s="55" t="str">
        <f t="shared" ca="1" si="80"/>
        <v/>
      </c>
    </row>
    <row r="789" spans="1:13" ht="19.95" customHeight="1" x14ac:dyDescent="0.25">
      <c r="A789" s="52"/>
      <c r="B789" s="51"/>
      <c r="C789" s="54" t="str">
        <f>IF(B789="","",VLOOKUP(B789,学生信息汇总!A:E,2,0))</f>
        <v/>
      </c>
      <c r="D789" s="50"/>
      <c r="E789" s="55" t="str">
        <f t="shared" ca="1" si="76"/>
        <v/>
      </c>
      <c r="F789" s="51"/>
      <c r="G789" s="55" t="str">
        <f t="shared" ca="1" si="77"/>
        <v/>
      </c>
      <c r="H789" s="50"/>
      <c r="I789" s="55" t="str">
        <f t="shared" ca="1" si="78"/>
        <v/>
      </c>
      <c r="J789" s="50"/>
      <c r="K789" s="55" t="str">
        <f t="shared" ca="1" si="79"/>
        <v/>
      </c>
      <c r="L789" s="64" t="str">
        <f>IF(B789="","",D789+F789+H789+J789+#REF!+#REF!+#REF!+#REF!+#REF!)</f>
        <v/>
      </c>
      <c r="M789" s="55" t="str">
        <f t="shared" ca="1" si="80"/>
        <v/>
      </c>
    </row>
    <row r="790" spans="1:13" ht="19.95" customHeight="1" x14ac:dyDescent="0.25">
      <c r="A790" s="52"/>
      <c r="B790" s="51"/>
      <c r="C790" s="54" t="str">
        <f>IF(B790="","",VLOOKUP(B790,学生信息汇总!A:E,2,0))</f>
        <v/>
      </c>
      <c r="D790" s="50"/>
      <c r="E790" s="55" t="str">
        <f t="shared" ca="1" si="76"/>
        <v/>
      </c>
      <c r="F790" s="51"/>
      <c r="G790" s="55" t="str">
        <f t="shared" ca="1" si="77"/>
        <v/>
      </c>
      <c r="H790" s="50"/>
      <c r="I790" s="55" t="str">
        <f t="shared" ca="1" si="78"/>
        <v/>
      </c>
      <c r="J790" s="50"/>
      <c r="K790" s="55" t="str">
        <f t="shared" ca="1" si="79"/>
        <v/>
      </c>
      <c r="L790" s="64" t="str">
        <f>IF(B790="","",D790+F790+H790+J790+#REF!+#REF!+#REF!+#REF!+#REF!)</f>
        <v/>
      </c>
      <c r="M790" s="55" t="str">
        <f t="shared" ca="1" si="80"/>
        <v/>
      </c>
    </row>
    <row r="791" spans="1:13" ht="19.95" customHeight="1" x14ac:dyDescent="0.25">
      <c r="A791" s="52"/>
      <c r="B791" s="51"/>
      <c r="C791" s="54" t="str">
        <f>IF(B791="","",VLOOKUP(B791,学生信息汇总!A:E,2,0))</f>
        <v/>
      </c>
      <c r="D791" s="50"/>
      <c r="E791" s="55" t="str">
        <f t="shared" ca="1" si="76"/>
        <v/>
      </c>
      <c r="F791" s="51"/>
      <c r="G791" s="55" t="str">
        <f t="shared" ca="1" si="77"/>
        <v/>
      </c>
      <c r="H791" s="50"/>
      <c r="I791" s="55" t="str">
        <f t="shared" ca="1" si="78"/>
        <v/>
      </c>
      <c r="J791" s="50"/>
      <c r="K791" s="55" t="str">
        <f t="shared" ca="1" si="79"/>
        <v/>
      </c>
      <c r="L791" s="64" t="str">
        <f>IF(B791="","",D791+F791+H791+J791+#REF!+#REF!+#REF!+#REF!+#REF!)</f>
        <v/>
      </c>
      <c r="M791" s="55" t="str">
        <f t="shared" ca="1" si="80"/>
        <v/>
      </c>
    </row>
    <row r="792" spans="1:13" ht="19.95" customHeight="1" x14ac:dyDescent="0.25">
      <c r="A792" s="52"/>
      <c r="B792" s="51"/>
      <c r="C792" s="54" t="str">
        <f>IF(B792="","",VLOOKUP(B792,学生信息汇总!A:E,2,0))</f>
        <v/>
      </c>
      <c r="D792" s="50"/>
      <c r="E792" s="55" t="str">
        <f t="shared" ca="1" si="76"/>
        <v/>
      </c>
      <c r="F792" s="51"/>
      <c r="G792" s="55" t="str">
        <f t="shared" ca="1" si="77"/>
        <v/>
      </c>
      <c r="H792" s="50"/>
      <c r="I792" s="55" t="str">
        <f t="shared" ca="1" si="78"/>
        <v/>
      </c>
      <c r="J792" s="50"/>
      <c r="K792" s="55" t="str">
        <f t="shared" ca="1" si="79"/>
        <v/>
      </c>
      <c r="L792" s="64" t="str">
        <f>IF(B792="","",D792+F792+H792+J792+#REF!+#REF!+#REF!+#REF!+#REF!)</f>
        <v/>
      </c>
      <c r="M792" s="55" t="str">
        <f t="shared" ca="1" si="80"/>
        <v/>
      </c>
    </row>
    <row r="793" spans="1:13" ht="19.95" customHeight="1" x14ac:dyDescent="0.25">
      <c r="A793" s="52"/>
      <c r="B793" s="51"/>
      <c r="C793" s="54" t="str">
        <f>IF(B793="","",VLOOKUP(B793,学生信息汇总!A:E,2,0))</f>
        <v/>
      </c>
      <c r="D793" s="50"/>
      <c r="E793" s="55" t="str">
        <f t="shared" ca="1" si="76"/>
        <v/>
      </c>
      <c r="F793" s="51"/>
      <c r="G793" s="55" t="str">
        <f t="shared" ca="1" si="77"/>
        <v/>
      </c>
      <c r="H793" s="50"/>
      <c r="I793" s="55" t="str">
        <f t="shared" ca="1" si="78"/>
        <v/>
      </c>
      <c r="J793" s="50"/>
      <c r="K793" s="55" t="str">
        <f t="shared" ca="1" si="79"/>
        <v/>
      </c>
      <c r="L793" s="64" t="str">
        <f>IF(B793="","",D793+F793+H793+J793+#REF!+#REF!+#REF!+#REF!+#REF!)</f>
        <v/>
      </c>
      <c r="M793" s="55" t="str">
        <f t="shared" ca="1" si="80"/>
        <v/>
      </c>
    </row>
    <row r="794" spans="1:13" ht="19.95" customHeight="1" x14ac:dyDescent="0.25">
      <c r="A794" s="52"/>
      <c r="B794" s="51"/>
      <c r="C794" s="54" t="str">
        <f>IF(B794="","",VLOOKUP(B794,学生信息汇总!A:E,2,0))</f>
        <v/>
      </c>
      <c r="D794" s="50"/>
      <c r="E794" s="55" t="str">
        <f t="shared" ca="1" si="76"/>
        <v/>
      </c>
      <c r="F794" s="51"/>
      <c r="G794" s="55" t="str">
        <f t="shared" ca="1" si="77"/>
        <v/>
      </c>
      <c r="H794" s="50"/>
      <c r="I794" s="55" t="str">
        <f t="shared" ca="1" si="78"/>
        <v/>
      </c>
      <c r="J794" s="50"/>
      <c r="K794" s="55" t="str">
        <f t="shared" ca="1" si="79"/>
        <v/>
      </c>
      <c r="L794" s="64" t="str">
        <f>IF(B794="","",D794+F794+H794+J794+#REF!+#REF!+#REF!+#REF!+#REF!)</f>
        <v/>
      </c>
      <c r="M794" s="55" t="str">
        <f t="shared" ca="1" si="80"/>
        <v/>
      </c>
    </row>
    <row r="795" spans="1:13" ht="19.95" customHeight="1" x14ac:dyDescent="0.25">
      <c r="A795" s="52"/>
      <c r="B795" s="51"/>
      <c r="C795" s="54" t="str">
        <f>IF(B795="","",VLOOKUP(B795,学生信息汇总!A:E,2,0))</f>
        <v/>
      </c>
      <c r="D795" s="50"/>
      <c r="E795" s="55" t="str">
        <f t="shared" ca="1" si="76"/>
        <v/>
      </c>
      <c r="F795" s="51"/>
      <c r="G795" s="55" t="str">
        <f t="shared" ca="1" si="77"/>
        <v/>
      </c>
      <c r="H795" s="50"/>
      <c r="I795" s="55" t="str">
        <f t="shared" ca="1" si="78"/>
        <v/>
      </c>
      <c r="J795" s="50"/>
      <c r="K795" s="55" t="str">
        <f t="shared" ca="1" si="79"/>
        <v/>
      </c>
      <c r="L795" s="64" t="str">
        <f>IF(B795="","",D795+F795+H795+J795+#REF!+#REF!+#REF!+#REF!+#REF!)</f>
        <v/>
      </c>
      <c r="M795" s="55" t="str">
        <f t="shared" ca="1" si="80"/>
        <v/>
      </c>
    </row>
    <row r="796" spans="1:13" ht="19.95" customHeight="1" x14ac:dyDescent="0.25">
      <c r="A796" s="52"/>
      <c r="B796" s="51"/>
      <c r="C796" s="54" t="str">
        <f>IF(B796="","",VLOOKUP(B796,学生信息汇总!A:E,2,0))</f>
        <v/>
      </c>
      <c r="D796" s="50"/>
      <c r="E796" s="55" t="str">
        <f t="shared" ca="1" si="76"/>
        <v/>
      </c>
      <c r="F796" s="51"/>
      <c r="G796" s="55" t="str">
        <f t="shared" ca="1" si="77"/>
        <v/>
      </c>
      <c r="H796" s="50"/>
      <c r="I796" s="55" t="str">
        <f t="shared" ca="1" si="78"/>
        <v/>
      </c>
      <c r="J796" s="50"/>
      <c r="K796" s="55" t="str">
        <f t="shared" ca="1" si="79"/>
        <v/>
      </c>
      <c r="L796" s="64" t="str">
        <f>IF(B796="","",D796+F796+H796+J796+#REF!+#REF!+#REF!+#REF!+#REF!)</f>
        <v/>
      </c>
      <c r="M796" s="55" t="str">
        <f t="shared" ca="1" si="80"/>
        <v/>
      </c>
    </row>
    <row r="797" spans="1:13" ht="19.95" customHeight="1" x14ac:dyDescent="0.25">
      <c r="A797" s="52"/>
      <c r="B797" s="51"/>
      <c r="C797" s="54" t="str">
        <f>IF(B797="","",VLOOKUP(B797,学生信息汇总!A:E,2,0))</f>
        <v/>
      </c>
      <c r="D797" s="50"/>
      <c r="E797" s="55" t="str">
        <f t="shared" ca="1" si="76"/>
        <v/>
      </c>
      <c r="F797" s="51"/>
      <c r="G797" s="55" t="str">
        <f t="shared" ca="1" si="77"/>
        <v/>
      </c>
      <c r="H797" s="50"/>
      <c r="I797" s="55" t="str">
        <f t="shared" ca="1" si="78"/>
        <v/>
      </c>
      <c r="J797" s="50"/>
      <c r="K797" s="55" t="str">
        <f t="shared" ca="1" si="79"/>
        <v/>
      </c>
      <c r="L797" s="64" t="str">
        <f>IF(B797="","",D797+F797+H797+J797+#REF!+#REF!+#REF!+#REF!+#REF!)</f>
        <v/>
      </c>
      <c r="M797" s="55" t="str">
        <f t="shared" ca="1" si="80"/>
        <v/>
      </c>
    </row>
    <row r="798" spans="1:13" ht="19.95" customHeight="1" x14ac:dyDescent="0.25">
      <c r="A798" s="52"/>
      <c r="B798" s="51"/>
      <c r="C798" s="54" t="str">
        <f>IF(B798="","",VLOOKUP(B798,学生信息汇总!A:E,2,0))</f>
        <v/>
      </c>
      <c r="D798" s="50"/>
      <c r="E798" s="55" t="str">
        <f t="shared" ca="1" si="76"/>
        <v/>
      </c>
      <c r="F798" s="51"/>
      <c r="G798" s="55" t="str">
        <f t="shared" ca="1" si="77"/>
        <v/>
      </c>
      <c r="H798" s="50"/>
      <c r="I798" s="55" t="str">
        <f t="shared" ca="1" si="78"/>
        <v/>
      </c>
      <c r="J798" s="50"/>
      <c r="K798" s="55" t="str">
        <f t="shared" ca="1" si="79"/>
        <v/>
      </c>
      <c r="L798" s="64" t="str">
        <f>IF(B798="","",D798+F798+H798+J798+#REF!+#REF!+#REF!+#REF!+#REF!)</f>
        <v/>
      </c>
      <c r="M798" s="55" t="str">
        <f t="shared" ca="1" si="80"/>
        <v/>
      </c>
    </row>
    <row r="799" spans="1:13" ht="19.95" customHeight="1" x14ac:dyDescent="0.25">
      <c r="A799" s="52"/>
      <c r="B799" s="51"/>
      <c r="C799" s="54" t="str">
        <f>IF(B799="","",VLOOKUP(B799,学生信息汇总!A:E,2,0))</f>
        <v/>
      </c>
      <c r="D799" s="50"/>
      <c r="E799" s="55" t="str">
        <f t="shared" ca="1" si="76"/>
        <v/>
      </c>
      <c r="F799" s="51"/>
      <c r="G799" s="55" t="str">
        <f t="shared" ca="1" si="77"/>
        <v/>
      </c>
      <c r="H799" s="50"/>
      <c r="I799" s="55" t="str">
        <f t="shared" ca="1" si="78"/>
        <v/>
      </c>
      <c r="J799" s="50"/>
      <c r="K799" s="55" t="str">
        <f t="shared" ca="1" si="79"/>
        <v/>
      </c>
      <c r="L799" s="64" t="str">
        <f>IF(B799="","",D799+F799+H799+J799+#REF!+#REF!+#REF!+#REF!+#REF!)</f>
        <v/>
      </c>
      <c r="M799" s="55" t="str">
        <f t="shared" ca="1" si="80"/>
        <v/>
      </c>
    </row>
    <row r="800" spans="1:13" ht="19.95" customHeight="1" x14ac:dyDescent="0.25">
      <c r="A800" s="52"/>
      <c r="B800" s="51"/>
      <c r="C800" s="54" t="str">
        <f>IF(B800="","",VLOOKUP(B800,学生信息汇总!A:E,2,0))</f>
        <v/>
      </c>
      <c r="D800" s="50"/>
      <c r="E800" s="55" t="str">
        <f t="shared" ca="1" si="76"/>
        <v/>
      </c>
      <c r="F800" s="51"/>
      <c r="G800" s="55" t="str">
        <f t="shared" ca="1" si="77"/>
        <v/>
      </c>
      <c r="H800" s="50"/>
      <c r="I800" s="55" t="str">
        <f t="shared" ca="1" si="78"/>
        <v/>
      </c>
      <c r="J800" s="50"/>
      <c r="K800" s="55" t="str">
        <f t="shared" ca="1" si="79"/>
        <v/>
      </c>
      <c r="L800" s="64" t="str">
        <f>IF(B800="","",D800+F800+H800+J800+#REF!+#REF!+#REF!+#REF!+#REF!)</f>
        <v/>
      </c>
      <c r="M800" s="55" t="str">
        <f t="shared" ca="1" si="80"/>
        <v/>
      </c>
    </row>
    <row r="801" spans="1:13" ht="19.95" customHeight="1" x14ac:dyDescent="0.25">
      <c r="A801" s="52"/>
      <c r="B801" s="51"/>
      <c r="C801" s="54" t="str">
        <f>IF(B801="","",VLOOKUP(B801,学生信息汇总!A:E,2,0))</f>
        <v/>
      </c>
      <c r="D801" s="50"/>
      <c r="E801" s="55" t="str">
        <f t="shared" ca="1" si="76"/>
        <v/>
      </c>
      <c r="F801" s="51"/>
      <c r="G801" s="55" t="str">
        <f t="shared" ca="1" si="77"/>
        <v/>
      </c>
      <c r="H801" s="50"/>
      <c r="I801" s="55" t="str">
        <f t="shared" ca="1" si="78"/>
        <v/>
      </c>
      <c r="J801" s="50"/>
      <c r="K801" s="55" t="str">
        <f t="shared" ca="1" si="79"/>
        <v/>
      </c>
      <c r="L801" s="64" t="str">
        <f>IF(B801="","",D801+F801+H801+J801+#REF!+#REF!+#REF!+#REF!+#REF!)</f>
        <v/>
      </c>
      <c r="M801" s="55" t="str">
        <f t="shared" ca="1" si="80"/>
        <v/>
      </c>
    </row>
    <row r="802" spans="1:13" ht="19.95" customHeight="1" x14ac:dyDescent="0.25">
      <c r="A802" s="52"/>
      <c r="B802" s="51"/>
      <c r="C802" s="54" t="str">
        <f>IF(B802="","",VLOOKUP(B802,学生信息汇总!A:E,2,0))</f>
        <v/>
      </c>
      <c r="D802" s="50"/>
      <c r="E802" s="55" t="str">
        <f t="shared" ca="1" si="76"/>
        <v/>
      </c>
      <c r="F802" s="51"/>
      <c r="G802" s="55" t="str">
        <f t="shared" ca="1" si="77"/>
        <v/>
      </c>
      <c r="H802" s="50"/>
      <c r="I802" s="55" t="str">
        <f t="shared" ca="1" si="78"/>
        <v/>
      </c>
      <c r="J802" s="50"/>
      <c r="K802" s="55" t="str">
        <f t="shared" ca="1" si="79"/>
        <v/>
      </c>
      <c r="L802" s="64" t="str">
        <f>IF(B802="","",D802+F802+H802+J802+#REF!+#REF!+#REF!+#REF!+#REF!)</f>
        <v/>
      </c>
      <c r="M802" s="55" t="str">
        <f t="shared" ca="1" si="80"/>
        <v/>
      </c>
    </row>
    <row r="803" spans="1:13" ht="19.95" customHeight="1" x14ac:dyDescent="0.25">
      <c r="A803" s="52"/>
      <c r="B803" s="51"/>
      <c r="C803" s="54" t="str">
        <f>IF(B803="","",VLOOKUP(B803,学生信息汇总!A:E,2,0))</f>
        <v/>
      </c>
      <c r="D803" s="50"/>
      <c r="E803" s="55" t="str">
        <f t="shared" ca="1" si="76"/>
        <v/>
      </c>
      <c r="F803" s="51"/>
      <c r="G803" s="55" t="str">
        <f t="shared" ca="1" si="77"/>
        <v/>
      </c>
      <c r="H803" s="50"/>
      <c r="I803" s="55" t="str">
        <f t="shared" ca="1" si="78"/>
        <v/>
      </c>
      <c r="J803" s="50"/>
      <c r="K803" s="55" t="str">
        <f t="shared" ca="1" si="79"/>
        <v/>
      </c>
      <c r="L803" s="64" t="str">
        <f>IF(B803="","",D803+F803+H803+J803+#REF!+#REF!+#REF!+#REF!+#REF!)</f>
        <v/>
      </c>
      <c r="M803" s="55" t="str">
        <f t="shared" ca="1" si="80"/>
        <v/>
      </c>
    </row>
    <row r="804" spans="1:13" ht="19.95" customHeight="1" x14ac:dyDescent="0.25">
      <c r="A804" s="52"/>
      <c r="B804" s="51"/>
      <c r="C804" s="54" t="str">
        <f>IF(B804="","",VLOOKUP(B804,学生信息汇总!A:E,2,0))</f>
        <v/>
      </c>
      <c r="D804" s="50"/>
      <c r="E804" s="55" t="str">
        <f t="shared" ca="1" si="76"/>
        <v/>
      </c>
      <c r="F804" s="51"/>
      <c r="G804" s="55" t="str">
        <f t="shared" ca="1" si="77"/>
        <v/>
      </c>
      <c r="H804" s="50"/>
      <c r="I804" s="55" t="str">
        <f t="shared" ca="1" si="78"/>
        <v/>
      </c>
      <c r="J804" s="50"/>
      <c r="K804" s="55" t="str">
        <f t="shared" ca="1" si="79"/>
        <v/>
      </c>
      <c r="L804" s="64" t="str">
        <f>IF(B804="","",D804+F804+H804+J804+#REF!+#REF!+#REF!+#REF!+#REF!)</f>
        <v/>
      </c>
      <c r="M804" s="55" t="str">
        <f t="shared" ca="1" si="80"/>
        <v/>
      </c>
    </row>
    <row r="805" spans="1:13" ht="19.95" customHeight="1" x14ac:dyDescent="0.25">
      <c r="A805" s="52"/>
      <c r="B805" s="51"/>
      <c r="C805" s="54" t="str">
        <f>IF(B805="","",VLOOKUP(B805,学生信息汇总!A:E,2,0))</f>
        <v/>
      </c>
      <c r="D805" s="50"/>
      <c r="E805" s="55" t="str">
        <f t="shared" ca="1" si="76"/>
        <v/>
      </c>
      <c r="F805" s="51"/>
      <c r="G805" s="55" t="str">
        <f t="shared" ca="1" si="77"/>
        <v/>
      </c>
      <c r="H805" s="50"/>
      <c r="I805" s="55" t="str">
        <f t="shared" ca="1" si="78"/>
        <v/>
      </c>
      <c r="J805" s="50"/>
      <c r="K805" s="55" t="str">
        <f t="shared" ca="1" si="79"/>
        <v/>
      </c>
      <c r="L805" s="64" t="str">
        <f>IF(B805="","",D805+F805+H805+J805+#REF!+#REF!+#REF!+#REF!+#REF!)</f>
        <v/>
      </c>
      <c r="M805" s="55" t="str">
        <f t="shared" ca="1" si="80"/>
        <v/>
      </c>
    </row>
    <row r="806" spans="1:13" ht="19.95" customHeight="1" x14ac:dyDescent="0.25">
      <c r="A806" s="52"/>
      <c r="B806" s="51"/>
      <c r="C806" s="54" t="str">
        <f>IF(B806="","",VLOOKUP(B806,学生信息汇总!A:E,2,0))</f>
        <v/>
      </c>
      <c r="D806" s="50"/>
      <c r="E806" s="55" t="str">
        <f t="shared" ca="1" si="76"/>
        <v/>
      </c>
      <c r="F806" s="51"/>
      <c r="G806" s="55" t="str">
        <f t="shared" ca="1" si="77"/>
        <v/>
      </c>
      <c r="H806" s="50"/>
      <c r="I806" s="55" t="str">
        <f t="shared" ca="1" si="78"/>
        <v/>
      </c>
      <c r="J806" s="50"/>
      <c r="K806" s="55" t="str">
        <f t="shared" ca="1" si="79"/>
        <v/>
      </c>
      <c r="L806" s="64" t="str">
        <f>IF(B806="","",D806+F806+H806+J806+#REF!+#REF!+#REF!+#REF!+#REF!)</f>
        <v/>
      </c>
      <c r="M806" s="55" t="str">
        <f t="shared" ca="1" si="80"/>
        <v/>
      </c>
    </row>
    <row r="807" spans="1:13" ht="19.95" customHeight="1" x14ac:dyDescent="0.25">
      <c r="A807" s="52"/>
      <c r="B807" s="51"/>
      <c r="C807" s="54" t="str">
        <f>IF(B807="","",VLOOKUP(B807,学生信息汇总!A:E,2,0))</f>
        <v/>
      </c>
      <c r="D807" s="50"/>
      <c r="E807" s="55" t="str">
        <f t="shared" ca="1" si="76"/>
        <v/>
      </c>
      <c r="F807" s="51"/>
      <c r="G807" s="55" t="str">
        <f t="shared" ca="1" si="77"/>
        <v/>
      </c>
      <c r="H807" s="50"/>
      <c r="I807" s="55" t="str">
        <f t="shared" ca="1" si="78"/>
        <v/>
      </c>
      <c r="J807" s="50"/>
      <c r="K807" s="55" t="str">
        <f t="shared" ca="1" si="79"/>
        <v/>
      </c>
      <c r="L807" s="64" t="str">
        <f>IF(B807="","",D807+F807+H807+J807+#REF!+#REF!+#REF!+#REF!+#REF!)</f>
        <v/>
      </c>
      <c r="M807" s="55" t="str">
        <f t="shared" ca="1" si="80"/>
        <v/>
      </c>
    </row>
    <row r="808" spans="1:13" ht="19.95" customHeight="1" x14ac:dyDescent="0.25">
      <c r="A808" s="52"/>
      <c r="B808" s="51"/>
      <c r="C808" s="54" t="str">
        <f>IF(B808="","",VLOOKUP(B808,学生信息汇总!A:E,2,0))</f>
        <v/>
      </c>
      <c r="D808" s="50"/>
      <c r="E808" s="55" t="str">
        <f t="shared" ca="1" si="76"/>
        <v/>
      </c>
      <c r="F808" s="51"/>
      <c r="G808" s="55" t="str">
        <f t="shared" ca="1" si="77"/>
        <v/>
      </c>
      <c r="H808" s="50"/>
      <c r="I808" s="55" t="str">
        <f t="shared" ca="1" si="78"/>
        <v/>
      </c>
      <c r="J808" s="50"/>
      <c r="K808" s="55" t="str">
        <f t="shared" ca="1" si="79"/>
        <v/>
      </c>
      <c r="L808" s="64" t="str">
        <f>IF(B808="","",D808+F808+H808+J808+#REF!+#REF!+#REF!+#REF!+#REF!)</f>
        <v/>
      </c>
      <c r="M808" s="55" t="str">
        <f t="shared" ca="1" si="80"/>
        <v/>
      </c>
    </row>
    <row r="809" spans="1:13" ht="19.95" customHeight="1" x14ac:dyDescent="0.25">
      <c r="A809" s="52"/>
      <c r="B809" s="51"/>
      <c r="C809" s="54" t="str">
        <f>IF(B809="","",VLOOKUP(B809,学生信息汇总!A:E,2,0))</f>
        <v/>
      </c>
      <c r="D809" s="50"/>
      <c r="E809" s="55" t="str">
        <f t="shared" ca="1" si="76"/>
        <v/>
      </c>
      <c r="F809" s="51"/>
      <c r="G809" s="55" t="str">
        <f t="shared" ca="1" si="77"/>
        <v/>
      </c>
      <c r="H809" s="50"/>
      <c r="I809" s="55" t="str">
        <f t="shared" ca="1" si="78"/>
        <v/>
      </c>
      <c r="J809" s="50"/>
      <c r="K809" s="55" t="str">
        <f t="shared" ca="1" si="79"/>
        <v/>
      </c>
      <c r="L809" s="64" t="str">
        <f>IF(B809="","",D809+F809+H809+J809+#REF!+#REF!+#REF!+#REF!+#REF!)</f>
        <v/>
      </c>
      <c r="M809" s="55" t="str">
        <f t="shared" ca="1" si="80"/>
        <v/>
      </c>
    </row>
    <row r="810" spans="1:13" ht="19.95" customHeight="1" x14ac:dyDescent="0.25">
      <c r="A810" s="52"/>
      <c r="B810" s="51"/>
      <c r="C810" s="54" t="str">
        <f>IF(B810="","",VLOOKUP(B810,学生信息汇总!A:E,2,0))</f>
        <v/>
      </c>
      <c r="D810" s="50"/>
      <c r="E810" s="55" t="str">
        <f t="shared" ca="1" si="76"/>
        <v/>
      </c>
      <c r="F810" s="51"/>
      <c r="G810" s="55" t="str">
        <f t="shared" ca="1" si="77"/>
        <v/>
      </c>
      <c r="H810" s="50"/>
      <c r="I810" s="55" t="str">
        <f t="shared" ca="1" si="78"/>
        <v/>
      </c>
      <c r="J810" s="50"/>
      <c r="K810" s="55" t="str">
        <f t="shared" ca="1" si="79"/>
        <v/>
      </c>
      <c r="L810" s="64" t="str">
        <f>IF(B810="","",D810+F810+H810+J810+#REF!+#REF!+#REF!+#REF!+#REF!)</f>
        <v/>
      </c>
      <c r="M810" s="55" t="str">
        <f t="shared" ca="1" si="80"/>
        <v/>
      </c>
    </row>
    <row r="811" spans="1:13" ht="19.95" customHeight="1" x14ac:dyDescent="0.25">
      <c r="A811" s="52"/>
      <c r="B811" s="51"/>
      <c r="C811" s="54" t="str">
        <f>IF(B811="","",VLOOKUP(B811,学生信息汇总!A:E,2,0))</f>
        <v/>
      </c>
      <c r="D811" s="50"/>
      <c r="E811" s="55" t="str">
        <f t="shared" ca="1" si="76"/>
        <v/>
      </c>
      <c r="F811" s="51"/>
      <c r="G811" s="55" t="str">
        <f t="shared" ca="1" si="77"/>
        <v/>
      </c>
      <c r="H811" s="50"/>
      <c r="I811" s="55" t="str">
        <f t="shared" ca="1" si="78"/>
        <v/>
      </c>
      <c r="J811" s="50"/>
      <c r="K811" s="55" t="str">
        <f t="shared" ca="1" si="79"/>
        <v/>
      </c>
      <c r="L811" s="64" t="str">
        <f>IF(B811="","",D811+F811+H811+J811+#REF!+#REF!+#REF!+#REF!+#REF!)</f>
        <v/>
      </c>
      <c r="M811" s="55" t="str">
        <f t="shared" ca="1" si="80"/>
        <v/>
      </c>
    </row>
    <row r="812" spans="1:13" ht="19.95" customHeight="1" x14ac:dyDescent="0.25">
      <c r="A812" s="52"/>
      <c r="B812" s="51"/>
      <c r="C812" s="54" t="str">
        <f>IF(B812="","",VLOOKUP(B812,学生信息汇总!A:E,2,0))</f>
        <v/>
      </c>
      <c r="D812" s="50"/>
      <c r="E812" s="55" t="str">
        <f t="shared" ref="E812:E875" ca="1" si="81">IF(D812="","",RANK(D812,INDIRECT(ADDRESS(MATCH(VLOOKUP(A812,A:A,1,0),A:A,0),6)&amp;":"&amp;ADDRESS((MATCH(VLOOKUP(A812,A:A,1,0),A:A,0)+COUNTIF(A:A,A812)-1),6))))</f>
        <v/>
      </c>
      <c r="F812" s="51"/>
      <c r="G812" s="55" t="str">
        <f t="shared" ref="G812:G875" ca="1" si="82">IF(F812="","",RANK(F812,INDIRECT(ADDRESS(MATCH(VLOOKUP(A812,A:A,1,0),A:A,0),8)&amp;":"&amp;ADDRESS((MATCH(VLOOKUP(A812,A:A,1,0),A:A,0)+COUNTIF(A:A,A812)-1),8))))</f>
        <v/>
      </c>
      <c r="H812" s="50"/>
      <c r="I812" s="55" t="str">
        <f t="shared" ref="I812:I875" ca="1" si="83">IF(H812="","",RANK(H812,INDIRECT(ADDRESS(MATCH(VLOOKUP(A812,A:A,1,0),A:A,0),10)&amp;":"&amp;ADDRESS((MATCH(VLOOKUP(A812,A:A,1,0),A:A,0)+COUNTIF(A:A,A812)-1),10))))</f>
        <v/>
      </c>
      <c r="J812" s="50"/>
      <c r="K812" s="55" t="str">
        <f t="shared" ref="K812:K875" ca="1" si="84">IF(J812="","",RANK(J812,INDIRECT(ADDRESS(MATCH(VLOOKUP(A812,A:A,1,0),A:A,0),12)&amp;":"&amp;ADDRESS((MATCH(VLOOKUP(A812,A:A,1,0),A:A,0)+COUNTIF(A:A,A812)-1),12))))</f>
        <v/>
      </c>
      <c r="L812" s="64" t="str">
        <f>IF(B812="","",D812+F812+H812+J812+#REF!+#REF!+#REF!+#REF!+#REF!)</f>
        <v/>
      </c>
      <c r="M812" s="55" t="str">
        <f t="shared" ref="M812:M875" ca="1" si="85">IF(L812="","",RANK(L812,INDIRECT(ADDRESS(MATCH(VLOOKUP(A812,A:A,1,0),A:A,0),26)&amp;":"&amp;ADDRESS((MATCH(VLOOKUP(A812,A:A,1,0),A:A,0)+COUNTIF(A:A,A812)-1),26))))</f>
        <v/>
      </c>
    </row>
    <row r="813" spans="1:13" ht="19.95" customHeight="1" x14ac:dyDescent="0.25">
      <c r="A813" s="52"/>
      <c r="B813" s="51"/>
      <c r="C813" s="54" t="str">
        <f>IF(B813="","",VLOOKUP(B813,学生信息汇总!A:E,2,0))</f>
        <v/>
      </c>
      <c r="D813" s="50"/>
      <c r="E813" s="55" t="str">
        <f t="shared" ca="1" si="81"/>
        <v/>
      </c>
      <c r="F813" s="51"/>
      <c r="G813" s="55" t="str">
        <f t="shared" ca="1" si="82"/>
        <v/>
      </c>
      <c r="H813" s="50"/>
      <c r="I813" s="55" t="str">
        <f t="shared" ca="1" si="83"/>
        <v/>
      </c>
      <c r="J813" s="50"/>
      <c r="K813" s="55" t="str">
        <f t="shared" ca="1" si="84"/>
        <v/>
      </c>
      <c r="L813" s="64" t="str">
        <f>IF(B813="","",D813+F813+H813+J813+#REF!+#REF!+#REF!+#REF!+#REF!)</f>
        <v/>
      </c>
      <c r="M813" s="55" t="str">
        <f t="shared" ca="1" si="85"/>
        <v/>
      </c>
    </row>
    <row r="814" spans="1:13" ht="19.95" customHeight="1" x14ac:dyDescent="0.25">
      <c r="A814" s="52"/>
      <c r="B814" s="51"/>
      <c r="C814" s="54" t="str">
        <f>IF(B814="","",VLOOKUP(B814,学生信息汇总!A:E,2,0))</f>
        <v/>
      </c>
      <c r="D814" s="50"/>
      <c r="E814" s="55" t="str">
        <f t="shared" ca="1" si="81"/>
        <v/>
      </c>
      <c r="F814" s="51"/>
      <c r="G814" s="55" t="str">
        <f t="shared" ca="1" si="82"/>
        <v/>
      </c>
      <c r="H814" s="50"/>
      <c r="I814" s="55" t="str">
        <f t="shared" ca="1" si="83"/>
        <v/>
      </c>
      <c r="J814" s="50"/>
      <c r="K814" s="55" t="str">
        <f t="shared" ca="1" si="84"/>
        <v/>
      </c>
      <c r="L814" s="64" t="str">
        <f>IF(B814="","",D814+F814+H814+J814+#REF!+#REF!+#REF!+#REF!+#REF!)</f>
        <v/>
      </c>
      <c r="M814" s="55" t="str">
        <f t="shared" ca="1" si="85"/>
        <v/>
      </c>
    </row>
    <row r="815" spans="1:13" ht="19.95" customHeight="1" x14ac:dyDescent="0.25">
      <c r="A815" s="52"/>
      <c r="B815" s="51"/>
      <c r="C815" s="54" t="str">
        <f>IF(B815="","",VLOOKUP(B815,学生信息汇总!A:E,2,0))</f>
        <v/>
      </c>
      <c r="D815" s="50"/>
      <c r="E815" s="55" t="str">
        <f t="shared" ca="1" si="81"/>
        <v/>
      </c>
      <c r="F815" s="51"/>
      <c r="G815" s="55" t="str">
        <f t="shared" ca="1" si="82"/>
        <v/>
      </c>
      <c r="H815" s="50"/>
      <c r="I815" s="55" t="str">
        <f t="shared" ca="1" si="83"/>
        <v/>
      </c>
      <c r="J815" s="50"/>
      <c r="K815" s="55" t="str">
        <f t="shared" ca="1" si="84"/>
        <v/>
      </c>
      <c r="L815" s="64" t="str">
        <f>IF(B815="","",D815+F815+H815+J815+#REF!+#REF!+#REF!+#REF!+#REF!)</f>
        <v/>
      </c>
      <c r="M815" s="55" t="str">
        <f t="shared" ca="1" si="85"/>
        <v/>
      </c>
    </row>
    <row r="816" spans="1:13" ht="19.95" customHeight="1" x14ac:dyDescent="0.25">
      <c r="A816" s="52"/>
      <c r="B816" s="51"/>
      <c r="C816" s="54" t="str">
        <f>IF(B816="","",VLOOKUP(B816,学生信息汇总!A:E,2,0))</f>
        <v/>
      </c>
      <c r="D816" s="50"/>
      <c r="E816" s="55" t="str">
        <f t="shared" ca="1" si="81"/>
        <v/>
      </c>
      <c r="F816" s="51"/>
      <c r="G816" s="55" t="str">
        <f t="shared" ca="1" si="82"/>
        <v/>
      </c>
      <c r="H816" s="50"/>
      <c r="I816" s="55" t="str">
        <f t="shared" ca="1" si="83"/>
        <v/>
      </c>
      <c r="J816" s="50"/>
      <c r="K816" s="55" t="str">
        <f t="shared" ca="1" si="84"/>
        <v/>
      </c>
      <c r="L816" s="64" t="str">
        <f>IF(B816="","",D816+F816+H816+J816+#REF!+#REF!+#REF!+#REF!+#REF!)</f>
        <v/>
      </c>
      <c r="M816" s="55" t="str">
        <f t="shared" ca="1" si="85"/>
        <v/>
      </c>
    </row>
    <row r="817" spans="1:13" ht="19.95" customHeight="1" x14ac:dyDescent="0.25">
      <c r="A817" s="52"/>
      <c r="B817" s="51"/>
      <c r="C817" s="54" t="str">
        <f>IF(B817="","",VLOOKUP(B817,学生信息汇总!A:E,2,0))</f>
        <v/>
      </c>
      <c r="D817" s="50"/>
      <c r="E817" s="55" t="str">
        <f t="shared" ca="1" si="81"/>
        <v/>
      </c>
      <c r="F817" s="51"/>
      <c r="G817" s="55" t="str">
        <f t="shared" ca="1" si="82"/>
        <v/>
      </c>
      <c r="H817" s="50"/>
      <c r="I817" s="55" t="str">
        <f t="shared" ca="1" si="83"/>
        <v/>
      </c>
      <c r="J817" s="50"/>
      <c r="K817" s="55" t="str">
        <f t="shared" ca="1" si="84"/>
        <v/>
      </c>
      <c r="L817" s="64" t="str">
        <f>IF(B817="","",D817+F817+H817+J817+#REF!+#REF!+#REF!+#REF!+#REF!)</f>
        <v/>
      </c>
      <c r="M817" s="55" t="str">
        <f t="shared" ca="1" si="85"/>
        <v/>
      </c>
    </row>
    <row r="818" spans="1:13" ht="19.95" customHeight="1" x14ac:dyDescent="0.25">
      <c r="A818" s="52"/>
      <c r="B818" s="51"/>
      <c r="C818" s="54" t="str">
        <f>IF(B818="","",VLOOKUP(B818,学生信息汇总!A:E,2,0))</f>
        <v/>
      </c>
      <c r="D818" s="50"/>
      <c r="E818" s="55" t="str">
        <f t="shared" ca="1" si="81"/>
        <v/>
      </c>
      <c r="F818" s="51"/>
      <c r="G818" s="55" t="str">
        <f t="shared" ca="1" si="82"/>
        <v/>
      </c>
      <c r="H818" s="50"/>
      <c r="I818" s="55" t="str">
        <f t="shared" ca="1" si="83"/>
        <v/>
      </c>
      <c r="J818" s="50"/>
      <c r="K818" s="55" t="str">
        <f t="shared" ca="1" si="84"/>
        <v/>
      </c>
      <c r="L818" s="64" t="str">
        <f>IF(B818="","",D818+F818+H818+J818+#REF!+#REF!+#REF!+#REF!+#REF!)</f>
        <v/>
      </c>
      <c r="M818" s="55" t="str">
        <f t="shared" ca="1" si="85"/>
        <v/>
      </c>
    </row>
    <row r="819" spans="1:13" ht="19.95" customHeight="1" x14ac:dyDescent="0.25">
      <c r="A819" s="52"/>
      <c r="B819" s="51"/>
      <c r="C819" s="54" t="str">
        <f>IF(B819="","",VLOOKUP(B819,学生信息汇总!A:E,2,0))</f>
        <v/>
      </c>
      <c r="D819" s="50"/>
      <c r="E819" s="55" t="str">
        <f t="shared" ca="1" si="81"/>
        <v/>
      </c>
      <c r="F819" s="51"/>
      <c r="G819" s="55" t="str">
        <f t="shared" ca="1" si="82"/>
        <v/>
      </c>
      <c r="H819" s="50"/>
      <c r="I819" s="55" t="str">
        <f t="shared" ca="1" si="83"/>
        <v/>
      </c>
      <c r="J819" s="50"/>
      <c r="K819" s="55" t="str">
        <f t="shared" ca="1" si="84"/>
        <v/>
      </c>
      <c r="L819" s="64" t="str">
        <f>IF(B819="","",D819+F819+H819+J819+#REF!+#REF!+#REF!+#REF!+#REF!)</f>
        <v/>
      </c>
      <c r="M819" s="55" t="str">
        <f t="shared" ca="1" si="85"/>
        <v/>
      </c>
    </row>
    <row r="820" spans="1:13" ht="19.95" customHeight="1" x14ac:dyDescent="0.25">
      <c r="A820" s="52"/>
      <c r="B820" s="51"/>
      <c r="C820" s="54" t="str">
        <f>IF(B820="","",VLOOKUP(B820,学生信息汇总!A:E,2,0))</f>
        <v/>
      </c>
      <c r="D820" s="50"/>
      <c r="E820" s="55" t="str">
        <f t="shared" ca="1" si="81"/>
        <v/>
      </c>
      <c r="F820" s="51"/>
      <c r="G820" s="55" t="str">
        <f t="shared" ca="1" si="82"/>
        <v/>
      </c>
      <c r="H820" s="50"/>
      <c r="I820" s="55" t="str">
        <f t="shared" ca="1" si="83"/>
        <v/>
      </c>
      <c r="J820" s="50"/>
      <c r="K820" s="55" t="str">
        <f t="shared" ca="1" si="84"/>
        <v/>
      </c>
      <c r="L820" s="64" t="str">
        <f>IF(B820="","",D820+F820+H820+J820+#REF!+#REF!+#REF!+#REF!+#REF!)</f>
        <v/>
      </c>
      <c r="M820" s="55" t="str">
        <f t="shared" ca="1" si="85"/>
        <v/>
      </c>
    </row>
    <row r="821" spans="1:13" ht="19.95" customHeight="1" x14ac:dyDescent="0.25">
      <c r="A821" s="52"/>
      <c r="B821" s="51"/>
      <c r="C821" s="54" t="str">
        <f>IF(B821="","",VLOOKUP(B821,学生信息汇总!A:E,2,0))</f>
        <v/>
      </c>
      <c r="D821" s="50"/>
      <c r="E821" s="55" t="str">
        <f t="shared" ca="1" si="81"/>
        <v/>
      </c>
      <c r="F821" s="51"/>
      <c r="G821" s="55" t="str">
        <f t="shared" ca="1" si="82"/>
        <v/>
      </c>
      <c r="H821" s="50"/>
      <c r="I821" s="55" t="str">
        <f t="shared" ca="1" si="83"/>
        <v/>
      </c>
      <c r="J821" s="50"/>
      <c r="K821" s="55" t="str">
        <f t="shared" ca="1" si="84"/>
        <v/>
      </c>
      <c r="L821" s="64" t="str">
        <f>IF(B821="","",D821+F821+H821+J821+#REF!+#REF!+#REF!+#REF!+#REF!)</f>
        <v/>
      </c>
      <c r="M821" s="55" t="str">
        <f t="shared" ca="1" si="85"/>
        <v/>
      </c>
    </row>
    <row r="822" spans="1:13" ht="19.95" customHeight="1" x14ac:dyDescent="0.25">
      <c r="A822" s="52"/>
      <c r="B822" s="51"/>
      <c r="C822" s="54" t="str">
        <f>IF(B822="","",VLOOKUP(B822,学生信息汇总!A:E,2,0))</f>
        <v/>
      </c>
      <c r="D822" s="50"/>
      <c r="E822" s="55" t="str">
        <f t="shared" ca="1" si="81"/>
        <v/>
      </c>
      <c r="F822" s="51"/>
      <c r="G822" s="55" t="str">
        <f t="shared" ca="1" si="82"/>
        <v/>
      </c>
      <c r="H822" s="50"/>
      <c r="I822" s="55" t="str">
        <f t="shared" ca="1" si="83"/>
        <v/>
      </c>
      <c r="J822" s="50"/>
      <c r="K822" s="55" t="str">
        <f t="shared" ca="1" si="84"/>
        <v/>
      </c>
      <c r="L822" s="64" t="str">
        <f>IF(B822="","",D822+F822+H822+J822+#REF!+#REF!+#REF!+#REF!+#REF!)</f>
        <v/>
      </c>
      <c r="M822" s="55" t="str">
        <f t="shared" ca="1" si="85"/>
        <v/>
      </c>
    </row>
    <row r="823" spans="1:13" ht="19.95" customHeight="1" x14ac:dyDescent="0.25">
      <c r="A823" s="52"/>
      <c r="B823" s="51"/>
      <c r="C823" s="54" t="str">
        <f>IF(B823="","",VLOOKUP(B823,学生信息汇总!A:E,2,0))</f>
        <v/>
      </c>
      <c r="D823" s="50"/>
      <c r="E823" s="55" t="str">
        <f t="shared" ca="1" si="81"/>
        <v/>
      </c>
      <c r="F823" s="51"/>
      <c r="G823" s="55" t="str">
        <f t="shared" ca="1" si="82"/>
        <v/>
      </c>
      <c r="H823" s="50"/>
      <c r="I823" s="55" t="str">
        <f t="shared" ca="1" si="83"/>
        <v/>
      </c>
      <c r="J823" s="50"/>
      <c r="K823" s="55" t="str">
        <f t="shared" ca="1" si="84"/>
        <v/>
      </c>
      <c r="L823" s="64" t="str">
        <f>IF(B823="","",D823+F823+H823+J823+#REF!+#REF!+#REF!+#REF!+#REF!)</f>
        <v/>
      </c>
      <c r="M823" s="55" t="str">
        <f t="shared" ca="1" si="85"/>
        <v/>
      </c>
    </row>
    <row r="824" spans="1:13" ht="19.95" customHeight="1" x14ac:dyDescent="0.25">
      <c r="A824" s="52"/>
      <c r="B824" s="51"/>
      <c r="C824" s="54" t="str">
        <f>IF(B824="","",VLOOKUP(B824,学生信息汇总!A:E,2,0))</f>
        <v/>
      </c>
      <c r="D824" s="50"/>
      <c r="E824" s="55" t="str">
        <f t="shared" ca="1" si="81"/>
        <v/>
      </c>
      <c r="F824" s="51"/>
      <c r="G824" s="55" t="str">
        <f t="shared" ca="1" si="82"/>
        <v/>
      </c>
      <c r="H824" s="50"/>
      <c r="I824" s="55" t="str">
        <f t="shared" ca="1" si="83"/>
        <v/>
      </c>
      <c r="J824" s="50"/>
      <c r="K824" s="55" t="str">
        <f t="shared" ca="1" si="84"/>
        <v/>
      </c>
      <c r="L824" s="64" t="str">
        <f>IF(B824="","",D824+F824+H824+J824+#REF!+#REF!+#REF!+#REF!+#REF!)</f>
        <v/>
      </c>
      <c r="M824" s="55" t="str">
        <f t="shared" ca="1" si="85"/>
        <v/>
      </c>
    </row>
    <row r="825" spans="1:13" ht="19.95" customHeight="1" x14ac:dyDescent="0.25">
      <c r="A825" s="52"/>
      <c r="B825" s="51"/>
      <c r="C825" s="54" t="str">
        <f>IF(B825="","",VLOOKUP(B825,学生信息汇总!A:E,2,0))</f>
        <v/>
      </c>
      <c r="D825" s="50"/>
      <c r="E825" s="55" t="str">
        <f t="shared" ca="1" si="81"/>
        <v/>
      </c>
      <c r="F825" s="51"/>
      <c r="G825" s="55" t="str">
        <f t="shared" ca="1" si="82"/>
        <v/>
      </c>
      <c r="H825" s="50"/>
      <c r="I825" s="55" t="str">
        <f t="shared" ca="1" si="83"/>
        <v/>
      </c>
      <c r="J825" s="50"/>
      <c r="K825" s="55" t="str">
        <f t="shared" ca="1" si="84"/>
        <v/>
      </c>
      <c r="L825" s="64" t="str">
        <f>IF(B825="","",D825+F825+H825+J825+#REF!+#REF!+#REF!+#REF!+#REF!)</f>
        <v/>
      </c>
      <c r="M825" s="55" t="str">
        <f t="shared" ca="1" si="85"/>
        <v/>
      </c>
    </row>
    <row r="826" spans="1:13" ht="19.95" customHeight="1" x14ac:dyDescent="0.25">
      <c r="A826" s="52"/>
      <c r="B826" s="51"/>
      <c r="C826" s="54" t="str">
        <f>IF(B826="","",VLOOKUP(B826,学生信息汇总!A:E,2,0))</f>
        <v/>
      </c>
      <c r="D826" s="50"/>
      <c r="E826" s="55" t="str">
        <f t="shared" ca="1" si="81"/>
        <v/>
      </c>
      <c r="F826" s="51"/>
      <c r="G826" s="55" t="str">
        <f t="shared" ca="1" si="82"/>
        <v/>
      </c>
      <c r="H826" s="50"/>
      <c r="I826" s="55" t="str">
        <f t="shared" ca="1" si="83"/>
        <v/>
      </c>
      <c r="J826" s="50"/>
      <c r="K826" s="55" t="str">
        <f t="shared" ca="1" si="84"/>
        <v/>
      </c>
      <c r="L826" s="64" t="str">
        <f>IF(B826="","",D826+F826+H826+J826+#REF!+#REF!+#REF!+#REF!+#REF!)</f>
        <v/>
      </c>
      <c r="M826" s="55" t="str">
        <f t="shared" ca="1" si="85"/>
        <v/>
      </c>
    </row>
    <row r="827" spans="1:13" ht="19.95" customHeight="1" x14ac:dyDescent="0.25">
      <c r="A827" s="52"/>
      <c r="B827" s="51"/>
      <c r="C827" s="54" t="str">
        <f>IF(B827="","",VLOOKUP(B827,学生信息汇总!A:E,2,0))</f>
        <v/>
      </c>
      <c r="D827" s="50"/>
      <c r="E827" s="55" t="str">
        <f t="shared" ca="1" si="81"/>
        <v/>
      </c>
      <c r="F827" s="51"/>
      <c r="G827" s="55" t="str">
        <f t="shared" ca="1" si="82"/>
        <v/>
      </c>
      <c r="H827" s="50"/>
      <c r="I827" s="55" t="str">
        <f t="shared" ca="1" si="83"/>
        <v/>
      </c>
      <c r="J827" s="50"/>
      <c r="K827" s="55" t="str">
        <f t="shared" ca="1" si="84"/>
        <v/>
      </c>
      <c r="L827" s="64" t="str">
        <f>IF(B827="","",D827+F827+H827+J827+#REF!+#REF!+#REF!+#REF!+#REF!)</f>
        <v/>
      </c>
      <c r="M827" s="55" t="str">
        <f t="shared" ca="1" si="85"/>
        <v/>
      </c>
    </row>
    <row r="828" spans="1:13" ht="19.95" customHeight="1" x14ac:dyDescent="0.25">
      <c r="A828" s="52"/>
      <c r="B828" s="51"/>
      <c r="C828" s="54" t="str">
        <f>IF(B828="","",VLOOKUP(B828,学生信息汇总!A:E,2,0))</f>
        <v/>
      </c>
      <c r="D828" s="50"/>
      <c r="E828" s="55" t="str">
        <f t="shared" ca="1" si="81"/>
        <v/>
      </c>
      <c r="F828" s="51"/>
      <c r="G828" s="55" t="str">
        <f t="shared" ca="1" si="82"/>
        <v/>
      </c>
      <c r="H828" s="50"/>
      <c r="I828" s="55" t="str">
        <f t="shared" ca="1" si="83"/>
        <v/>
      </c>
      <c r="J828" s="50"/>
      <c r="K828" s="55" t="str">
        <f t="shared" ca="1" si="84"/>
        <v/>
      </c>
      <c r="L828" s="64" t="str">
        <f>IF(B828="","",D828+F828+H828+J828+#REF!+#REF!+#REF!+#REF!+#REF!)</f>
        <v/>
      </c>
      <c r="M828" s="55" t="str">
        <f t="shared" ca="1" si="85"/>
        <v/>
      </c>
    </row>
    <row r="829" spans="1:13" ht="19.95" customHeight="1" x14ac:dyDescent="0.25">
      <c r="A829" s="52"/>
      <c r="B829" s="51"/>
      <c r="C829" s="54" t="str">
        <f>IF(B829="","",VLOOKUP(B829,学生信息汇总!A:E,2,0))</f>
        <v/>
      </c>
      <c r="D829" s="50"/>
      <c r="E829" s="55" t="str">
        <f t="shared" ca="1" si="81"/>
        <v/>
      </c>
      <c r="F829" s="51"/>
      <c r="G829" s="55" t="str">
        <f t="shared" ca="1" si="82"/>
        <v/>
      </c>
      <c r="H829" s="50"/>
      <c r="I829" s="55" t="str">
        <f t="shared" ca="1" si="83"/>
        <v/>
      </c>
      <c r="J829" s="50"/>
      <c r="K829" s="55" t="str">
        <f t="shared" ca="1" si="84"/>
        <v/>
      </c>
      <c r="L829" s="64" t="str">
        <f>IF(B829="","",D829+F829+H829+J829+#REF!+#REF!+#REF!+#REF!+#REF!)</f>
        <v/>
      </c>
      <c r="M829" s="55" t="str">
        <f t="shared" ca="1" si="85"/>
        <v/>
      </c>
    </row>
    <row r="830" spans="1:13" ht="19.95" customHeight="1" x14ac:dyDescent="0.25">
      <c r="A830" s="52"/>
      <c r="B830" s="51"/>
      <c r="C830" s="54" t="str">
        <f>IF(B830="","",VLOOKUP(B830,学生信息汇总!A:E,2,0))</f>
        <v/>
      </c>
      <c r="D830" s="50"/>
      <c r="E830" s="55" t="str">
        <f t="shared" ca="1" si="81"/>
        <v/>
      </c>
      <c r="F830" s="51"/>
      <c r="G830" s="55" t="str">
        <f t="shared" ca="1" si="82"/>
        <v/>
      </c>
      <c r="H830" s="50"/>
      <c r="I830" s="55" t="str">
        <f t="shared" ca="1" si="83"/>
        <v/>
      </c>
      <c r="J830" s="50"/>
      <c r="K830" s="55" t="str">
        <f t="shared" ca="1" si="84"/>
        <v/>
      </c>
      <c r="L830" s="64" t="str">
        <f>IF(B830="","",D830+F830+H830+J830+#REF!+#REF!+#REF!+#REF!+#REF!)</f>
        <v/>
      </c>
      <c r="M830" s="55" t="str">
        <f t="shared" ca="1" si="85"/>
        <v/>
      </c>
    </row>
    <row r="831" spans="1:13" ht="19.95" customHeight="1" x14ac:dyDescent="0.25">
      <c r="A831" s="52"/>
      <c r="B831" s="51"/>
      <c r="C831" s="54" t="str">
        <f>IF(B831="","",VLOOKUP(B831,学生信息汇总!A:E,2,0))</f>
        <v/>
      </c>
      <c r="D831" s="50"/>
      <c r="E831" s="55" t="str">
        <f t="shared" ca="1" si="81"/>
        <v/>
      </c>
      <c r="F831" s="51"/>
      <c r="G831" s="55" t="str">
        <f t="shared" ca="1" si="82"/>
        <v/>
      </c>
      <c r="H831" s="50"/>
      <c r="I831" s="55" t="str">
        <f t="shared" ca="1" si="83"/>
        <v/>
      </c>
      <c r="J831" s="50"/>
      <c r="K831" s="55" t="str">
        <f t="shared" ca="1" si="84"/>
        <v/>
      </c>
      <c r="L831" s="64" t="str">
        <f>IF(B831="","",D831+F831+H831+J831+#REF!+#REF!+#REF!+#REF!+#REF!)</f>
        <v/>
      </c>
      <c r="M831" s="55" t="str">
        <f t="shared" ca="1" si="85"/>
        <v/>
      </c>
    </row>
    <row r="832" spans="1:13" ht="19.95" customHeight="1" x14ac:dyDescent="0.25">
      <c r="A832" s="52"/>
      <c r="B832" s="51"/>
      <c r="C832" s="54" t="str">
        <f>IF(B832="","",VLOOKUP(B832,学生信息汇总!A:E,2,0))</f>
        <v/>
      </c>
      <c r="D832" s="50"/>
      <c r="E832" s="55" t="str">
        <f t="shared" ca="1" si="81"/>
        <v/>
      </c>
      <c r="F832" s="51"/>
      <c r="G832" s="55" t="str">
        <f t="shared" ca="1" si="82"/>
        <v/>
      </c>
      <c r="H832" s="50"/>
      <c r="I832" s="55" t="str">
        <f t="shared" ca="1" si="83"/>
        <v/>
      </c>
      <c r="J832" s="50"/>
      <c r="K832" s="55" t="str">
        <f t="shared" ca="1" si="84"/>
        <v/>
      </c>
      <c r="L832" s="64" t="str">
        <f>IF(B832="","",D832+F832+H832+J832+#REF!+#REF!+#REF!+#REF!+#REF!)</f>
        <v/>
      </c>
      <c r="M832" s="55" t="str">
        <f t="shared" ca="1" si="85"/>
        <v/>
      </c>
    </row>
    <row r="833" spans="1:13" ht="19.95" customHeight="1" x14ac:dyDescent="0.25">
      <c r="A833" s="52"/>
      <c r="B833" s="51"/>
      <c r="C833" s="54" t="str">
        <f>IF(B833="","",VLOOKUP(B833,学生信息汇总!A:E,2,0))</f>
        <v/>
      </c>
      <c r="D833" s="50"/>
      <c r="E833" s="55" t="str">
        <f t="shared" ca="1" si="81"/>
        <v/>
      </c>
      <c r="F833" s="51"/>
      <c r="G833" s="55" t="str">
        <f t="shared" ca="1" si="82"/>
        <v/>
      </c>
      <c r="H833" s="50"/>
      <c r="I833" s="55" t="str">
        <f t="shared" ca="1" si="83"/>
        <v/>
      </c>
      <c r="J833" s="50"/>
      <c r="K833" s="55" t="str">
        <f t="shared" ca="1" si="84"/>
        <v/>
      </c>
      <c r="L833" s="64" t="str">
        <f>IF(B833="","",D833+F833+H833+J833+#REF!+#REF!+#REF!+#REF!+#REF!)</f>
        <v/>
      </c>
      <c r="M833" s="55" t="str">
        <f t="shared" ca="1" si="85"/>
        <v/>
      </c>
    </row>
    <row r="834" spans="1:13" ht="19.95" customHeight="1" x14ac:dyDescent="0.25">
      <c r="A834" s="52"/>
      <c r="B834" s="51"/>
      <c r="C834" s="54" t="str">
        <f>IF(B834="","",VLOOKUP(B834,学生信息汇总!A:E,2,0))</f>
        <v/>
      </c>
      <c r="D834" s="50"/>
      <c r="E834" s="55" t="str">
        <f t="shared" ca="1" si="81"/>
        <v/>
      </c>
      <c r="F834" s="51"/>
      <c r="G834" s="55" t="str">
        <f t="shared" ca="1" si="82"/>
        <v/>
      </c>
      <c r="H834" s="50"/>
      <c r="I834" s="55" t="str">
        <f t="shared" ca="1" si="83"/>
        <v/>
      </c>
      <c r="J834" s="50"/>
      <c r="K834" s="55" t="str">
        <f t="shared" ca="1" si="84"/>
        <v/>
      </c>
      <c r="L834" s="64" t="str">
        <f>IF(B834="","",D834+F834+H834+J834+#REF!+#REF!+#REF!+#REF!+#REF!)</f>
        <v/>
      </c>
      <c r="M834" s="55" t="str">
        <f t="shared" ca="1" si="85"/>
        <v/>
      </c>
    </row>
    <row r="835" spans="1:13" ht="19.95" customHeight="1" x14ac:dyDescent="0.25">
      <c r="A835" s="52"/>
      <c r="B835" s="51"/>
      <c r="C835" s="54" t="str">
        <f>IF(B835="","",VLOOKUP(B835,学生信息汇总!A:E,2,0))</f>
        <v/>
      </c>
      <c r="D835" s="50"/>
      <c r="E835" s="55" t="str">
        <f t="shared" ca="1" si="81"/>
        <v/>
      </c>
      <c r="F835" s="51"/>
      <c r="G835" s="55" t="str">
        <f t="shared" ca="1" si="82"/>
        <v/>
      </c>
      <c r="H835" s="50"/>
      <c r="I835" s="55" t="str">
        <f t="shared" ca="1" si="83"/>
        <v/>
      </c>
      <c r="J835" s="50"/>
      <c r="K835" s="55" t="str">
        <f t="shared" ca="1" si="84"/>
        <v/>
      </c>
      <c r="L835" s="64" t="str">
        <f>IF(B835="","",D835+F835+H835+J835+#REF!+#REF!+#REF!+#REF!+#REF!)</f>
        <v/>
      </c>
      <c r="M835" s="55" t="str">
        <f t="shared" ca="1" si="85"/>
        <v/>
      </c>
    </row>
    <row r="836" spans="1:13" ht="19.95" customHeight="1" x14ac:dyDescent="0.25">
      <c r="A836" s="52"/>
      <c r="B836" s="51"/>
      <c r="C836" s="54" t="str">
        <f>IF(B836="","",VLOOKUP(B836,学生信息汇总!A:E,2,0))</f>
        <v/>
      </c>
      <c r="D836" s="50"/>
      <c r="E836" s="55" t="str">
        <f t="shared" ca="1" si="81"/>
        <v/>
      </c>
      <c r="F836" s="51"/>
      <c r="G836" s="55" t="str">
        <f t="shared" ca="1" si="82"/>
        <v/>
      </c>
      <c r="H836" s="50"/>
      <c r="I836" s="55" t="str">
        <f t="shared" ca="1" si="83"/>
        <v/>
      </c>
      <c r="J836" s="50"/>
      <c r="K836" s="55" t="str">
        <f t="shared" ca="1" si="84"/>
        <v/>
      </c>
      <c r="L836" s="64" t="str">
        <f>IF(B836="","",D836+F836+H836+J836+#REF!+#REF!+#REF!+#REF!+#REF!)</f>
        <v/>
      </c>
      <c r="M836" s="55" t="str">
        <f t="shared" ca="1" si="85"/>
        <v/>
      </c>
    </row>
    <row r="837" spans="1:13" ht="19.95" customHeight="1" x14ac:dyDescent="0.25">
      <c r="A837" s="52"/>
      <c r="B837" s="51"/>
      <c r="C837" s="54" t="str">
        <f>IF(B837="","",VLOOKUP(B837,学生信息汇总!A:E,2,0))</f>
        <v/>
      </c>
      <c r="D837" s="50"/>
      <c r="E837" s="55" t="str">
        <f t="shared" ca="1" si="81"/>
        <v/>
      </c>
      <c r="F837" s="51"/>
      <c r="G837" s="55" t="str">
        <f t="shared" ca="1" si="82"/>
        <v/>
      </c>
      <c r="H837" s="50"/>
      <c r="I837" s="55" t="str">
        <f t="shared" ca="1" si="83"/>
        <v/>
      </c>
      <c r="J837" s="50"/>
      <c r="K837" s="55" t="str">
        <f t="shared" ca="1" si="84"/>
        <v/>
      </c>
      <c r="L837" s="64" t="str">
        <f>IF(B837="","",D837+F837+H837+J837+#REF!+#REF!+#REF!+#REF!+#REF!)</f>
        <v/>
      </c>
      <c r="M837" s="55" t="str">
        <f t="shared" ca="1" si="85"/>
        <v/>
      </c>
    </row>
    <row r="838" spans="1:13" ht="19.95" customHeight="1" x14ac:dyDescent="0.25">
      <c r="A838" s="52"/>
      <c r="B838" s="51"/>
      <c r="C838" s="54" t="str">
        <f>IF(B838="","",VLOOKUP(B838,学生信息汇总!A:E,2,0))</f>
        <v/>
      </c>
      <c r="D838" s="50"/>
      <c r="E838" s="55" t="str">
        <f t="shared" ca="1" si="81"/>
        <v/>
      </c>
      <c r="F838" s="51"/>
      <c r="G838" s="55" t="str">
        <f t="shared" ca="1" si="82"/>
        <v/>
      </c>
      <c r="H838" s="50"/>
      <c r="I838" s="55" t="str">
        <f t="shared" ca="1" si="83"/>
        <v/>
      </c>
      <c r="J838" s="50"/>
      <c r="K838" s="55" t="str">
        <f t="shared" ca="1" si="84"/>
        <v/>
      </c>
      <c r="L838" s="64" t="str">
        <f>IF(B838="","",D838+F838+H838+J838+#REF!+#REF!+#REF!+#REF!+#REF!)</f>
        <v/>
      </c>
      <c r="M838" s="55" t="str">
        <f t="shared" ca="1" si="85"/>
        <v/>
      </c>
    </row>
    <row r="839" spans="1:13" ht="19.95" customHeight="1" x14ac:dyDescent="0.25">
      <c r="A839" s="52"/>
      <c r="B839" s="51"/>
      <c r="C839" s="54" t="str">
        <f>IF(B839="","",VLOOKUP(B839,学生信息汇总!A:E,2,0))</f>
        <v/>
      </c>
      <c r="D839" s="50"/>
      <c r="E839" s="55" t="str">
        <f t="shared" ca="1" si="81"/>
        <v/>
      </c>
      <c r="F839" s="51"/>
      <c r="G839" s="55" t="str">
        <f t="shared" ca="1" si="82"/>
        <v/>
      </c>
      <c r="H839" s="50"/>
      <c r="I839" s="55" t="str">
        <f t="shared" ca="1" si="83"/>
        <v/>
      </c>
      <c r="J839" s="50"/>
      <c r="K839" s="55" t="str">
        <f t="shared" ca="1" si="84"/>
        <v/>
      </c>
      <c r="L839" s="64" t="str">
        <f>IF(B839="","",D839+F839+H839+J839+#REF!+#REF!+#REF!+#REF!+#REF!)</f>
        <v/>
      </c>
      <c r="M839" s="55" t="str">
        <f t="shared" ca="1" si="85"/>
        <v/>
      </c>
    </row>
    <row r="840" spans="1:13" ht="19.95" customHeight="1" x14ac:dyDescent="0.25">
      <c r="A840" s="52"/>
      <c r="B840" s="51"/>
      <c r="C840" s="54" t="str">
        <f>IF(B840="","",VLOOKUP(B840,学生信息汇总!A:E,2,0))</f>
        <v/>
      </c>
      <c r="D840" s="50"/>
      <c r="E840" s="55" t="str">
        <f t="shared" ca="1" si="81"/>
        <v/>
      </c>
      <c r="F840" s="51"/>
      <c r="G840" s="55" t="str">
        <f t="shared" ca="1" si="82"/>
        <v/>
      </c>
      <c r="H840" s="50"/>
      <c r="I840" s="55" t="str">
        <f t="shared" ca="1" si="83"/>
        <v/>
      </c>
      <c r="J840" s="50"/>
      <c r="K840" s="55" t="str">
        <f t="shared" ca="1" si="84"/>
        <v/>
      </c>
      <c r="L840" s="64" t="str">
        <f>IF(B840="","",D840+F840+H840+J840+#REF!+#REF!+#REF!+#REF!+#REF!)</f>
        <v/>
      </c>
      <c r="M840" s="55" t="str">
        <f t="shared" ca="1" si="85"/>
        <v/>
      </c>
    </row>
    <row r="841" spans="1:13" ht="19.95" customHeight="1" x14ac:dyDescent="0.25">
      <c r="A841" s="52"/>
      <c r="B841" s="51"/>
      <c r="C841" s="54" t="str">
        <f>IF(B841="","",VLOOKUP(B841,学生信息汇总!A:E,2,0))</f>
        <v/>
      </c>
      <c r="D841" s="50"/>
      <c r="E841" s="55" t="str">
        <f t="shared" ca="1" si="81"/>
        <v/>
      </c>
      <c r="F841" s="51"/>
      <c r="G841" s="55" t="str">
        <f t="shared" ca="1" si="82"/>
        <v/>
      </c>
      <c r="H841" s="50"/>
      <c r="I841" s="55" t="str">
        <f t="shared" ca="1" si="83"/>
        <v/>
      </c>
      <c r="J841" s="50"/>
      <c r="K841" s="55" t="str">
        <f t="shared" ca="1" si="84"/>
        <v/>
      </c>
      <c r="L841" s="64" t="str">
        <f>IF(B841="","",D841+F841+H841+J841+#REF!+#REF!+#REF!+#REF!+#REF!)</f>
        <v/>
      </c>
      <c r="M841" s="55" t="str">
        <f t="shared" ca="1" si="85"/>
        <v/>
      </c>
    </row>
    <row r="842" spans="1:13" ht="19.95" customHeight="1" x14ac:dyDescent="0.25">
      <c r="A842" s="52"/>
      <c r="B842" s="51"/>
      <c r="C842" s="54" t="str">
        <f>IF(B842="","",VLOOKUP(B842,学生信息汇总!A:E,2,0))</f>
        <v/>
      </c>
      <c r="D842" s="50"/>
      <c r="E842" s="55" t="str">
        <f t="shared" ca="1" si="81"/>
        <v/>
      </c>
      <c r="F842" s="51"/>
      <c r="G842" s="55" t="str">
        <f t="shared" ca="1" si="82"/>
        <v/>
      </c>
      <c r="H842" s="50"/>
      <c r="I842" s="55" t="str">
        <f t="shared" ca="1" si="83"/>
        <v/>
      </c>
      <c r="J842" s="50"/>
      <c r="K842" s="55" t="str">
        <f t="shared" ca="1" si="84"/>
        <v/>
      </c>
      <c r="L842" s="64" t="str">
        <f>IF(B842="","",D842+F842+H842+J842+#REF!+#REF!+#REF!+#REF!+#REF!)</f>
        <v/>
      </c>
      <c r="M842" s="55" t="str">
        <f t="shared" ca="1" si="85"/>
        <v/>
      </c>
    </row>
    <row r="843" spans="1:13" ht="19.95" customHeight="1" x14ac:dyDescent="0.25">
      <c r="A843" s="52"/>
      <c r="B843" s="51"/>
      <c r="C843" s="54" t="str">
        <f>IF(B843="","",VLOOKUP(B843,学生信息汇总!A:E,2,0))</f>
        <v/>
      </c>
      <c r="D843" s="50"/>
      <c r="E843" s="55" t="str">
        <f t="shared" ca="1" si="81"/>
        <v/>
      </c>
      <c r="F843" s="51"/>
      <c r="G843" s="55" t="str">
        <f t="shared" ca="1" si="82"/>
        <v/>
      </c>
      <c r="H843" s="50"/>
      <c r="I843" s="55" t="str">
        <f t="shared" ca="1" si="83"/>
        <v/>
      </c>
      <c r="J843" s="50"/>
      <c r="K843" s="55" t="str">
        <f t="shared" ca="1" si="84"/>
        <v/>
      </c>
      <c r="L843" s="64" t="str">
        <f>IF(B843="","",D843+F843+H843+J843+#REF!+#REF!+#REF!+#REF!+#REF!)</f>
        <v/>
      </c>
      <c r="M843" s="55" t="str">
        <f t="shared" ca="1" si="85"/>
        <v/>
      </c>
    </row>
    <row r="844" spans="1:13" ht="19.95" customHeight="1" x14ac:dyDescent="0.25">
      <c r="A844" s="52"/>
      <c r="B844" s="51"/>
      <c r="C844" s="54" t="str">
        <f>IF(B844="","",VLOOKUP(B844,学生信息汇总!A:E,2,0))</f>
        <v/>
      </c>
      <c r="D844" s="50"/>
      <c r="E844" s="55" t="str">
        <f t="shared" ca="1" si="81"/>
        <v/>
      </c>
      <c r="F844" s="51"/>
      <c r="G844" s="55" t="str">
        <f t="shared" ca="1" si="82"/>
        <v/>
      </c>
      <c r="H844" s="50"/>
      <c r="I844" s="55" t="str">
        <f t="shared" ca="1" si="83"/>
        <v/>
      </c>
      <c r="J844" s="50"/>
      <c r="K844" s="55" t="str">
        <f t="shared" ca="1" si="84"/>
        <v/>
      </c>
      <c r="L844" s="64" t="str">
        <f>IF(B844="","",D844+F844+H844+J844+#REF!+#REF!+#REF!+#REF!+#REF!)</f>
        <v/>
      </c>
      <c r="M844" s="55" t="str">
        <f t="shared" ca="1" si="85"/>
        <v/>
      </c>
    </row>
    <row r="845" spans="1:13" ht="19.95" customHeight="1" x14ac:dyDescent="0.25">
      <c r="A845" s="52"/>
      <c r="B845" s="51"/>
      <c r="C845" s="54" t="str">
        <f>IF(B845="","",VLOOKUP(B845,学生信息汇总!A:E,2,0))</f>
        <v/>
      </c>
      <c r="D845" s="50"/>
      <c r="E845" s="55" t="str">
        <f t="shared" ca="1" si="81"/>
        <v/>
      </c>
      <c r="F845" s="51"/>
      <c r="G845" s="55" t="str">
        <f t="shared" ca="1" si="82"/>
        <v/>
      </c>
      <c r="H845" s="50"/>
      <c r="I845" s="55" t="str">
        <f t="shared" ca="1" si="83"/>
        <v/>
      </c>
      <c r="J845" s="50"/>
      <c r="K845" s="55" t="str">
        <f t="shared" ca="1" si="84"/>
        <v/>
      </c>
      <c r="L845" s="64" t="str">
        <f>IF(B845="","",D845+F845+H845+J845+#REF!+#REF!+#REF!+#REF!+#REF!)</f>
        <v/>
      </c>
      <c r="M845" s="55" t="str">
        <f t="shared" ca="1" si="85"/>
        <v/>
      </c>
    </row>
    <row r="846" spans="1:13" ht="19.95" customHeight="1" x14ac:dyDescent="0.25">
      <c r="A846" s="52"/>
      <c r="B846" s="51"/>
      <c r="C846" s="54" t="str">
        <f>IF(B846="","",VLOOKUP(B846,学生信息汇总!A:E,2,0))</f>
        <v/>
      </c>
      <c r="D846" s="50"/>
      <c r="E846" s="55" t="str">
        <f t="shared" ca="1" si="81"/>
        <v/>
      </c>
      <c r="F846" s="51"/>
      <c r="G846" s="55" t="str">
        <f t="shared" ca="1" si="82"/>
        <v/>
      </c>
      <c r="H846" s="50"/>
      <c r="I846" s="55" t="str">
        <f t="shared" ca="1" si="83"/>
        <v/>
      </c>
      <c r="J846" s="50"/>
      <c r="K846" s="55" t="str">
        <f t="shared" ca="1" si="84"/>
        <v/>
      </c>
      <c r="L846" s="64" t="str">
        <f>IF(B846="","",D846+F846+H846+J846+#REF!+#REF!+#REF!+#REF!+#REF!)</f>
        <v/>
      </c>
      <c r="M846" s="55" t="str">
        <f t="shared" ca="1" si="85"/>
        <v/>
      </c>
    </row>
    <row r="847" spans="1:13" ht="19.95" customHeight="1" x14ac:dyDescent="0.25">
      <c r="A847" s="52"/>
      <c r="B847" s="51"/>
      <c r="C847" s="54" t="str">
        <f>IF(B847="","",VLOOKUP(B847,学生信息汇总!A:E,2,0))</f>
        <v/>
      </c>
      <c r="D847" s="50"/>
      <c r="E847" s="55" t="str">
        <f t="shared" ca="1" si="81"/>
        <v/>
      </c>
      <c r="F847" s="51"/>
      <c r="G847" s="55" t="str">
        <f t="shared" ca="1" si="82"/>
        <v/>
      </c>
      <c r="H847" s="50"/>
      <c r="I847" s="55" t="str">
        <f t="shared" ca="1" si="83"/>
        <v/>
      </c>
      <c r="J847" s="50"/>
      <c r="K847" s="55" t="str">
        <f t="shared" ca="1" si="84"/>
        <v/>
      </c>
      <c r="L847" s="64" t="str">
        <f>IF(B847="","",D847+F847+H847+J847+#REF!+#REF!+#REF!+#REF!+#REF!)</f>
        <v/>
      </c>
      <c r="M847" s="55" t="str">
        <f t="shared" ca="1" si="85"/>
        <v/>
      </c>
    </row>
    <row r="848" spans="1:13" ht="19.95" customHeight="1" x14ac:dyDescent="0.25">
      <c r="A848" s="52"/>
      <c r="B848" s="51"/>
      <c r="C848" s="54" t="str">
        <f>IF(B848="","",VLOOKUP(B848,学生信息汇总!A:E,2,0))</f>
        <v/>
      </c>
      <c r="D848" s="50"/>
      <c r="E848" s="55" t="str">
        <f t="shared" ca="1" si="81"/>
        <v/>
      </c>
      <c r="F848" s="51"/>
      <c r="G848" s="55" t="str">
        <f t="shared" ca="1" si="82"/>
        <v/>
      </c>
      <c r="H848" s="50"/>
      <c r="I848" s="55" t="str">
        <f t="shared" ca="1" si="83"/>
        <v/>
      </c>
      <c r="J848" s="50"/>
      <c r="K848" s="55" t="str">
        <f t="shared" ca="1" si="84"/>
        <v/>
      </c>
      <c r="L848" s="64" t="str">
        <f>IF(B848="","",D848+F848+H848+J848+#REF!+#REF!+#REF!+#REF!+#REF!)</f>
        <v/>
      </c>
      <c r="M848" s="55" t="str">
        <f t="shared" ca="1" si="85"/>
        <v/>
      </c>
    </row>
    <row r="849" spans="1:13" ht="19.95" customHeight="1" x14ac:dyDescent="0.25">
      <c r="A849" s="52"/>
      <c r="B849" s="51"/>
      <c r="C849" s="54" t="str">
        <f>IF(B849="","",VLOOKUP(B849,学生信息汇总!A:E,2,0))</f>
        <v/>
      </c>
      <c r="D849" s="50"/>
      <c r="E849" s="55" t="str">
        <f t="shared" ca="1" si="81"/>
        <v/>
      </c>
      <c r="F849" s="51"/>
      <c r="G849" s="55" t="str">
        <f t="shared" ca="1" si="82"/>
        <v/>
      </c>
      <c r="H849" s="50"/>
      <c r="I849" s="55" t="str">
        <f t="shared" ca="1" si="83"/>
        <v/>
      </c>
      <c r="J849" s="50"/>
      <c r="K849" s="55" t="str">
        <f t="shared" ca="1" si="84"/>
        <v/>
      </c>
      <c r="L849" s="64" t="str">
        <f>IF(B849="","",D849+F849+H849+J849+#REF!+#REF!+#REF!+#REF!+#REF!)</f>
        <v/>
      </c>
      <c r="M849" s="55" t="str">
        <f t="shared" ca="1" si="85"/>
        <v/>
      </c>
    </row>
    <row r="850" spans="1:13" ht="19.95" customHeight="1" x14ac:dyDescent="0.25">
      <c r="A850" s="52"/>
      <c r="B850" s="51"/>
      <c r="C850" s="54" t="str">
        <f>IF(B850="","",VLOOKUP(B850,学生信息汇总!A:E,2,0))</f>
        <v/>
      </c>
      <c r="D850" s="50"/>
      <c r="E850" s="55" t="str">
        <f t="shared" ca="1" si="81"/>
        <v/>
      </c>
      <c r="F850" s="51"/>
      <c r="G850" s="55" t="str">
        <f t="shared" ca="1" si="82"/>
        <v/>
      </c>
      <c r="H850" s="50"/>
      <c r="I850" s="55" t="str">
        <f t="shared" ca="1" si="83"/>
        <v/>
      </c>
      <c r="J850" s="50"/>
      <c r="K850" s="55" t="str">
        <f t="shared" ca="1" si="84"/>
        <v/>
      </c>
      <c r="L850" s="64" t="str">
        <f>IF(B850="","",D850+F850+H850+J850+#REF!+#REF!+#REF!+#REF!+#REF!)</f>
        <v/>
      </c>
      <c r="M850" s="55" t="str">
        <f t="shared" ca="1" si="85"/>
        <v/>
      </c>
    </row>
    <row r="851" spans="1:13" ht="19.95" customHeight="1" x14ac:dyDescent="0.25">
      <c r="A851" s="52"/>
      <c r="B851" s="51"/>
      <c r="C851" s="54" t="str">
        <f>IF(B851="","",VLOOKUP(B851,学生信息汇总!A:E,2,0))</f>
        <v/>
      </c>
      <c r="D851" s="50"/>
      <c r="E851" s="55" t="str">
        <f t="shared" ca="1" si="81"/>
        <v/>
      </c>
      <c r="F851" s="51"/>
      <c r="G851" s="55" t="str">
        <f t="shared" ca="1" si="82"/>
        <v/>
      </c>
      <c r="H851" s="50"/>
      <c r="I851" s="55" t="str">
        <f t="shared" ca="1" si="83"/>
        <v/>
      </c>
      <c r="J851" s="50"/>
      <c r="K851" s="55" t="str">
        <f t="shared" ca="1" si="84"/>
        <v/>
      </c>
      <c r="L851" s="64" t="str">
        <f>IF(B851="","",D851+F851+H851+J851+#REF!+#REF!+#REF!+#REF!+#REF!)</f>
        <v/>
      </c>
      <c r="M851" s="55" t="str">
        <f t="shared" ca="1" si="85"/>
        <v/>
      </c>
    </row>
    <row r="852" spans="1:13" ht="19.95" customHeight="1" x14ac:dyDescent="0.25">
      <c r="A852" s="52"/>
      <c r="B852" s="51"/>
      <c r="C852" s="54" t="str">
        <f>IF(B852="","",VLOOKUP(B852,学生信息汇总!A:E,2,0))</f>
        <v/>
      </c>
      <c r="D852" s="50"/>
      <c r="E852" s="55" t="str">
        <f t="shared" ca="1" si="81"/>
        <v/>
      </c>
      <c r="F852" s="51"/>
      <c r="G852" s="55" t="str">
        <f t="shared" ca="1" si="82"/>
        <v/>
      </c>
      <c r="H852" s="50"/>
      <c r="I852" s="55" t="str">
        <f t="shared" ca="1" si="83"/>
        <v/>
      </c>
      <c r="J852" s="50"/>
      <c r="K852" s="55" t="str">
        <f t="shared" ca="1" si="84"/>
        <v/>
      </c>
      <c r="L852" s="64" t="str">
        <f>IF(B852="","",D852+F852+H852+J852+#REF!+#REF!+#REF!+#REF!+#REF!)</f>
        <v/>
      </c>
      <c r="M852" s="55" t="str">
        <f t="shared" ca="1" si="85"/>
        <v/>
      </c>
    </row>
    <row r="853" spans="1:13" ht="19.95" customHeight="1" x14ac:dyDescent="0.25">
      <c r="A853" s="52"/>
      <c r="B853" s="51"/>
      <c r="C853" s="54" t="str">
        <f>IF(B853="","",VLOOKUP(B853,学生信息汇总!A:E,2,0))</f>
        <v/>
      </c>
      <c r="D853" s="50"/>
      <c r="E853" s="55" t="str">
        <f t="shared" ca="1" si="81"/>
        <v/>
      </c>
      <c r="F853" s="51"/>
      <c r="G853" s="55" t="str">
        <f t="shared" ca="1" si="82"/>
        <v/>
      </c>
      <c r="H853" s="50"/>
      <c r="I853" s="55" t="str">
        <f t="shared" ca="1" si="83"/>
        <v/>
      </c>
      <c r="J853" s="50"/>
      <c r="K853" s="55" t="str">
        <f t="shared" ca="1" si="84"/>
        <v/>
      </c>
      <c r="L853" s="64" t="str">
        <f>IF(B853="","",D853+F853+H853+J853+#REF!+#REF!+#REF!+#REF!+#REF!)</f>
        <v/>
      </c>
      <c r="M853" s="55" t="str">
        <f t="shared" ca="1" si="85"/>
        <v/>
      </c>
    </row>
    <row r="854" spans="1:13" ht="19.95" customHeight="1" x14ac:dyDescent="0.25">
      <c r="A854" s="52"/>
      <c r="B854" s="51"/>
      <c r="C854" s="54" t="str">
        <f>IF(B854="","",VLOOKUP(B854,学生信息汇总!A:E,2,0))</f>
        <v/>
      </c>
      <c r="D854" s="50"/>
      <c r="E854" s="55" t="str">
        <f t="shared" ca="1" si="81"/>
        <v/>
      </c>
      <c r="F854" s="51"/>
      <c r="G854" s="55" t="str">
        <f t="shared" ca="1" si="82"/>
        <v/>
      </c>
      <c r="H854" s="50"/>
      <c r="I854" s="55" t="str">
        <f t="shared" ca="1" si="83"/>
        <v/>
      </c>
      <c r="J854" s="50"/>
      <c r="K854" s="55" t="str">
        <f t="shared" ca="1" si="84"/>
        <v/>
      </c>
      <c r="L854" s="64" t="str">
        <f>IF(B854="","",D854+F854+H854+J854+#REF!+#REF!+#REF!+#REF!+#REF!)</f>
        <v/>
      </c>
      <c r="M854" s="55" t="str">
        <f t="shared" ca="1" si="85"/>
        <v/>
      </c>
    </row>
    <row r="855" spans="1:13" ht="19.95" customHeight="1" x14ac:dyDescent="0.25">
      <c r="A855" s="52"/>
      <c r="B855" s="51"/>
      <c r="C855" s="54" t="str">
        <f>IF(B855="","",VLOOKUP(B855,学生信息汇总!A:E,2,0))</f>
        <v/>
      </c>
      <c r="D855" s="50"/>
      <c r="E855" s="55" t="str">
        <f t="shared" ca="1" si="81"/>
        <v/>
      </c>
      <c r="F855" s="51"/>
      <c r="G855" s="55" t="str">
        <f t="shared" ca="1" si="82"/>
        <v/>
      </c>
      <c r="H855" s="50"/>
      <c r="I855" s="55" t="str">
        <f t="shared" ca="1" si="83"/>
        <v/>
      </c>
      <c r="J855" s="50"/>
      <c r="K855" s="55" t="str">
        <f t="shared" ca="1" si="84"/>
        <v/>
      </c>
      <c r="L855" s="64" t="str">
        <f>IF(B855="","",D855+F855+H855+J855+#REF!+#REF!+#REF!+#REF!+#REF!)</f>
        <v/>
      </c>
      <c r="M855" s="55" t="str">
        <f t="shared" ca="1" si="85"/>
        <v/>
      </c>
    </row>
    <row r="856" spans="1:13" ht="19.95" customHeight="1" x14ac:dyDescent="0.25">
      <c r="A856" s="52"/>
      <c r="B856" s="51"/>
      <c r="C856" s="54" t="str">
        <f>IF(B856="","",VLOOKUP(B856,学生信息汇总!A:E,2,0))</f>
        <v/>
      </c>
      <c r="D856" s="50"/>
      <c r="E856" s="55" t="str">
        <f t="shared" ca="1" si="81"/>
        <v/>
      </c>
      <c r="F856" s="51"/>
      <c r="G856" s="55" t="str">
        <f t="shared" ca="1" si="82"/>
        <v/>
      </c>
      <c r="H856" s="50"/>
      <c r="I856" s="55" t="str">
        <f t="shared" ca="1" si="83"/>
        <v/>
      </c>
      <c r="J856" s="50"/>
      <c r="K856" s="55" t="str">
        <f t="shared" ca="1" si="84"/>
        <v/>
      </c>
      <c r="L856" s="64" t="str">
        <f>IF(B856="","",D856+F856+H856+J856+#REF!+#REF!+#REF!+#REF!+#REF!)</f>
        <v/>
      </c>
      <c r="M856" s="55" t="str">
        <f t="shared" ca="1" si="85"/>
        <v/>
      </c>
    </row>
    <row r="857" spans="1:13" ht="19.95" customHeight="1" x14ac:dyDescent="0.25">
      <c r="A857" s="52"/>
      <c r="B857" s="51"/>
      <c r="C857" s="54" t="str">
        <f>IF(B857="","",VLOOKUP(B857,学生信息汇总!A:E,2,0))</f>
        <v/>
      </c>
      <c r="D857" s="50"/>
      <c r="E857" s="55" t="str">
        <f t="shared" ca="1" si="81"/>
        <v/>
      </c>
      <c r="F857" s="51"/>
      <c r="G857" s="55" t="str">
        <f t="shared" ca="1" si="82"/>
        <v/>
      </c>
      <c r="H857" s="50"/>
      <c r="I857" s="55" t="str">
        <f t="shared" ca="1" si="83"/>
        <v/>
      </c>
      <c r="J857" s="50"/>
      <c r="K857" s="55" t="str">
        <f t="shared" ca="1" si="84"/>
        <v/>
      </c>
      <c r="L857" s="64" t="str">
        <f>IF(B857="","",D857+F857+H857+J857+#REF!+#REF!+#REF!+#REF!+#REF!)</f>
        <v/>
      </c>
      <c r="M857" s="55" t="str">
        <f t="shared" ca="1" si="85"/>
        <v/>
      </c>
    </row>
    <row r="858" spans="1:13" ht="19.95" customHeight="1" x14ac:dyDescent="0.25">
      <c r="A858" s="52"/>
      <c r="B858" s="51"/>
      <c r="C858" s="54" t="str">
        <f>IF(B858="","",VLOOKUP(B858,学生信息汇总!A:E,2,0))</f>
        <v/>
      </c>
      <c r="D858" s="50"/>
      <c r="E858" s="55" t="str">
        <f t="shared" ca="1" si="81"/>
        <v/>
      </c>
      <c r="F858" s="51"/>
      <c r="G858" s="55" t="str">
        <f t="shared" ca="1" si="82"/>
        <v/>
      </c>
      <c r="H858" s="50"/>
      <c r="I858" s="55" t="str">
        <f t="shared" ca="1" si="83"/>
        <v/>
      </c>
      <c r="J858" s="50"/>
      <c r="K858" s="55" t="str">
        <f t="shared" ca="1" si="84"/>
        <v/>
      </c>
      <c r="L858" s="64" t="str">
        <f>IF(B858="","",D858+F858+H858+J858+#REF!+#REF!+#REF!+#REF!+#REF!)</f>
        <v/>
      </c>
      <c r="M858" s="55" t="str">
        <f t="shared" ca="1" si="85"/>
        <v/>
      </c>
    </row>
    <row r="859" spans="1:13" ht="19.95" customHeight="1" x14ac:dyDescent="0.25">
      <c r="A859" s="52"/>
      <c r="B859" s="51"/>
      <c r="C859" s="54" t="str">
        <f>IF(B859="","",VLOOKUP(B859,学生信息汇总!A:E,2,0))</f>
        <v/>
      </c>
      <c r="D859" s="50"/>
      <c r="E859" s="55" t="str">
        <f t="shared" ca="1" si="81"/>
        <v/>
      </c>
      <c r="F859" s="51"/>
      <c r="G859" s="55" t="str">
        <f t="shared" ca="1" si="82"/>
        <v/>
      </c>
      <c r="H859" s="50"/>
      <c r="I859" s="55" t="str">
        <f t="shared" ca="1" si="83"/>
        <v/>
      </c>
      <c r="J859" s="50"/>
      <c r="K859" s="55" t="str">
        <f t="shared" ca="1" si="84"/>
        <v/>
      </c>
      <c r="L859" s="64" t="str">
        <f>IF(B859="","",D859+F859+H859+J859+#REF!+#REF!+#REF!+#REF!+#REF!)</f>
        <v/>
      </c>
      <c r="M859" s="55" t="str">
        <f t="shared" ca="1" si="85"/>
        <v/>
      </c>
    </row>
    <row r="860" spans="1:13" ht="19.95" customHeight="1" x14ac:dyDescent="0.25">
      <c r="A860" s="52"/>
      <c r="B860" s="51"/>
      <c r="C860" s="54" t="str">
        <f>IF(B860="","",VLOOKUP(B860,学生信息汇总!A:E,2,0))</f>
        <v/>
      </c>
      <c r="D860" s="50"/>
      <c r="E860" s="55" t="str">
        <f t="shared" ca="1" si="81"/>
        <v/>
      </c>
      <c r="F860" s="51"/>
      <c r="G860" s="55" t="str">
        <f t="shared" ca="1" si="82"/>
        <v/>
      </c>
      <c r="H860" s="50"/>
      <c r="I860" s="55" t="str">
        <f t="shared" ca="1" si="83"/>
        <v/>
      </c>
      <c r="J860" s="50"/>
      <c r="K860" s="55" t="str">
        <f t="shared" ca="1" si="84"/>
        <v/>
      </c>
      <c r="L860" s="64" t="str">
        <f>IF(B860="","",D860+F860+H860+J860+#REF!+#REF!+#REF!+#REF!+#REF!)</f>
        <v/>
      </c>
      <c r="M860" s="55" t="str">
        <f t="shared" ca="1" si="85"/>
        <v/>
      </c>
    </row>
    <row r="861" spans="1:13" ht="19.95" customHeight="1" x14ac:dyDescent="0.25">
      <c r="A861" s="52"/>
      <c r="B861" s="51"/>
      <c r="C861" s="54" t="str">
        <f>IF(B861="","",VLOOKUP(B861,学生信息汇总!A:E,2,0))</f>
        <v/>
      </c>
      <c r="D861" s="50"/>
      <c r="E861" s="55" t="str">
        <f t="shared" ca="1" si="81"/>
        <v/>
      </c>
      <c r="F861" s="51"/>
      <c r="G861" s="55" t="str">
        <f t="shared" ca="1" si="82"/>
        <v/>
      </c>
      <c r="H861" s="50"/>
      <c r="I861" s="55" t="str">
        <f t="shared" ca="1" si="83"/>
        <v/>
      </c>
      <c r="J861" s="50"/>
      <c r="K861" s="55" t="str">
        <f t="shared" ca="1" si="84"/>
        <v/>
      </c>
      <c r="L861" s="64" t="str">
        <f>IF(B861="","",D861+F861+H861+J861+#REF!+#REF!+#REF!+#REF!+#REF!)</f>
        <v/>
      </c>
      <c r="M861" s="55" t="str">
        <f t="shared" ca="1" si="85"/>
        <v/>
      </c>
    </row>
    <row r="862" spans="1:13" ht="19.95" customHeight="1" x14ac:dyDescent="0.25">
      <c r="A862" s="52"/>
      <c r="B862" s="51"/>
      <c r="C862" s="54" t="str">
        <f>IF(B862="","",VLOOKUP(B862,学生信息汇总!A:E,2,0))</f>
        <v/>
      </c>
      <c r="D862" s="50"/>
      <c r="E862" s="55" t="str">
        <f t="shared" ca="1" si="81"/>
        <v/>
      </c>
      <c r="F862" s="51"/>
      <c r="G862" s="55" t="str">
        <f t="shared" ca="1" si="82"/>
        <v/>
      </c>
      <c r="H862" s="50"/>
      <c r="I862" s="55" t="str">
        <f t="shared" ca="1" si="83"/>
        <v/>
      </c>
      <c r="J862" s="50"/>
      <c r="K862" s="55" t="str">
        <f t="shared" ca="1" si="84"/>
        <v/>
      </c>
      <c r="L862" s="64" t="str">
        <f>IF(B862="","",D862+F862+H862+J862+#REF!+#REF!+#REF!+#REF!+#REF!)</f>
        <v/>
      </c>
      <c r="M862" s="55" t="str">
        <f t="shared" ca="1" si="85"/>
        <v/>
      </c>
    </row>
    <row r="863" spans="1:13" ht="19.95" customHeight="1" x14ac:dyDescent="0.25">
      <c r="A863" s="52"/>
      <c r="B863" s="51"/>
      <c r="C863" s="54" t="str">
        <f>IF(B863="","",VLOOKUP(B863,学生信息汇总!A:E,2,0))</f>
        <v/>
      </c>
      <c r="D863" s="50"/>
      <c r="E863" s="55" t="str">
        <f t="shared" ca="1" si="81"/>
        <v/>
      </c>
      <c r="F863" s="51"/>
      <c r="G863" s="55" t="str">
        <f t="shared" ca="1" si="82"/>
        <v/>
      </c>
      <c r="H863" s="50"/>
      <c r="I863" s="55" t="str">
        <f t="shared" ca="1" si="83"/>
        <v/>
      </c>
      <c r="J863" s="50"/>
      <c r="K863" s="55" t="str">
        <f t="shared" ca="1" si="84"/>
        <v/>
      </c>
      <c r="L863" s="64" t="str">
        <f>IF(B863="","",D863+F863+H863+J863+#REF!+#REF!+#REF!+#REF!+#REF!)</f>
        <v/>
      </c>
      <c r="M863" s="55" t="str">
        <f t="shared" ca="1" si="85"/>
        <v/>
      </c>
    </row>
    <row r="864" spans="1:13" ht="19.95" customHeight="1" x14ac:dyDescent="0.25">
      <c r="A864" s="52"/>
      <c r="B864" s="51"/>
      <c r="C864" s="54" t="str">
        <f>IF(B864="","",VLOOKUP(B864,学生信息汇总!A:E,2,0))</f>
        <v/>
      </c>
      <c r="D864" s="50"/>
      <c r="E864" s="55" t="str">
        <f t="shared" ca="1" si="81"/>
        <v/>
      </c>
      <c r="F864" s="51"/>
      <c r="G864" s="55" t="str">
        <f t="shared" ca="1" si="82"/>
        <v/>
      </c>
      <c r="H864" s="50"/>
      <c r="I864" s="55" t="str">
        <f t="shared" ca="1" si="83"/>
        <v/>
      </c>
      <c r="J864" s="50"/>
      <c r="K864" s="55" t="str">
        <f t="shared" ca="1" si="84"/>
        <v/>
      </c>
      <c r="L864" s="64" t="str">
        <f>IF(B864="","",D864+F864+H864+J864+#REF!+#REF!+#REF!+#REF!+#REF!)</f>
        <v/>
      </c>
      <c r="M864" s="55" t="str">
        <f t="shared" ca="1" si="85"/>
        <v/>
      </c>
    </row>
    <row r="865" spans="1:13" ht="19.95" customHeight="1" x14ac:dyDescent="0.25">
      <c r="A865" s="52"/>
      <c r="B865" s="51"/>
      <c r="C865" s="54" t="str">
        <f>IF(B865="","",VLOOKUP(B865,学生信息汇总!A:E,2,0))</f>
        <v/>
      </c>
      <c r="D865" s="50"/>
      <c r="E865" s="55" t="str">
        <f t="shared" ca="1" si="81"/>
        <v/>
      </c>
      <c r="F865" s="51"/>
      <c r="G865" s="55" t="str">
        <f t="shared" ca="1" si="82"/>
        <v/>
      </c>
      <c r="H865" s="50"/>
      <c r="I865" s="55" t="str">
        <f t="shared" ca="1" si="83"/>
        <v/>
      </c>
      <c r="J865" s="50"/>
      <c r="K865" s="55" t="str">
        <f t="shared" ca="1" si="84"/>
        <v/>
      </c>
      <c r="L865" s="64" t="str">
        <f>IF(B865="","",D865+F865+H865+J865+#REF!+#REF!+#REF!+#REF!+#REF!)</f>
        <v/>
      </c>
      <c r="M865" s="55" t="str">
        <f t="shared" ca="1" si="85"/>
        <v/>
      </c>
    </row>
    <row r="866" spans="1:13" ht="19.95" customHeight="1" x14ac:dyDescent="0.25">
      <c r="A866" s="52"/>
      <c r="B866" s="51"/>
      <c r="C866" s="54" t="str">
        <f>IF(B866="","",VLOOKUP(B866,学生信息汇总!A:E,2,0))</f>
        <v/>
      </c>
      <c r="D866" s="50"/>
      <c r="E866" s="55" t="str">
        <f t="shared" ca="1" si="81"/>
        <v/>
      </c>
      <c r="F866" s="51"/>
      <c r="G866" s="55" t="str">
        <f t="shared" ca="1" si="82"/>
        <v/>
      </c>
      <c r="H866" s="50"/>
      <c r="I866" s="55" t="str">
        <f t="shared" ca="1" si="83"/>
        <v/>
      </c>
      <c r="J866" s="50"/>
      <c r="K866" s="55" t="str">
        <f t="shared" ca="1" si="84"/>
        <v/>
      </c>
      <c r="L866" s="64" t="str">
        <f>IF(B866="","",D866+F866+H866+J866+#REF!+#REF!+#REF!+#REF!+#REF!)</f>
        <v/>
      </c>
      <c r="M866" s="55" t="str">
        <f t="shared" ca="1" si="85"/>
        <v/>
      </c>
    </row>
    <row r="867" spans="1:13" ht="19.95" customHeight="1" x14ac:dyDescent="0.25">
      <c r="A867" s="52"/>
      <c r="B867" s="51"/>
      <c r="C867" s="54" t="str">
        <f>IF(B867="","",VLOOKUP(B867,学生信息汇总!A:E,2,0))</f>
        <v/>
      </c>
      <c r="D867" s="50"/>
      <c r="E867" s="55" t="str">
        <f t="shared" ca="1" si="81"/>
        <v/>
      </c>
      <c r="F867" s="51"/>
      <c r="G867" s="55" t="str">
        <f t="shared" ca="1" si="82"/>
        <v/>
      </c>
      <c r="H867" s="50"/>
      <c r="I867" s="55" t="str">
        <f t="shared" ca="1" si="83"/>
        <v/>
      </c>
      <c r="J867" s="50"/>
      <c r="K867" s="55" t="str">
        <f t="shared" ca="1" si="84"/>
        <v/>
      </c>
      <c r="L867" s="64" t="str">
        <f>IF(B867="","",D867+F867+H867+J867+#REF!+#REF!+#REF!+#REF!+#REF!)</f>
        <v/>
      </c>
      <c r="M867" s="55" t="str">
        <f t="shared" ca="1" si="85"/>
        <v/>
      </c>
    </row>
    <row r="868" spans="1:13" ht="19.95" customHeight="1" x14ac:dyDescent="0.25">
      <c r="A868" s="52"/>
      <c r="B868" s="51"/>
      <c r="C868" s="54" t="str">
        <f>IF(B868="","",VLOOKUP(B868,学生信息汇总!A:E,2,0))</f>
        <v/>
      </c>
      <c r="D868" s="50"/>
      <c r="E868" s="55" t="str">
        <f t="shared" ca="1" si="81"/>
        <v/>
      </c>
      <c r="F868" s="51"/>
      <c r="G868" s="55" t="str">
        <f t="shared" ca="1" si="82"/>
        <v/>
      </c>
      <c r="H868" s="50"/>
      <c r="I868" s="55" t="str">
        <f t="shared" ca="1" si="83"/>
        <v/>
      </c>
      <c r="J868" s="50"/>
      <c r="K868" s="55" t="str">
        <f t="shared" ca="1" si="84"/>
        <v/>
      </c>
      <c r="L868" s="64" t="str">
        <f>IF(B868="","",D868+F868+H868+J868+#REF!+#REF!+#REF!+#REF!+#REF!)</f>
        <v/>
      </c>
      <c r="M868" s="55" t="str">
        <f t="shared" ca="1" si="85"/>
        <v/>
      </c>
    </row>
    <row r="869" spans="1:13" ht="19.95" customHeight="1" x14ac:dyDescent="0.25">
      <c r="A869" s="52"/>
      <c r="B869" s="51"/>
      <c r="C869" s="54" t="str">
        <f>IF(B869="","",VLOOKUP(B869,学生信息汇总!A:E,2,0))</f>
        <v/>
      </c>
      <c r="D869" s="50"/>
      <c r="E869" s="55" t="str">
        <f t="shared" ca="1" si="81"/>
        <v/>
      </c>
      <c r="F869" s="51"/>
      <c r="G869" s="55" t="str">
        <f t="shared" ca="1" si="82"/>
        <v/>
      </c>
      <c r="H869" s="50"/>
      <c r="I869" s="55" t="str">
        <f t="shared" ca="1" si="83"/>
        <v/>
      </c>
      <c r="J869" s="50"/>
      <c r="K869" s="55" t="str">
        <f t="shared" ca="1" si="84"/>
        <v/>
      </c>
      <c r="L869" s="64" t="str">
        <f>IF(B869="","",D869+F869+H869+J869+#REF!+#REF!+#REF!+#REF!+#REF!)</f>
        <v/>
      </c>
      <c r="M869" s="55" t="str">
        <f t="shared" ca="1" si="85"/>
        <v/>
      </c>
    </row>
    <row r="870" spans="1:13" ht="19.95" customHeight="1" x14ac:dyDescent="0.25">
      <c r="A870" s="52"/>
      <c r="B870" s="51"/>
      <c r="C870" s="54" t="str">
        <f>IF(B870="","",VLOOKUP(B870,学生信息汇总!A:E,2,0))</f>
        <v/>
      </c>
      <c r="D870" s="50"/>
      <c r="E870" s="55" t="str">
        <f t="shared" ca="1" si="81"/>
        <v/>
      </c>
      <c r="F870" s="51"/>
      <c r="G870" s="55" t="str">
        <f t="shared" ca="1" si="82"/>
        <v/>
      </c>
      <c r="H870" s="50"/>
      <c r="I870" s="55" t="str">
        <f t="shared" ca="1" si="83"/>
        <v/>
      </c>
      <c r="J870" s="50"/>
      <c r="K870" s="55" t="str">
        <f t="shared" ca="1" si="84"/>
        <v/>
      </c>
      <c r="L870" s="64" t="str">
        <f>IF(B870="","",D870+F870+H870+J870+#REF!+#REF!+#REF!+#REF!+#REF!)</f>
        <v/>
      </c>
      <c r="M870" s="55" t="str">
        <f t="shared" ca="1" si="85"/>
        <v/>
      </c>
    </row>
    <row r="871" spans="1:13" ht="19.95" customHeight="1" x14ac:dyDescent="0.25">
      <c r="A871" s="52"/>
      <c r="B871" s="51"/>
      <c r="C871" s="54" t="str">
        <f>IF(B871="","",VLOOKUP(B871,学生信息汇总!A:E,2,0))</f>
        <v/>
      </c>
      <c r="D871" s="50"/>
      <c r="E871" s="55" t="str">
        <f t="shared" ca="1" si="81"/>
        <v/>
      </c>
      <c r="F871" s="51"/>
      <c r="G871" s="55" t="str">
        <f t="shared" ca="1" si="82"/>
        <v/>
      </c>
      <c r="H871" s="50"/>
      <c r="I871" s="55" t="str">
        <f t="shared" ca="1" si="83"/>
        <v/>
      </c>
      <c r="J871" s="50"/>
      <c r="K871" s="55" t="str">
        <f t="shared" ca="1" si="84"/>
        <v/>
      </c>
      <c r="L871" s="64" t="str">
        <f>IF(B871="","",D871+F871+H871+J871+#REF!+#REF!+#REF!+#REF!+#REF!)</f>
        <v/>
      </c>
      <c r="M871" s="55" t="str">
        <f t="shared" ca="1" si="85"/>
        <v/>
      </c>
    </row>
    <row r="872" spans="1:13" ht="19.95" customHeight="1" x14ac:dyDescent="0.25">
      <c r="A872" s="52"/>
      <c r="B872" s="51"/>
      <c r="C872" s="54" t="str">
        <f>IF(B872="","",VLOOKUP(B872,学生信息汇总!A:E,2,0))</f>
        <v/>
      </c>
      <c r="D872" s="50"/>
      <c r="E872" s="55" t="str">
        <f t="shared" ca="1" si="81"/>
        <v/>
      </c>
      <c r="F872" s="51"/>
      <c r="G872" s="55" t="str">
        <f t="shared" ca="1" si="82"/>
        <v/>
      </c>
      <c r="H872" s="50"/>
      <c r="I872" s="55" t="str">
        <f t="shared" ca="1" si="83"/>
        <v/>
      </c>
      <c r="J872" s="50"/>
      <c r="K872" s="55" t="str">
        <f t="shared" ca="1" si="84"/>
        <v/>
      </c>
      <c r="L872" s="64" t="str">
        <f>IF(B872="","",D872+F872+H872+J872+#REF!+#REF!+#REF!+#REF!+#REF!)</f>
        <v/>
      </c>
      <c r="M872" s="55" t="str">
        <f t="shared" ca="1" si="85"/>
        <v/>
      </c>
    </row>
    <row r="873" spans="1:13" ht="19.95" customHeight="1" x14ac:dyDescent="0.25">
      <c r="A873" s="52"/>
      <c r="B873" s="51"/>
      <c r="C873" s="54" t="str">
        <f>IF(B873="","",VLOOKUP(B873,学生信息汇总!A:E,2,0))</f>
        <v/>
      </c>
      <c r="D873" s="50"/>
      <c r="E873" s="55" t="str">
        <f t="shared" ca="1" si="81"/>
        <v/>
      </c>
      <c r="F873" s="51"/>
      <c r="G873" s="55" t="str">
        <f t="shared" ca="1" si="82"/>
        <v/>
      </c>
      <c r="H873" s="50"/>
      <c r="I873" s="55" t="str">
        <f t="shared" ca="1" si="83"/>
        <v/>
      </c>
      <c r="J873" s="50"/>
      <c r="K873" s="55" t="str">
        <f t="shared" ca="1" si="84"/>
        <v/>
      </c>
      <c r="L873" s="64" t="str">
        <f>IF(B873="","",D873+F873+H873+J873+#REF!+#REF!+#REF!+#REF!+#REF!)</f>
        <v/>
      </c>
      <c r="M873" s="55" t="str">
        <f t="shared" ca="1" si="85"/>
        <v/>
      </c>
    </row>
    <row r="874" spans="1:13" ht="19.95" customHeight="1" x14ac:dyDescent="0.25">
      <c r="A874" s="52"/>
      <c r="B874" s="51"/>
      <c r="C874" s="54" t="str">
        <f>IF(B874="","",VLOOKUP(B874,学生信息汇总!A:E,2,0))</f>
        <v/>
      </c>
      <c r="D874" s="50"/>
      <c r="E874" s="55" t="str">
        <f t="shared" ca="1" si="81"/>
        <v/>
      </c>
      <c r="F874" s="51"/>
      <c r="G874" s="55" t="str">
        <f t="shared" ca="1" si="82"/>
        <v/>
      </c>
      <c r="H874" s="50"/>
      <c r="I874" s="55" t="str">
        <f t="shared" ca="1" si="83"/>
        <v/>
      </c>
      <c r="J874" s="50"/>
      <c r="K874" s="55" t="str">
        <f t="shared" ca="1" si="84"/>
        <v/>
      </c>
      <c r="L874" s="64" t="str">
        <f>IF(B874="","",D874+F874+H874+J874+#REF!+#REF!+#REF!+#REF!+#REF!)</f>
        <v/>
      </c>
      <c r="M874" s="55" t="str">
        <f t="shared" ca="1" si="85"/>
        <v/>
      </c>
    </row>
    <row r="875" spans="1:13" ht="19.95" customHeight="1" x14ac:dyDescent="0.25">
      <c r="A875" s="52"/>
      <c r="B875" s="51"/>
      <c r="C875" s="54" t="str">
        <f>IF(B875="","",VLOOKUP(B875,学生信息汇总!A:E,2,0))</f>
        <v/>
      </c>
      <c r="D875" s="50"/>
      <c r="E875" s="55" t="str">
        <f t="shared" ca="1" si="81"/>
        <v/>
      </c>
      <c r="F875" s="51"/>
      <c r="G875" s="55" t="str">
        <f t="shared" ca="1" si="82"/>
        <v/>
      </c>
      <c r="H875" s="50"/>
      <c r="I875" s="55" t="str">
        <f t="shared" ca="1" si="83"/>
        <v/>
      </c>
      <c r="J875" s="50"/>
      <c r="K875" s="55" t="str">
        <f t="shared" ca="1" si="84"/>
        <v/>
      </c>
      <c r="L875" s="64" t="str">
        <f>IF(B875="","",D875+F875+H875+J875+#REF!+#REF!+#REF!+#REF!+#REF!)</f>
        <v/>
      </c>
      <c r="M875" s="55" t="str">
        <f t="shared" ca="1" si="85"/>
        <v/>
      </c>
    </row>
    <row r="876" spans="1:13" ht="19.95" customHeight="1" x14ac:dyDescent="0.25">
      <c r="A876" s="52"/>
      <c r="B876" s="51"/>
      <c r="C876" s="54" t="str">
        <f>IF(B876="","",VLOOKUP(B876,学生信息汇总!A:E,2,0))</f>
        <v/>
      </c>
      <c r="D876" s="50"/>
      <c r="E876" s="55" t="str">
        <f t="shared" ref="E876:E939" ca="1" si="86">IF(D876="","",RANK(D876,INDIRECT(ADDRESS(MATCH(VLOOKUP(A876,A:A,1,0),A:A,0),6)&amp;":"&amp;ADDRESS((MATCH(VLOOKUP(A876,A:A,1,0),A:A,0)+COUNTIF(A:A,A876)-1),6))))</f>
        <v/>
      </c>
      <c r="F876" s="51"/>
      <c r="G876" s="55" t="str">
        <f t="shared" ref="G876:G939" ca="1" si="87">IF(F876="","",RANK(F876,INDIRECT(ADDRESS(MATCH(VLOOKUP(A876,A:A,1,0),A:A,0),8)&amp;":"&amp;ADDRESS((MATCH(VLOOKUP(A876,A:A,1,0),A:A,0)+COUNTIF(A:A,A876)-1),8))))</f>
        <v/>
      </c>
      <c r="H876" s="50"/>
      <c r="I876" s="55" t="str">
        <f t="shared" ref="I876:I939" ca="1" si="88">IF(H876="","",RANK(H876,INDIRECT(ADDRESS(MATCH(VLOOKUP(A876,A:A,1,0),A:A,0),10)&amp;":"&amp;ADDRESS((MATCH(VLOOKUP(A876,A:A,1,0),A:A,0)+COUNTIF(A:A,A876)-1),10))))</f>
        <v/>
      </c>
      <c r="J876" s="50"/>
      <c r="K876" s="55" t="str">
        <f t="shared" ref="K876:K939" ca="1" si="89">IF(J876="","",RANK(J876,INDIRECT(ADDRESS(MATCH(VLOOKUP(A876,A:A,1,0),A:A,0),12)&amp;":"&amp;ADDRESS((MATCH(VLOOKUP(A876,A:A,1,0),A:A,0)+COUNTIF(A:A,A876)-1),12))))</f>
        <v/>
      </c>
      <c r="L876" s="64" t="str">
        <f>IF(B876="","",D876+F876+H876+J876+#REF!+#REF!+#REF!+#REF!+#REF!)</f>
        <v/>
      </c>
      <c r="M876" s="55" t="str">
        <f t="shared" ref="M876:M939" ca="1" si="90">IF(L876="","",RANK(L876,INDIRECT(ADDRESS(MATCH(VLOOKUP(A876,A:A,1,0),A:A,0),26)&amp;":"&amp;ADDRESS((MATCH(VLOOKUP(A876,A:A,1,0),A:A,0)+COUNTIF(A:A,A876)-1),26))))</f>
        <v/>
      </c>
    </row>
    <row r="877" spans="1:13" ht="19.95" customHeight="1" x14ac:dyDescent="0.25">
      <c r="A877" s="52"/>
      <c r="B877" s="51"/>
      <c r="C877" s="54" t="str">
        <f>IF(B877="","",VLOOKUP(B877,学生信息汇总!A:E,2,0))</f>
        <v/>
      </c>
      <c r="D877" s="50"/>
      <c r="E877" s="55" t="str">
        <f t="shared" ca="1" si="86"/>
        <v/>
      </c>
      <c r="F877" s="51"/>
      <c r="G877" s="55" t="str">
        <f t="shared" ca="1" si="87"/>
        <v/>
      </c>
      <c r="H877" s="50"/>
      <c r="I877" s="55" t="str">
        <f t="shared" ca="1" si="88"/>
        <v/>
      </c>
      <c r="J877" s="50"/>
      <c r="K877" s="55" t="str">
        <f t="shared" ca="1" si="89"/>
        <v/>
      </c>
      <c r="L877" s="64" t="str">
        <f>IF(B877="","",D877+F877+H877+J877+#REF!+#REF!+#REF!+#REF!+#REF!)</f>
        <v/>
      </c>
      <c r="M877" s="55" t="str">
        <f t="shared" ca="1" si="90"/>
        <v/>
      </c>
    </row>
    <row r="878" spans="1:13" ht="19.95" customHeight="1" x14ac:dyDescent="0.25">
      <c r="A878" s="52"/>
      <c r="B878" s="51"/>
      <c r="C878" s="54" t="str">
        <f>IF(B878="","",VLOOKUP(B878,学生信息汇总!A:E,2,0))</f>
        <v/>
      </c>
      <c r="D878" s="50"/>
      <c r="E878" s="55" t="str">
        <f t="shared" ca="1" si="86"/>
        <v/>
      </c>
      <c r="F878" s="51"/>
      <c r="G878" s="55" t="str">
        <f t="shared" ca="1" si="87"/>
        <v/>
      </c>
      <c r="H878" s="50"/>
      <c r="I878" s="55" t="str">
        <f t="shared" ca="1" si="88"/>
        <v/>
      </c>
      <c r="J878" s="50"/>
      <c r="K878" s="55" t="str">
        <f t="shared" ca="1" si="89"/>
        <v/>
      </c>
      <c r="L878" s="64" t="str">
        <f>IF(B878="","",D878+F878+H878+J878+#REF!+#REF!+#REF!+#REF!+#REF!)</f>
        <v/>
      </c>
      <c r="M878" s="55" t="str">
        <f t="shared" ca="1" si="90"/>
        <v/>
      </c>
    </row>
    <row r="879" spans="1:13" ht="19.95" customHeight="1" x14ac:dyDescent="0.25">
      <c r="A879" s="52"/>
      <c r="B879" s="51"/>
      <c r="C879" s="54" t="str">
        <f>IF(B879="","",VLOOKUP(B879,学生信息汇总!A:E,2,0))</f>
        <v/>
      </c>
      <c r="D879" s="50"/>
      <c r="E879" s="55" t="str">
        <f t="shared" ca="1" si="86"/>
        <v/>
      </c>
      <c r="F879" s="51"/>
      <c r="G879" s="55" t="str">
        <f t="shared" ca="1" si="87"/>
        <v/>
      </c>
      <c r="H879" s="50"/>
      <c r="I879" s="55" t="str">
        <f t="shared" ca="1" si="88"/>
        <v/>
      </c>
      <c r="J879" s="50"/>
      <c r="K879" s="55" t="str">
        <f t="shared" ca="1" si="89"/>
        <v/>
      </c>
      <c r="L879" s="64" t="str">
        <f>IF(B879="","",D879+F879+H879+J879+#REF!+#REF!+#REF!+#REF!+#REF!)</f>
        <v/>
      </c>
      <c r="M879" s="55" t="str">
        <f t="shared" ca="1" si="90"/>
        <v/>
      </c>
    </row>
    <row r="880" spans="1:13" ht="19.95" customHeight="1" x14ac:dyDescent="0.25">
      <c r="A880" s="52"/>
      <c r="B880" s="51"/>
      <c r="C880" s="54" t="str">
        <f>IF(B880="","",VLOOKUP(B880,学生信息汇总!A:E,2,0))</f>
        <v/>
      </c>
      <c r="D880" s="50"/>
      <c r="E880" s="55" t="str">
        <f t="shared" ca="1" si="86"/>
        <v/>
      </c>
      <c r="F880" s="51"/>
      <c r="G880" s="55" t="str">
        <f t="shared" ca="1" si="87"/>
        <v/>
      </c>
      <c r="H880" s="50"/>
      <c r="I880" s="55" t="str">
        <f t="shared" ca="1" si="88"/>
        <v/>
      </c>
      <c r="J880" s="50"/>
      <c r="K880" s="55" t="str">
        <f t="shared" ca="1" si="89"/>
        <v/>
      </c>
      <c r="L880" s="64" t="str">
        <f>IF(B880="","",D880+F880+H880+J880+#REF!+#REF!+#REF!+#REF!+#REF!)</f>
        <v/>
      </c>
      <c r="M880" s="55" t="str">
        <f t="shared" ca="1" si="90"/>
        <v/>
      </c>
    </row>
    <row r="881" spans="1:13" ht="19.95" customHeight="1" x14ac:dyDescent="0.25">
      <c r="A881" s="52"/>
      <c r="B881" s="51"/>
      <c r="C881" s="54" t="str">
        <f>IF(B881="","",VLOOKUP(B881,学生信息汇总!A:E,2,0))</f>
        <v/>
      </c>
      <c r="D881" s="50"/>
      <c r="E881" s="55" t="str">
        <f t="shared" ca="1" si="86"/>
        <v/>
      </c>
      <c r="F881" s="51"/>
      <c r="G881" s="55" t="str">
        <f t="shared" ca="1" si="87"/>
        <v/>
      </c>
      <c r="H881" s="50"/>
      <c r="I881" s="55" t="str">
        <f t="shared" ca="1" si="88"/>
        <v/>
      </c>
      <c r="J881" s="50"/>
      <c r="K881" s="55" t="str">
        <f t="shared" ca="1" si="89"/>
        <v/>
      </c>
      <c r="L881" s="64" t="str">
        <f>IF(B881="","",D881+F881+H881+J881+#REF!+#REF!+#REF!+#REF!+#REF!)</f>
        <v/>
      </c>
      <c r="M881" s="55" t="str">
        <f t="shared" ca="1" si="90"/>
        <v/>
      </c>
    </row>
    <row r="882" spans="1:13" ht="19.95" customHeight="1" x14ac:dyDescent="0.25">
      <c r="A882" s="52"/>
      <c r="B882" s="51"/>
      <c r="C882" s="54" t="str">
        <f>IF(B882="","",VLOOKUP(B882,学生信息汇总!A:E,2,0))</f>
        <v/>
      </c>
      <c r="D882" s="50"/>
      <c r="E882" s="55" t="str">
        <f t="shared" ca="1" si="86"/>
        <v/>
      </c>
      <c r="F882" s="51"/>
      <c r="G882" s="55" t="str">
        <f t="shared" ca="1" si="87"/>
        <v/>
      </c>
      <c r="H882" s="50"/>
      <c r="I882" s="55" t="str">
        <f t="shared" ca="1" si="88"/>
        <v/>
      </c>
      <c r="J882" s="50"/>
      <c r="K882" s="55" t="str">
        <f t="shared" ca="1" si="89"/>
        <v/>
      </c>
      <c r="L882" s="64" t="str">
        <f>IF(B882="","",D882+F882+H882+J882+#REF!+#REF!+#REF!+#REF!+#REF!)</f>
        <v/>
      </c>
      <c r="M882" s="55" t="str">
        <f t="shared" ca="1" si="90"/>
        <v/>
      </c>
    </row>
    <row r="883" spans="1:13" ht="19.95" customHeight="1" x14ac:dyDescent="0.25">
      <c r="A883" s="52"/>
      <c r="B883" s="51"/>
      <c r="C883" s="54" t="str">
        <f>IF(B883="","",VLOOKUP(B883,学生信息汇总!A:E,2,0))</f>
        <v/>
      </c>
      <c r="D883" s="50"/>
      <c r="E883" s="55" t="str">
        <f t="shared" ca="1" si="86"/>
        <v/>
      </c>
      <c r="F883" s="51"/>
      <c r="G883" s="55" t="str">
        <f t="shared" ca="1" si="87"/>
        <v/>
      </c>
      <c r="H883" s="50"/>
      <c r="I883" s="55" t="str">
        <f t="shared" ca="1" si="88"/>
        <v/>
      </c>
      <c r="J883" s="50"/>
      <c r="K883" s="55" t="str">
        <f t="shared" ca="1" si="89"/>
        <v/>
      </c>
      <c r="L883" s="64" t="str">
        <f>IF(B883="","",D883+F883+H883+J883+#REF!+#REF!+#REF!+#REF!+#REF!)</f>
        <v/>
      </c>
      <c r="M883" s="55" t="str">
        <f t="shared" ca="1" si="90"/>
        <v/>
      </c>
    </row>
    <row r="884" spans="1:13" ht="19.95" customHeight="1" x14ac:dyDescent="0.25">
      <c r="A884" s="52"/>
      <c r="B884" s="51"/>
      <c r="C884" s="54" t="str">
        <f>IF(B884="","",VLOOKUP(B884,学生信息汇总!A:E,2,0))</f>
        <v/>
      </c>
      <c r="D884" s="50"/>
      <c r="E884" s="55" t="str">
        <f t="shared" ca="1" si="86"/>
        <v/>
      </c>
      <c r="F884" s="51"/>
      <c r="G884" s="55" t="str">
        <f t="shared" ca="1" si="87"/>
        <v/>
      </c>
      <c r="H884" s="50"/>
      <c r="I884" s="55" t="str">
        <f t="shared" ca="1" si="88"/>
        <v/>
      </c>
      <c r="J884" s="50"/>
      <c r="K884" s="55" t="str">
        <f t="shared" ca="1" si="89"/>
        <v/>
      </c>
      <c r="L884" s="64" t="str">
        <f>IF(B884="","",D884+F884+H884+J884+#REF!+#REF!+#REF!+#REF!+#REF!)</f>
        <v/>
      </c>
      <c r="M884" s="55" t="str">
        <f t="shared" ca="1" si="90"/>
        <v/>
      </c>
    </row>
    <row r="885" spans="1:13" ht="19.95" customHeight="1" x14ac:dyDescent="0.25">
      <c r="A885" s="52"/>
      <c r="B885" s="51"/>
      <c r="C885" s="54" t="str">
        <f>IF(B885="","",VLOOKUP(B885,学生信息汇总!A:E,2,0))</f>
        <v/>
      </c>
      <c r="D885" s="50"/>
      <c r="E885" s="55" t="str">
        <f t="shared" ca="1" si="86"/>
        <v/>
      </c>
      <c r="F885" s="51"/>
      <c r="G885" s="55" t="str">
        <f t="shared" ca="1" si="87"/>
        <v/>
      </c>
      <c r="H885" s="50"/>
      <c r="I885" s="55" t="str">
        <f t="shared" ca="1" si="88"/>
        <v/>
      </c>
      <c r="J885" s="50"/>
      <c r="K885" s="55" t="str">
        <f t="shared" ca="1" si="89"/>
        <v/>
      </c>
      <c r="L885" s="64" t="str">
        <f>IF(B885="","",D885+F885+H885+J885+#REF!+#REF!+#REF!+#REF!+#REF!)</f>
        <v/>
      </c>
      <c r="M885" s="55" t="str">
        <f t="shared" ca="1" si="90"/>
        <v/>
      </c>
    </row>
    <row r="886" spans="1:13" ht="19.95" customHeight="1" x14ac:dyDescent="0.25">
      <c r="A886" s="52"/>
      <c r="B886" s="51"/>
      <c r="C886" s="54" t="str">
        <f>IF(B886="","",VLOOKUP(B886,学生信息汇总!A:E,2,0))</f>
        <v/>
      </c>
      <c r="D886" s="50"/>
      <c r="E886" s="55" t="str">
        <f t="shared" ca="1" si="86"/>
        <v/>
      </c>
      <c r="F886" s="51"/>
      <c r="G886" s="55" t="str">
        <f t="shared" ca="1" si="87"/>
        <v/>
      </c>
      <c r="H886" s="50"/>
      <c r="I886" s="55" t="str">
        <f t="shared" ca="1" si="88"/>
        <v/>
      </c>
      <c r="J886" s="50"/>
      <c r="K886" s="55" t="str">
        <f t="shared" ca="1" si="89"/>
        <v/>
      </c>
      <c r="L886" s="64" t="str">
        <f>IF(B886="","",D886+F886+H886+J886+#REF!+#REF!+#REF!+#REF!+#REF!)</f>
        <v/>
      </c>
      <c r="M886" s="55" t="str">
        <f t="shared" ca="1" si="90"/>
        <v/>
      </c>
    </row>
    <row r="887" spans="1:13" ht="19.95" customHeight="1" x14ac:dyDescent="0.25">
      <c r="A887" s="52"/>
      <c r="B887" s="51"/>
      <c r="C887" s="54" t="str">
        <f>IF(B887="","",VLOOKUP(B887,学生信息汇总!A:E,2,0))</f>
        <v/>
      </c>
      <c r="D887" s="50"/>
      <c r="E887" s="55" t="str">
        <f t="shared" ca="1" si="86"/>
        <v/>
      </c>
      <c r="F887" s="51"/>
      <c r="G887" s="55" t="str">
        <f t="shared" ca="1" si="87"/>
        <v/>
      </c>
      <c r="H887" s="50"/>
      <c r="I887" s="55" t="str">
        <f t="shared" ca="1" si="88"/>
        <v/>
      </c>
      <c r="J887" s="50"/>
      <c r="K887" s="55" t="str">
        <f t="shared" ca="1" si="89"/>
        <v/>
      </c>
      <c r="L887" s="64" t="str">
        <f>IF(B887="","",D887+F887+H887+J887+#REF!+#REF!+#REF!+#REF!+#REF!)</f>
        <v/>
      </c>
      <c r="M887" s="55" t="str">
        <f t="shared" ca="1" si="90"/>
        <v/>
      </c>
    </row>
    <row r="888" spans="1:13" ht="19.95" customHeight="1" x14ac:dyDescent="0.25">
      <c r="A888" s="52"/>
      <c r="B888" s="51"/>
      <c r="C888" s="54" t="str">
        <f>IF(B888="","",VLOOKUP(B888,学生信息汇总!A:E,2,0))</f>
        <v/>
      </c>
      <c r="D888" s="50"/>
      <c r="E888" s="55" t="str">
        <f t="shared" ca="1" si="86"/>
        <v/>
      </c>
      <c r="F888" s="51"/>
      <c r="G888" s="55" t="str">
        <f t="shared" ca="1" si="87"/>
        <v/>
      </c>
      <c r="H888" s="50"/>
      <c r="I888" s="55" t="str">
        <f t="shared" ca="1" si="88"/>
        <v/>
      </c>
      <c r="J888" s="50"/>
      <c r="K888" s="55" t="str">
        <f t="shared" ca="1" si="89"/>
        <v/>
      </c>
      <c r="L888" s="64" t="str">
        <f>IF(B888="","",D888+F888+H888+J888+#REF!+#REF!+#REF!+#REF!+#REF!)</f>
        <v/>
      </c>
      <c r="M888" s="55" t="str">
        <f t="shared" ca="1" si="90"/>
        <v/>
      </c>
    </row>
    <row r="889" spans="1:13" ht="19.95" customHeight="1" x14ac:dyDescent="0.25">
      <c r="A889" s="52"/>
      <c r="B889" s="51"/>
      <c r="C889" s="54" t="str">
        <f>IF(B889="","",VLOOKUP(B889,学生信息汇总!A:E,2,0))</f>
        <v/>
      </c>
      <c r="D889" s="50"/>
      <c r="E889" s="55" t="str">
        <f t="shared" ca="1" si="86"/>
        <v/>
      </c>
      <c r="F889" s="51"/>
      <c r="G889" s="55" t="str">
        <f t="shared" ca="1" si="87"/>
        <v/>
      </c>
      <c r="H889" s="50"/>
      <c r="I889" s="55" t="str">
        <f t="shared" ca="1" si="88"/>
        <v/>
      </c>
      <c r="J889" s="50"/>
      <c r="K889" s="55" t="str">
        <f t="shared" ca="1" si="89"/>
        <v/>
      </c>
      <c r="L889" s="64" t="str">
        <f>IF(B889="","",D889+F889+H889+J889+#REF!+#REF!+#REF!+#REF!+#REF!)</f>
        <v/>
      </c>
      <c r="M889" s="55" t="str">
        <f t="shared" ca="1" si="90"/>
        <v/>
      </c>
    </row>
    <row r="890" spans="1:13" ht="19.95" customHeight="1" x14ac:dyDescent="0.25">
      <c r="A890" s="52"/>
      <c r="B890" s="51"/>
      <c r="C890" s="54" t="str">
        <f>IF(B890="","",VLOOKUP(B890,学生信息汇总!A:E,2,0))</f>
        <v/>
      </c>
      <c r="D890" s="50"/>
      <c r="E890" s="55" t="str">
        <f t="shared" ca="1" si="86"/>
        <v/>
      </c>
      <c r="F890" s="51"/>
      <c r="G890" s="55" t="str">
        <f t="shared" ca="1" si="87"/>
        <v/>
      </c>
      <c r="H890" s="50"/>
      <c r="I890" s="55" t="str">
        <f t="shared" ca="1" si="88"/>
        <v/>
      </c>
      <c r="J890" s="50"/>
      <c r="K890" s="55" t="str">
        <f t="shared" ca="1" si="89"/>
        <v/>
      </c>
      <c r="L890" s="64" t="str">
        <f>IF(B890="","",D890+F890+H890+J890+#REF!+#REF!+#REF!+#REF!+#REF!)</f>
        <v/>
      </c>
      <c r="M890" s="55" t="str">
        <f t="shared" ca="1" si="90"/>
        <v/>
      </c>
    </row>
    <row r="891" spans="1:13" ht="19.95" customHeight="1" x14ac:dyDescent="0.25">
      <c r="A891" s="52"/>
      <c r="B891" s="51"/>
      <c r="C891" s="54" t="str">
        <f>IF(B891="","",VLOOKUP(B891,学生信息汇总!A:E,2,0))</f>
        <v/>
      </c>
      <c r="D891" s="50"/>
      <c r="E891" s="55" t="str">
        <f t="shared" ca="1" si="86"/>
        <v/>
      </c>
      <c r="F891" s="51"/>
      <c r="G891" s="55" t="str">
        <f t="shared" ca="1" si="87"/>
        <v/>
      </c>
      <c r="H891" s="50"/>
      <c r="I891" s="55" t="str">
        <f t="shared" ca="1" si="88"/>
        <v/>
      </c>
      <c r="J891" s="50"/>
      <c r="K891" s="55" t="str">
        <f t="shared" ca="1" si="89"/>
        <v/>
      </c>
      <c r="L891" s="64" t="str">
        <f>IF(B891="","",D891+F891+H891+J891+#REF!+#REF!+#REF!+#REF!+#REF!)</f>
        <v/>
      </c>
      <c r="M891" s="55" t="str">
        <f t="shared" ca="1" si="90"/>
        <v/>
      </c>
    </row>
    <row r="892" spans="1:13" ht="19.95" customHeight="1" x14ac:dyDescent="0.25">
      <c r="A892" s="52"/>
      <c r="B892" s="51"/>
      <c r="C892" s="54" t="str">
        <f>IF(B892="","",VLOOKUP(B892,学生信息汇总!A:E,2,0))</f>
        <v/>
      </c>
      <c r="D892" s="50"/>
      <c r="E892" s="55" t="str">
        <f t="shared" ca="1" si="86"/>
        <v/>
      </c>
      <c r="F892" s="51"/>
      <c r="G892" s="55" t="str">
        <f t="shared" ca="1" si="87"/>
        <v/>
      </c>
      <c r="H892" s="50"/>
      <c r="I892" s="55" t="str">
        <f t="shared" ca="1" si="88"/>
        <v/>
      </c>
      <c r="J892" s="50"/>
      <c r="K892" s="55" t="str">
        <f t="shared" ca="1" si="89"/>
        <v/>
      </c>
      <c r="L892" s="64" t="str">
        <f>IF(B892="","",D892+F892+H892+J892+#REF!+#REF!+#REF!+#REF!+#REF!)</f>
        <v/>
      </c>
      <c r="M892" s="55" t="str">
        <f t="shared" ca="1" si="90"/>
        <v/>
      </c>
    </row>
    <row r="893" spans="1:13" ht="19.95" customHeight="1" x14ac:dyDescent="0.25">
      <c r="A893" s="52"/>
      <c r="B893" s="51"/>
      <c r="C893" s="54" t="str">
        <f>IF(B893="","",VLOOKUP(B893,学生信息汇总!A:E,2,0))</f>
        <v/>
      </c>
      <c r="D893" s="50"/>
      <c r="E893" s="55" t="str">
        <f t="shared" ca="1" si="86"/>
        <v/>
      </c>
      <c r="F893" s="51"/>
      <c r="G893" s="55" t="str">
        <f t="shared" ca="1" si="87"/>
        <v/>
      </c>
      <c r="H893" s="50"/>
      <c r="I893" s="55" t="str">
        <f t="shared" ca="1" si="88"/>
        <v/>
      </c>
      <c r="J893" s="50"/>
      <c r="K893" s="55" t="str">
        <f t="shared" ca="1" si="89"/>
        <v/>
      </c>
      <c r="L893" s="64" t="str">
        <f>IF(B893="","",D893+F893+H893+J893+#REF!+#REF!+#REF!+#REF!+#REF!)</f>
        <v/>
      </c>
      <c r="M893" s="55" t="str">
        <f t="shared" ca="1" si="90"/>
        <v/>
      </c>
    </row>
    <row r="894" spans="1:13" ht="19.95" customHeight="1" x14ac:dyDescent="0.25">
      <c r="A894" s="52"/>
      <c r="B894" s="51"/>
      <c r="C894" s="54" t="str">
        <f>IF(B894="","",VLOOKUP(B894,学生信息汇总!A:E,2,0))</f>
        <v/>
      </c>
      <c r="D894" s="50"/>
      <c r="E894" s="55" t="str">
        <f t="shared" ca="1" si="86"/>
        <v/>
      </c>
      <c r="F894" s="51"/>
      <c r="G894" s="55" t="str">
        <f t="shared" ca="1" si="87"/>
        <v/>
      </c>
      <c r="H894" s="50"/>
      <c r="I894" s="55" t="str">
        <f t="shared" ca="1" si="88"/>
        <v/>
      </c>
      <c r="J894" s="50"/>
      <c r="K894" s="55" t="str">
        <f t="shared" ca="1" si="89"/>
        <v/>
      </c>
      <c r="L894" s="64" t="str">
        <f>IF(B894="","",D894+F894+H894+J894+#REF!+#REF!+#REF!+#REF!+#REF!)</f>
        <v/>
      </c>
      <c r="M894" s="55" t="str">
        <f t="shared" ca="1" si="90"/>
        <v/>
      </c>
    </row>
    <row r="895" spans="1:13" ht="19.95" customHeight="1" x14ac:dyDescent="0.25">
      <c r="A895" s="52"/>
      <c r="B895" s="51"/>
      <c r="C895" s="54" t="str">
        <f>IF(B895="","",VLOOKUP(B895,学生信息汇总!A:E,2,0))</f>
        <v/>
      </c>
      <c r="D895" s="50"/>
      <c r="E895" s="55" t="str">
        <f t="shared" ca="1" si="86"/>
        <v/>
      </c>
      <c r="F895" s="51"/>
      <c r="G895" s="55" t="str">
        <f t="shared" ca="1" si="87"/>
        <v/>
      </c>
      <c r="H895" s="50"/>
      <c r="I895" s="55" t="str">
        <f t="shared" ca="1" si="88"/>
        <v/>
      </c>
      <c r="J895" s="50"/>
      <c r="K895" s="55" t="str">
        <f t="shared" ca="1" si="89"/>
        <v/>
      </c>
      <c r="L895" s="64" t="str">
        <f>IF(B895="","",D895+F895+H895+J895+#REF!+#REF!+#REF!+#REF!+#REF!)</f>
        <v/>
      </c>
      <c r="M895" s="55" t="str">
        <f t="shared" ca="1" si="90"/>
        <v/>
      </c>
    </row>
    <row r="896" spans="1:13" ht="19.95" customHeight="1" x14ac:dyDescent="0.25">
      <c r="A896" s="52"/>
      <c r="B896" s="51"/>
      <c r="C896" s="54" t="str">
        <f>IF(B896="","",VLOOKUP(B896,学生信息汇总!A:E,2,0))</f>
        <v/>
      </c>
      <c r="D896" s="50"/>
      <c r="E896" s="55" t="str">
        <f t="shared" ca="1" si="86"/>
        <v/>
      </c>
      <c r="F896" s="51"/>
      <c r="G896" s="55" t="str">
        <f t="shared" ca="1" si="87"/>
        <v/>
      </c>
      <c r="H896" s="50"/>
      <c r="I896" s="55" t="str">
        <f t="shared" ca="1" si="88"/>
        <v/>
      </c>
      <c r="J896" s="50"/>
      <c r="K896" s="55" t="str">
        <f t="shared" ca="1" si="89"/>
        <v/>
      </c>
      <c r="L896" s="64" t="str">
        <f>IF(B896="","",D896+F896+H896+J896+#REF!+#REF!+#REF!+#REF!+#REF!)</f>
        <v/>
      </c>
      <c r="M896" s="55" t="str">
        <f t="shared" ca="1" si="90"/>
        <v/>
      </c>
    </row>
    <row r="897" spans="1:13" ht="19.95" customHeight="1" x14ac:dyDescent="0.25">
      <c r="A897" s="52"/>
      <c r="B897" s="51"/>
      <c r="C897" s="54" t="str">
        <f>IF(B897="","",VLOOKUP(B897,学生信息汇总!A:E,2,0))</f>
        <v/>
      </c>
      <c r="D897" s="50"/>
      <c r="E897" s="55" t="str">
        <f t="shared" ca="1" si="86"/>
        <v/>
      </c>
      <c r="F897" s="51"/>
      <c r="G897" s="55" t="str">
        <f t="shared" ca="1" si="87"/>
        <v/>
      </c>
      <c r="H897" s="50"/>
      <c r="I897" s="55" t="str">
        <f t="shared" ca="1" si="88"/>
        <v/>
      </c>
      <c r="J897" s="50"/>
      <c r="K897" s="55" t="str">
        <f t="shared" ca="1" si="89"/>
        <v/>
      </c>
      <c r="L897" s="64" t="str">
        <f>IF(B897="","",D897+F897+H897+J897+#REF!+#REF!+#REF!+#REF!+#REF!)</f>
        <v/>
      </c>
      <c r="M897" s="55" t="str">
        <f t="shared" ca="1" si="90"/>
        <v/>
      </c>
    </row>
    <row r="898" spans="1:13" ht="19.95" customHeight="1" x14ac:dyDescent="0.25">
      <c r="A898" s="52"/>
      <c r="B898" s="51"/>
      <c r="C898" s="54" t="str">
        <f>IF(B898="","",VLOOKUP(B898,学生信息汇总!A:E,2,0))</f>
        <v/>
      </c>
      <c r="D898" s="50"/>
      <c r="E898" s="55" t="str">
        <f t="shared" ca="1" si="86"/>
        <v/>
      </c>
      <c r="F898" s="51"/>
      <c r="G898" s="55" t="str">
        <f t="shared" ca="1" si="87"/>
        <v/>
      </c>
      <c r="H898" s="50"/>
      <c r="I898" s="55" t="str">
        <f t="shared" ca="1" si="88"/>
        <v/>
      </c>
      <c r="J898" s="50"/>
      <c r="K898" s="55" t="str">
        <f t="shared" ca="1" si="89"/>
        <v/>
      </c>
      <c r="L898" s="64" t="str">
        <f>IF(B898="","",D898+F898+H898+J898+#REF!+#REF!+#REF!+#REF!+#REF!)</f>
        <v/>
      </c>
      <c r="M898" s="55" t="str">
        <f t="shared" ca="1" si="90"/>
        <v/>
      </c>
    </row>
    <row r="899" spans="1:13" ht="19.95" customHeight="1" x14ac:dyDescent="0.25">
      <c r="A899" s="52"/>
      <c r="B899" s="51"/>
      <c r="C899" s="54" t="str">
        <f>IF(B899="","",VLOOKUP(B899,学生信息汇总!A:E,2,0))</f>
        <v/>
      </c>
      <c r="D899" s="50"/>
      <c r="E899" s="55" t="str">
        <f t="shared" ca="1" si="86"/>
        <v/>
      </c>
      <c r="F899" s="51"/>
      <c r="G899" s="55" t="str">
        <f t="shared" ca="1" si="87"/>
        <v/>
      </c>
      <c r="H899" s="50"/>
      <c r="I899" s="55" t="str">
        <f t="shared" ca="1" si="88"/>
        <v/>
      </c>
      <c r="J899" s="50"/>
      <c r="K899" s="55" t="str">
        <f t="shared" ca="1" si="89"/>
        <v/>
      </c>
      <c r="L899" s="64" t="str">
        <f>IF(B899="","",D899+F899+H899+J899+#REF!+#REF!+#REF!+#REF!+#REF!)</f>
        <v/>
      </c>
      <c r="M899" s="55" t="str">
        <f t="shared" ca="1" si="90"/>
        <v/>
      </c>
    </row>
    <row r="900" spans="1:13" ht="19.95" customHeight="1" x14ac:dyDescent="0.25">
      <c r="A900" s="52"/>
      <c r="B900" s="51"/>
      <c r="C900" s="54" t="str">
        <f>IF(B900="","",VLOOKUP(B900,学生信息汇总!A:E,2,0))</f>
        <v/>
      </c>
      <c r="D900" s="50"/>
      <c r="E900" s="55" t="str">
        <f t="shared" ca="1" si="86"/>
        <v/>
      </c>
      <c r="F900" s="51"/>
      <c r="G900" s="55" t="str">
        <f t="shared" ca="1" si="87"/>
        <v/>
      </c>
      <c r="H900" s="50"/>
      <c r="I900" s="55" t="str">
        <f t="shared" ca="1" si="88"/>
        <v/>
      </c>
      <c r="J900" s="50"/>
      <c r="K900" s="55" t="str">
        <f t="shared" ca="1" si="89"/>
        <v/>
      </c>
      <c r="L900" s="64" t="str">
        <f>IF(B900="","",D900+F900+H900+J900+#REF!+#REF!+#REF!+#REF!+#REF!)</f>
        <v/>
      </c>
      <c r="M900" s="55" t="str">
        <f t="shared" ca="1" si="90"/>
        <v/>
      </c>
    </row>
    <row r="901" spans="1:13" ht="19.95" customHeight="1" x14ac:dyDescent="0.25">
      <c r="A901" s="52"/>
      <c r="B901" s="51"/>
      <c r="C901" s="54" t="str">
        <f>IF(B901="","",VLOOKUP(B901,学生信息汇总!A:E,2,0))</f>
        <v/>
      </c>
      <c r="D901" s="50"/>
      <c r="E901" s="55" t="str">
        <f t="shared" ca="1" si="86"/>
        <v/>
      </c>
      <c r="F901" s="51"/>
      <c r="G901" s="55" t="str">
        <f t="shared" ca="1" si="87"/>
        <v/>
      </c>
      <c r="H901" s="50"/>
      <c r="I901" s="55" t="str">
        <f t="shared" ca="1" si="88"/>
        <v/>
      </c>
      <c r="J901" s="50"/>
      <c r="K901" s="55" t="str">
        <f t="shared" ca="1" si="89"/>
        <v/>
      </c>
      <c r="L901" s="64" t="str">
        <f>IF(B901="","",D901+F901+H901+J901+#REF!+#REF!+#REF!+#REF!+#REF!)</f>
        <v/>
      </c>
      <c r="M901" s="55" t="str">
        <f t="shared" ca="1" si="90"/>
        <v/>
      </c>
    </row>
    <row r="902" spans="1:13" ht="19.95" customHeight="1" x14ac:dyDescent="0.25">
      <c r="A902" s="52"/>
      <c r="B902" s="51"/>
      <c r="C902" s="54" t="str">
        <f>IF(B902="","",VLOOKUP(B902,学生信息汇总!A:E,2,0))</f>
        <v/>
      </c>
      <c r="D902" s="50"/>
      <c r="E902" s="55" t="str">
        <f t="shared" ca="1" si="86"/>
        <v/>
      </c>
      <c r="F902" s="51"/>
      <c r="G902" s="55" t="str">
        <f t="shared" ca="1" si="87"/>
        <v/>
      </c>
      <c r="H902" s="50"/>
      <c r="I902" s="55" t="str">
        <f t="shared" ca="1" si="88"/>
        <v/>
      </c>
      <c r="J902" s="50"/>
      <c r="K902" s="55" t="str">
        <f t="shared" ca="1" si="89"/>
        <v/>
      </c>
      <c r="L902" s="64" t="str">
        <f>IF(B902="","",D902+F902+H902+J902+#REF!+#REF!+#REF!+#REF!+#REF!)</f>
        <v/>
      </c>
      <c r="M902" s="55" t="str">
        <f t="shared" ca="1" si="90"/>
        <v/>
      </c>
    </row>
    <row r="903" spans="1:13" ht="19.95" customHeight="1" x14ac:dyDescent="0.25">
      <c r="A903" s="52"/>
      <c r="B903" s="51"/>
      <c r="C903" s="54" t="str">
        <f>IF(B903="","",VLOOKUP(B903,学生信息汇总!A:E,2,0))</f>
        <v/>
      </c>
      <c r="D903" s="50"/>
      <c r="E903" s="55" t="str">
        <f t="shared" ca="1" si="86"/>
        <v/>
      </c>
      <c r="F903" s="51"/>
      <c r="G903" s="55" t="str">
        <f t="shared" ca="1" si="87"/>
        <v/>
      </c>
      <c r="H903" s="50"/>
      <c r="I903" s="55" t="str">
        <f t="shared" ca="1" si="88"/>
        <v/>
      </c>
      <c r="J903" s="50"/>
      <c r="K903" s="55" t="str">
        <f t="shared" ca="1" si="89"/>
        <v/>
      </c>
      <c r="L903" s="64" t="str">
        <f>IF(B903="","",D903+F903+H903+J903+#REF!+#REF!+#REF!+#REF!+#REF!)</f>
        <v/>
      </c>
      <c r="M903" s="55" t="str">
        <f t="shared" ca="1" si="90"/>
        <v/>
      </c>
    </row>
    <row r="904" spans="1:13" ht="19.95" customHeight="1" x14ac:dyDescent="0.25">
      <c r="A904" s="52"/>
      <c r="B904" s="51"/>
      <c r="C904" s="54" t="str">
        <f>IF(B904="","",VLOOKUP(B904,学生信息汇总!A:E,2,0))</f>
        <v/>
      </c>
      <c r="D904" s="50"/>
      <c r="E904" s="55" t="str">
        <f t="shared" ca="1" si="86"/>
        <v/>
      </c>
      <c r="F904" s="51"/>
      <c r="G904" s="55" t="str">
        <f t="shared" ca="1" si="87"/>
        <v/>
      </c>
      <c r="H904" s="50"/>
      <c r="I904" s="55" t="str">
        <f t="shared" ca="1" si="88"/>
        <v/>
      </c>
      <c r="J904" s="50"/>
      <c r="K904" s="55" t="str">
        <f t="shared" ca="1" si="89"/>
        <v/>
      </c>
      <c r="L904" s="64" t="str">
        <f>IF(B904="","",D904+F904+H904+J904+#REF!+#REF!+#REF!+#REF!+#REF!)</f>
        <v/>
      </c>
      <c r="M904" s="55" t="str">
        <f t="shared" ca="1" si="90"/>
        <v/>
      </c>
    </row>
    <row r="905" spans="1:13" ht="19.95" customHeight="1" x14ac:dyDescent="0.25">
      <c r="A905" s="52"/>
      <c r="B905" s="51"/>
      <c r="C905" s="54" t="str">
        <f>IF(B905="","",VLOOKUP(B905,学生信息汇总!A:E,2,0))</f>
        <v/>
      </c>
      <c r="D905" s="50"/>
      <c r="E905" s="55" t="str">
        <f t="shared" ca="1" si="86"/>
        <v/>
      </c>
      <c r="F905" s="51"/>
      <c r="G905" s="55" t="str">
        <f t="shared" ca="1" si="87"/>
        <v/>
      </c>
      <c r="H905" s="50"/>
      <c r="I905" s="55" t="str">
        <f t="shared" ca="1" si="88"/>
        <v/>
      </c>
      <c r="J905" s="50"/>
      <c r="K905" s="55" t="str">
        <f t="shared" ca="1" si="89"/>
        <v/>
      </c>
      <c r="L905" s="64" t="str">
        <f>IF(B905="","",D905+F905+H905+J905+#REF!+#REF!+#REF!+#REF!+#REF!)</f>
        <v/>
      </c>
      <c r="M905" s="55" t="str">
        <f t="shared" ca="1" si="90"/>
        <v/>
      </c>
    </row>
    <row r="906" spans="1:13" ht="19.95" customHeight="1" x14ac:dyDescent="0.25">
      <c r="A906" s="52"/>
      <c r="B906" s="51"/>
      <c r="C906" s="54" t="str">
        <f>IF(B906="","",VLOOKUP(B906,学生信息汇总!A:E,2,0))</f>
        <v/>
      </c>
      <c r="D906" s="50"/>
      <c r="E906" s="55" t="str">
        <f t="shared" ca="1" si="86"/>
        <v/>
      </c>
      <c r="F906" s="51"/>
      <c r="G906" s="55" t="str">
        <f t="shared" ca="1" si="87"/>
        <v/>
      </c>
      <c r="H906" s="50"/>
      <c r="I906" s="55" t="str">
        <f t="shared" ca="1" si="88"/>
        <v/>
      </c>
      <c r="J906" s="50"/>
      <c r="K906" s="55" t="str">
        <f t="shared" ca="1" si="89"/>
        <v/>
      </c>
      <c r="L906" s="64" t="str">
        <f>IF(B906="","",D906+F906+H906+J906+#REF!+#REF!+#REF!+#REF!+#REF!)</f>
        <v/>
      </c>
      <c r="M906" s="55" t="str">
        <f t="shared" ca="1" si="90"/>
        <v/>
      </c>
    </row>
    <row r="907" spans="1:13" ht="19.95" customHeight="1" x14ac:dyDescent="0.25">
      <c r="A907" s="52"/>
      <c r="B907" s="51"/>
      <c r="C907" s="54" t="str">
        <f>IF(B907="","",VLOOKUP(B907,学生信息汇总!A:E,2,0))</f>
        <v/>
      </c>
      <c r="D907" s="50"/>
      <c r="E907" s="55" t="str">
        <f t="shared" ca="1" si="86"/>
        <v/>
      </c>
      <c r="F907" s="51"/>
      <c r="G907" s="55" t="str">
        <f t="shared" ca="1" si="87"/>
        <v/>
      </c>
      <c r="H907" s="50"/>
      <c r="I907" s="55" t="str">
        <f t="shared" ca="1" si="88"/>
        <v/>
      </c>
      <c r="J907" s="50"/>
      <c r="K907" s="55" t="str">
        <f t="shared" ca="1" si="89"/>
        <v/>
      </c>
      <c r="L907" s="64" t="str">
        <f>IF(B907="","",D907+F907+H907+J907+#REF!+#REF!+#REF!+#REF!+#REF!)</f>
        <v/>
      </c>
      <c r="M907" s="55" t="str">
        <f t="shared" ca="1" si="90"/>
        <v/>
      </c>
    </row>
    <row r="908" spans="1:13" ht="19.95" customHeight="1" x14ac:dyDescent="0.25">
      <c r="A908" s="52"/>
      <c r="B908" s="51"/>
      <c r="C908" s="54" t="str">
        <f>IF(B908="","",VLOOKUP(B908,学生信息汇总!A:E,2,0))</f>
        <v/>
      </c>
      <c r="D908" s="50"/>
      <c r="E908" s="55" t="str">
        <f t="shared" ca="1" si="86"/>
        <v/>
      </c>
      <c r="F908" s="51"/>
      <c r="G908" s="55" t="str">
        <f t="shared" ca="1" si="87"/>
        <v/>
      </c>
      <c r="H908" s="50"/>
      <c r="I908" s="55" t="str">
        <f t="shared" ca="1" si="88"/>
        <v/>
      </c>
      <c r="J908" s="50"/>
      <c r="K908" s="55" t="str">
        <f t="shared" ca="1" si="89"/>
        <v/>
      </c>
      <c r="L908" s="64" t="str">
        <f>IF(B908="","",D908+F908+H908+J908+#REF!+#REF!+#REF!+#REF!+#REF!)</f>
        <v/>
      </c>
      <c r="M908" s="55" t="str">
        <f t="shared" ca="1" si="90"/>
        <v/>
      </c>
    </row>
    <row r="909" spans="1:13" ht="19.95" customHeight="1" x14ac:dyDescent="0.25">
      <c r="A909" s="52"/>
      <c r="B909" s="51"/>
      <c r="C909" s="54" t="str">
        <f>IF(B909="","",VLOOKUP(B909,学生信息汇总!A:E,2,0))</f>
        <v/>
      </c>
      <c r="D909" s="50"/>
      <c r="E909" s="55" t="str">
        <f t="shared" ca="1" si="86"/>
        <v/>
      </c>
      <c r="F909" s="51"/>
      <c r="G909" s="55" t="str">
        <f t="shared" ca="1" si="87"/>
        <v/>
      </c>
      <c r="H909" s="50"/>
      <c r="I909" s="55" t="str">
        <f t="shared" ca="1" si="88"/>
        <v/>
      </c>
      <c r="J909" s="50"/>
      <c r="K909" s="55" t="str">
        <f t="shared" ca="1" si="89"/>
        <v/>
      </c>
      <c r="L909" s="64" t="str">
        <f>IF(B909="","",D909+F909+H909+J909+#REF!+#REF!+#REF!+#REF!+#REF!)</f>
        <v/>
      </c>
      <c r="M909" s="55" t="str">
        <f t="shared" ca="1" si="90"/>
        <v/>
      </c>
    </row>
    <row r="910" spans="1:13" ht="19.95" customHeight="1" x14ac:dyDescent="0.25">
      <c r="A910" s="52"/>
      <c r="B910" s="51"/>
      <c r="C910" s="54" t="str">
        <f>IF(B910="","",VLOOKUP(B910,学生信息汇总!A:E,2,0))</f>
        <v/>
      </c>
      <c r="D910" s="50"/>
      <c r="E910" s="55" t="str">
        <f t="shared" ca="1" si="86"/>
        <v/>
      </c>
      <c r="F910" s="51"/>
      <c r="G910" s="55" t="str">
        <f t="shared" ca="1" si="87"/>
        <v/>
      </c>
      <c r="H910" s="50"/>
      <c r="I910" s="55" t="str">
        <f t="shared" ca="1" si="88"/>
        <v/>
      </c>
      <c r="J910" s="50"/>
      <c r="K910" s="55" t="str">
        <f t="shared" ca="1" si="89"/>
        <v/>
      </c>
      <c r="L910" s="64" t="str">
        <f>IF(B910="","",D910+F910+H910+J910+#REF!+#REF!+#REF!+#REF!+#REF!)</f>
        <v/>
      </c>
      <c r="M910" s="55" t="str">
        <f t="shared" ca="1" si="90"/>
        <v/>
      </c>
    </row>
    <row r="911" spans="1:13" ht="19.95" customHeight="1" x14ac:dyDescent="0.25">
      <c r="A911" s="52"/>
      <c r="B911" s="51"/>
      <c r="C911" s="54" t="str">
        <f>IF(B911="","",VLOOKUP(B911,学生信息汇总!A:E,2,0))</f>
        <v/>
      </c>
      <c r="D911" s="50"/>
      <c r="E911" s="55" t="str">
        <f t="shared" ca="1" si="86"/>
        <v/>
      </c>
      <c r="F911" s="51"/>
      <c r="G911" s="55" t="str">
        <f t="shared" ca="1" si="87"/>
        <v/>
      </c>
      <c r="H911" s="50"/>
      <c r="I911" s="55" t="str">
        <f t="shared" ca="1" si="88"/>
        <v/>
      </c>
      <c r="J911" s="50"/>
      <c r="K911" s="55" t="str">
        <f t="shared" ca="1" si="89"/>
        <v/>
      </c>
      <c r="L911" s="64" t="str">
        <f>IF(B911="","",D911+F911+H911+J911+#REF!+#REF!+#REF!+#REF!+#REF!)</f>
        <v/>
      </c>
      <c r="M911" s="55" t="str">
        <f t="shared" ca="1" si="90"/>
        <v/>
      </c>
    </row>
    <row r="912" spans="1:13" ht="19.95" customHeight="1" x14ac:dyDescent="0.25">
      <c r="A912" s="52"/>
      <c r="B912" s="51"/>
      <c r="C912" s="54" t="str">
        <f>IF(B912="","",VLOOKUP(B912,学生信息汇总!A:E,2,0))</f>
        <v/>
      </c>
      <c r="D912" s="50"/>
      <c r="E912" s="55" t="str">
        <f t="shared" ca="1" si="86"/>
        <v/>
      </c>
      <c r="F912" s="51"/>
      <c r="G912" s="55" t="str">
        <f t="shared" ca="1" si="87"/>
        <v/>
      </c>
      <c r="H912" s="50"/>
      <c r="I912" s="55" t="str">
        <f t="shared" ca="1" si="88"/>
        <v/>
      </c>
      <c r="J912" s="50"/>
      <c r="K912" s="55" t="str">
        <f t="shared" ca="1" si="89"/>
        <v/>
      </c>
      <c r="L912" s="64" t="str">
        <f>IF(B912="","",D912+F912+H912+J912+#REF!+#REF!+#REF!+#REF!+#REF!)</f>
        <v/>
      </c>
      <c r="M912" s="55" t="str">
        <f t="shared" ca="1" si="90"/>
        <v/>
      </c>
    </row>
    <row r="913" spans="1:13" ht="19.95" customHeight="1" x14ac:dyDescent="0.25">
      <c r="A913" s="52"/>
      <c r="B913" s="51"/>
      <c r="C913" s="54" t="str">
        <f>IF(B913="","",VLOOKUP(B913,学生信息汇总!A:E,2,0))</f>
        <v/>
      </c>
      <c r="D913" s="50"/>
      <c r="E913" s="55" t="str">
        <f t="shared" ca="1" si="86"/>
        <v/>
      </c>
      <c r="F913" s="51"/>
      <c r="G913" s="55" t="str">
        <f t="shared" ca="1" si="87"/>
        <v/>
      </c>
      <c r="H913" s="50"/>
      <c r="I913" s="55" t="str">
        <f t="shared" ca="1" si="88"/>
        <v/>
      </c>
      <c r="J913" s="50"/>
      <c r="K913" s="55" t="str">
        <f t="shared" ca="1" si="89"/>
        <v/>
      </c>
      <c r="L913" s="64" t="str">
        <f>IF(B913="","",D913+F913+H913+J913+#REF!+#REF!+#REF!+#REF!+#REF!)</f>
        <v/>
      </c>
      <c r="M913" s="55" t="str">
        <f t="shared" ca="1" si="90"/>
        <v/>
      </c>
    </row>
    <row r="914" spans="1:13" ht="19.95" customHeight="1" x14ac:dyDescent="0.25">
      <c r="A914" s="52"/>
      <c r="B914" s="51"/>
      <c r="C914" s="54" t="str">
        <f>IF(B914="","",VLOOKUP(B914,学生信息汇总!A:E,2,0))</f>
        <v/>
      </c>
      <c r="D914" s="50"/>
      <c r="E914" s="55" t="str">
        <f t="shared" ca="1" si="86"/>
        <v/>
      </c>
      <c r="F914" s="51"/>
      <c r="G914" s="55" t="str">
        <f t="shared" ca="1" si="87"/>
        <v/>
      </c>
      <c r="H914" s="50"/>
      <c r="I914" s="55" t="str">
        <f t="shared" ca="1" si="88"/>
        <v/>
      </c>
      <c r="J914" s="50"/>
      <c r="K914" s="55" t="str">
        <f t="shared" ca="1" si="89"/>
        <v/>
      </c>
      <c r="L914" s="64" t="str">
        <f>IF(B914="","",D914+F914+H914+J914+#REF!+#REF!+#REF!+#REF!+#REF!)</f>
        <v/>
      </c>
      <c r="M914" s="55" t="str">
        <f t="shared" ca="1" si="90"/>
        <v/>
      </c>
    </row>
    <row r="915" spans="1:13" ht="19.95" customHeight="1" x14ac:dyDescent="0.25">
      <c r="A915" s="52"/>
      <c r="B915" s="51"/>
      <c r="C915" s="54" t="str">
        <f>IF(B915="","",VLOOKUP(B915,学生信息汇总!A:E,2,0))</f>
        <v/>
      </c>
      <c r="D915" s="50"/>
      <c r="E915" s="55" t="str">
        <f t="shared" ca="1" si="86"/>
        <v/>
      </c>
      <c r="F915" s="51"/>
      <c r="G915" s="55" t="str">
        <f t="shared" ca="1" si="87"/>
        <v/>
      </c>
      <c r="H915" s="50"/>
      <c r="I915" s="55" t="str">
        <f t="shared" ca="1" si="88"/>
        <v/>
      </c>
      <c r="J915" s="50"/>
      <c r="K915" s="55" t="str">
        <f t="shared" ca="1" si="89"/>
        <v/>
      </c>
      <c r="L915" s="64" t="str">
        <f>IF(B915="","",D915+F915+H915+J915+#REF!+#REF!+#REF!+#REF!+#REF!)</f>
        <v/>
      </c>
      <c r="M915" s="55" t="str">
        <f t="shared" ca="1" si="90"/>
        <v/>
      </c>
    </row>
    <row r="916" spans="1:13" ht="19.95" customHeight="1" x14ac:dyDescent="0.25">
      <c r="A916" s="52"/>
      <c r="B916" s="51"/>
      <c r="C916" s="54" t="str">
        <f>IF(B916="","",VLOOKUP(B916,学生信息汇总!A:E,2,0))</f>
        <v/>
      </c>
      <c r="D916" s="50"/>
      <c r="E916" s="55" t="str">
        <f t="shared" ca="1" si="86"/>
        <v/>
      </c>
      <c r="F916" s="51"/>
      <c r="G916" s="55" t="str">
        <f t="shared" ca="1" si="87"/>
        <v/>
      </c>
      <c r="H916" s="50"/>
      <c r="I916" s="55" t="str">
        <f t="shared" ca="1" si="88"/>
        <v/>
      </c>
      <c r="J916" s="50"/>
      <c r="K916" s="55" t="str">
        <f t="shared" ca="1" si="89"/>
        <v/>
      </c>
      <c r="L916" s="64" t="str">
        <f>IF(B916="","",D916+F916+H916+J916+#REF!+#REF!+#REF!+#REF!+#REF!)</f>
        <v/>
      </c>
      <c r="M916" s="55" t="str">
        <f t="shared" ca="1" si="90"/>
        <v/>
      </c>
    </row>
    <row r="917" spans="1:13" ht="19.95" customHeight="1" x14ac:dyDescent="0.25">
      <c r="A917" s="52"/>
      <c r="B917" s="51"/>
      <c r="C917" s="54" t="str">
        <f>IF(B917="","",VLOOKUP(B917,学生信息汇总!A:E,2,0))</f>
        <v/>
      </c>
      <c r="D917" s="50"/>
      <c r="E917" s="55" t="str">
        <f t="shared" ca="1" si="86"/>
        <v/>
      </c>
      <c r="F917" s="51"/>
      <c r="G917" s="55" t="str">
        <f t="shared" ca="1" si="87"/>
        <v/>
      </c>
      <c r="H917" s="50"/>
      <c r="I917" s="55" t="str">
        <f t="shared" ca="1" si="88"/>
        <v/>
      </c>
      <c r="J917" s="50"/>
      <c r="K917" s="55" t="str">
        <f t="shared" ca="1" si="89"/>
        <v/>
      </c>
      <c r="L917" s="64" t="str">
        <f>IF(B917="","",D917+F917+H917+J917+#REF!+#REF!+#REF!+#REF!+#REF!)</f>
        <v/>
      </c>
      <c r="M917" s="55" t="str">
        <f t="shared" ca="1" si="90"/>
        <v/>
      </c>
    </row>
    <row r="918" spans="1:13" ht="19.95" customHeight="1" x14ac:dyDescent="0.25">
      <c r="A918" s="52"/>
      <c r="B918" s="51"/>
      <c r="C918" s="54" t="str">
        <f>IF(B918="","",VLOOKUP(B918,学生信息汇总!A:E,2,0))</f>
        <v/>
      </c>
      <c r="D918" s="50"/>
      <c r="E918" s="55" t="str">
        <f t="shared" ca="1" si="86"/>
        <v/>
      </c>
      <c r="F918" s="51"/>
      <c r="G918" s="55" t="str">
        <f t="shared" ca="1" si="87"/>
        <v/>
      </c>
      <c r="H918" s="50"/>
      <c r="I918" s="55" t="str">
        <f t="shared" ca="1" si="88"/>
        <v/>
      </c>
      <c r="J918" s="50"/>
      <c r="K918" s="55" t="str">
        <f t="shared" ca="1" si="89"/>
        <v/>
      </c>
      <c r="L918" s="64" t="str">
        <f>IF(B918="","",D918+F918+H918+J918+#REF!+#REF!+#REF!+#REF!+#REF!)</f>
        <v/>
      </c>
      <c r="M918" s="55" t="str">
        <f t="shared" ca="1" si="90"/>
        <v/>
      </c>
    </row>
    <row r="919" spans="1:13" ht="19.95" customHeight="1" x14ac:dyDescent="0.25">
      <c r="A919" s="52"/>
      <c r="B919" s="51"/>
      <c r="C919" s="54" t="str">
        <f>IF(B919="","",VLOOKUP(B919,学生信息汇总!A:E,2,0))</f>
        <v/>
      </c>
      <c r="D919" s="50"/>
      <c r="E919" s="55" t="str">
        <f t="shared" ca="1" si="86"/>
        <v/>
      </c>
      <c r="F919" s="51"/>
      <c r="G919" s="55" t="str">
        <f t="shared" ca="1" si="87"/>
        <v/>
      </c>
      <c r="H919" s="50"/>
      <c r="I919" s="55" t="str">
        <f t="shared" ca="1" si="88"/>
        <v/>
      </c>
      <c r="J919" s="50"/>
      <c r="K919" s="55" t="str">
        <f t="shared" ca="1" si="89"/>
        <v/>
      </c>
      <c r="L919" s="64" t="str">
        <f>IF(B919="","",D919+F919+H919+J919+#REF!+#REF!+#REF!+#REF!+#REF!)</f>
        <v/>
      </c>
      <c r="M919" s="55" t="str">
        <f t="shared" ca="1" si="90"/>
        <v/>
      </c>
    </row>
    <row r="920" spans="1:13" ht="19.95" customHeight="1" x14ac:dyDescent="0.25">
      <c r="A920" s="52"/>
      <c r="B920" s="51"/>
      <c r="C920" s="54" t="str">
        <f>IF(B920="","",VLOOKUP(B920,学生信息汇总!A:E,2,0))</f>
        <v/>
      </c>
      <c r="D920" s="50"/>
      <c r="E920" s="55" t="str">
        <f t="shared" ca="1" si="86"/>
        <v/>
      </c>
      <c r="F920" s="51"/>
      <c r="G920" s="55" t="str">
        <f t="shared" ca="1" si="87"/>
        <v/>
      </c>
      <c r="H920" s="50"/>
      <c r="I920" s="55" t="str">
        <f t="shared" ca="1" si="88"/>
        <v/>
      </c>
      <c r="J920" s="50"/>
      <c r="K920" s="55" t="str">
        <f t="shared" ca="1" si="89"/>
        <v/>
      </c>
      <c r="L920" s="64" t="str">
        <f>IF(B920="","",D920+F920+H920+J920+#REF!+#REF!+#REF!+#REF!+#REF!)</f>
        <v/>
      </c>
      <c r="M920" s="55" t="str">
        <f t="shared" ca="1" si="90"/>
        <v/>
      </c>
    </row>
    <row r="921" spans="1:13" ht="19.95" customHeight="1" x14ac:dyDescent="0.25">
      <c r="A921" s="52"/>
      <c r="B921" s="51"/>
      <c r="C921" s="54" t="str">
        <f>IF(B921="","",VLOOKUP(B921,学生信息汇总!A:E,2,0))</f>
        <v/>
      </c>
      <c r="D921" s="50"/>
      <c r="E921" s="55" t="str">
        <f t="shared" ca="1" si="86"/>
        <v/>
      </c>
      <c r="F921" s="51"/>
      <c r="G921" s="55" t="str">
        <f t="shared" ca="1" si="87"/>
        <v/>
      </c>
      <c r="H921" s="50"/>
      <c r="I921" s="55" t="str">
        <f t="shared" ca="1" si="88"/>
        <v/>
      </c>
      <c r="J921" s="50"/>
      <c r="K921" s="55" t="str">
        <f t="shared" ca="1" si="89"/>
        <v/>
      </c>
      <c r="L921" s="64" t="str">
        <f>IF(B921="","",D921+F921+H921+J921+#REF!+#REF!+#REF!+#REF!+#REF!)</f>
        <v/>
      </c>
      <c r="M921" s="55" t="str">
        <f t="shared" ca="1" si="90"/>
        <v/>
      </c>
    </row>
    <row r="922" spans="1:13" ht="19.95" customHeight="1" x14ac:dyDescent="0.25">
      <c r="A922" s="52"/>
      <c r="B922" s="51"/>
      <c r="C922" s="54" t="str">
        <f>IF(B922="","",VLOOKUP(B922,学生信息汇总!A:E,2,0))</f>
        <v/>
      </c>
      <c r="D922" s="50"/>
      <c r="E922" s="55" t="str">
        <f t="shared" ca="1" si="86"/>
        <v/>
      </c>
      <c r="F922" s="51"/>
      <c r="G922" s="55" t="str">
        <f t="shared" ca="1" si="87"/>
        <v/>
      </c>
      <c r="H922" s="50"/>
      <c r="I922" s="55" t="str">
        <f t="shared" ca="1" si="88"/>
        <v/>
      </c>
      <c r="J922" s="50"/>
      <c r="K922" s="55" t="str">
        <f t="shared" ca="1" si="89"/>
        <v/>
      </c>
      <c r="L922" s="64" t="str">
        <f>IF(B922="","",D922+F922+H922+J922+#REF!+#REF!+#REF!+#REF!+#REF!)</f>
        <v/>
      </c>
      <c r="M922" s="55" t="str">
        <f t="shared" ca="1" si="90"/>
        <v/>
      </c>
    </row>
    <row r="923" spans="1:13" ht="19.95" customHeight="1" x14ac:dyDescent="0.25">
      <c r="A923" s="52"/>
      <c r="B923" s="51"/>
      <c r="C923" s="54" t="str">
        <f>IF(B923="","",VLOOKUP(B923,学生信息汇总!A:E,2,0))</f>
        <v/>
      </c>
      <c r="D923" s="50"/>
      <c r="E923" s="55" t="str">
        <f t="shared" ca="1" si="86"/>
        <v/>
      </c>
      <c r="F923" s="51"/>
      <c r="G923" s="55" t="str">
        <f t="shared" ca="1" si="87"/>
        <v/>
      </c>
      <c r="H923" s="50"/>
      <c r="I923" s="55" t="str">
        <f t="shared" ca="1" si="88"/>
        <v/>
      </c>
      <c r="J923" s="50"/>
      <c r="K923" s="55" t="str">
        <f t="shared" ca="1" si="89"/>
        <v/>
      </c>
      <c r="L923" s="64" t="str">
        <f>IF(B923="","",D923+F923+H923+J923+#REF!+#REF!+#REF!+#REF!+#REF!)</f>
        <v/>
      </c>
      <c r="M923" s="55" t="str">
        <f t="shared" ca="1" si="90"/>
        <v/>
      </c>
    </row>
    <row r="924" spans="1:13" ht="19.95" customHeight="1" x14ac:dyDescent="0.25">
      <c r="A924" s="52"/>
      <c r="B924" s="51"/>
      <c r="C924" s="54" t="str">
        <f>IF(B924="","",VLOOKUP(B924,学生信息汇总!A:E,2,0))</f>
        <v/>
      </c>
      <c r="D924" s="50"/>
      <c r="E924" s="55" t="str">
        <f t="shared" ca="1" si="86"/>
        <v/>
      </c>
      <c r="F924" s="51"/>
      <c r="G924" s="55" t="str">
        <f t="shared" ca="1" si="87"/>
        <v/>
      </c>
      <c r="H924" s="50"/>
      <c r="I924" s="55" t="str">
        <f t="shared" ca="1" si="88"/>
        <v/>
      </c>
      <c r="J924" s="50"/>
      <c r="K924" s="55" t="str">
        <f t="shared" ca="1" si="89"/>
        <v/>
      </c>
      <c r="L924" s="64" t="str">
        <f>IF(B924="","",D924+F924+H924+J924+#REF!+#REF!+#REF!+#REF!+#REF!)</f>
        <v/>
      </c>
      <c r="M924" s="55" t="str">
        <f t="shared" ca="1" si="90"/>
        <v/>
      </c>
    </row>
    <row r="925" spans="1:13" ht="19.95" customHeight="1" x14ac:dyDescent="0.25">
      <c r="A925" s="52"/>
      <c r="B925" s="51"/>
      <c r="C925" s="54" t="str">
        <f>IF(B925="","",VLOOKUP(B925,学生信息汇总!A:E,2,0))</f>
        <v/>
      </c>
      <c r="D925" s="50"/>
      <c r="E925" s="55" t="str">
        <f t="shared" ca="1" si="86"/>
        <v/>
      </c>
      <c r="F925" s="51"/>
      <c r="G925" s="55" t="str">
        <f t="shared" ca="1" si="87"/>
        <v/>
      </c>
      <c r="H925" s="50"/>
      <c r="I925" s="55" t="str">
        <f t="shared" ca="1" si="88"/>
        <v/>
      </c>
      <c r="J925" s="50"/>
      <c r="K925" s="55" t="str">
        <f t="shared" ca="1" si="89"/>
        <v/>
      </c>
      <c r="L925" s="64" t="str">
        <f>IF(B925="","",D925+F925+H925+J925+#REF!+#REF!+#REF!+#REF!+#REF!)</f>
        <v/>
      </c>
      <c r="M925" s="55" t="str">
        <f t="shared" ca="1" si="90"/>
        <v/>
      </c>
    </row>
    <row r="926" spans="1:13" ht="19.95" customHeight="1" x14ac:dyDescent="0.25">
      <c r="A926" s="52"/>
      <c r="B926" s="51"/>
      <c r="C926" s="54" t="str">
        <f>IF(B926="","",VLOOKUP(B926,学生信息汇总!A:E,2,0))</f>
        <v/>
      </c>
      <c r="D926" s="50"/>
      <c r="E926" s="55" t="str">
        <f t="shared" ca="1" si="86"/>
        <v/>
      </c>
      <c r="F926" s="51"/>
      <c r="G926" s="55" t="str">
        <f t="shared" ca="1" si="87"/>
        <v/>
      </c>
      <c r="H926" s="50"/>
      <c r="I926" s="55" t="str">
        <f t="shared" ca="1" si="88"/>
        <v/>
      </c>
      <c r="J926" s="50"/>
      <c r="K926" s="55" t="str">
        <f t="shared" ca="1" si="89"/>
        <v/>
      </c>
      <c r="L926" s="64" t="str">
        <f>IF(B926="","",D926+F926+H926+J926+#REF!+#REF!+#REF!+#REF!+#REF!)</f>
        <v/>
      </c>
      <c r="M926" s="55" t="str">
        <f t="shared" ca="1" si="90"/>
        <v/>
      </c>
    </row>
    <row r="927" spans="1:13" ht="19.95" customHeight="1" x14ac:dyDescent="0.25">
      <c r="A927" s="52"/>
      <c r="B927" s="51"/>
      <c r="C927" s="54" t="str">
        <f>IF(B927="","",VLOOKUP(B927,学生信息汇总!A:E,2,0))</f>
        <v/>
      </c>
      <c r="D927" s="50"/>
      <c r="E927" s="55" t="str">
        <f t="shared" ca="1" si="86"/>
        <v/>
      </c>
      <c r="F927" s="51"/>
      <c r="G927" s="55" t="str">
        <f t="shared" ca="1" si="87"/>
        <v/>
      </c>
      <c r="H927" s="50"/>
      <c r="I927" s="55" t="str">
        <f t="shared" ca="1" si="88"/>
        <v/>
      </c>
      <c r="J927" s="50"/>
      <c r="K927" s="55" t="str">
        <f t="shared" ca="1" si="89"/>
        <v/>
      </c>
      <c r="L927" s="64" t="str">
        <f>IF(B927="","",D927+F927+H927+J927+#REF!+#REF!+#REF!+#REF!+#REF!)</f>
        <v/>
      </c>
      <c r="M927" s="55" t="str">
        <f t="shared" ca="1" si="90"/>
        <v/>
      </c>
    </row>
    <row r="928" spans="1:13" ht="19.95" customHeight="1" x14ac:dyDescent="0.25">
      <c r="A928" s="52"/>
      <c r="B928" s="51"/>
      <c r="C928" s="54" t="str">
        <f>IF(B928="","",VLOOKUP(B928,学生信息汇总!A:E,2,0))</f>
        <v/>
      </c>
      <c r="D928" s="50"/>
      <c r="E928" s="55" t="str">
        <f t="shared" ca="1" si="86"/>
        <v/>
      </c>
      <c r="F928" s="51"/>
      <c r="G928" s="55" t="str">
        <f t="shared" ca="1" si="87"/>
        <v/>
      </c>
      <c r="H928" s="50"/>
      <c r="I928" s="55" t="str">
        <f t="shared" ca="1" si="88"/>
        <v/>
      </c>
      <c r="J928" s="50"/>
      <c r="K928" s="55" t="str">
        <f t="shared" ca="1" si="89"/>
        <v/>
      </c>
      <c r="L928" s="64" t="str">
        <f>IF(B928="","",D928+F928+H928+J928+#REF!+#REF!+#REF!+#REF!+#REF!)</f>
        <v/>
      </c>
      <c r="M928" s="55" t="str">
        <f t="shared" ca="1" si="90"/>
        <v/>
      </c>
    </row>
    <row r="929" spans="1:13" ht="19.95" customHeight="1" x14ac:dyDescent="0.25">
      <c r="A929" s="52"/>
      <c r="B929" s="51"/>
      <c r="C929" s="54" t="str">
        <f>IF(B929="","",VLOOKUP(B929,学生信息汇总!A:E,2,0))</f>
        <v/>
      </c>
      <c r="D929" s="50"/>
      <c r="E929" s="55" t="str">
        <f t="shared" ca="1" si="86"/>
        <v/>
      </c>
      <c r="F929" s="51"/>
      <c r="G929" s="55" t="str">
        <f t="shared" ca="1" si="87"/>
        <v/>
      </c>
      <c r="H929" s="50"/>
      <c r="I929" s="55" t="str">
        <f t="shared" ca="1" si="88"/>
        <v/>
      </c>
      <c r="J929" s="50"/>
      <c r="K929" s="55" t="str">
        <f t="shared" ca="1" si="89"/>
        <v/>
      </c>
      <c r="L929" s="64" t="str">
        <f>IF(B929="","",D929+F929+H929+J929+#REF!+#REF!+#REF!+#REF!+#REF!)</f>
        <v/>
      </c>
      <c r="M929" s="55" t="str">
        <f t="shared" ca="1" si="90"/>
        <v/>
      </c>
    </row>
    <row r="930" spans="1:13" ht="19.95" customHeight="1" x14ac:dyDescent="0.25">
      <c r="A930" s="52"/>
      <c r="B930" s="51"/>
      <c r="C930" s="54" t="str">
        <f>IF(B930="","",VLOOKUP(B930,学生信息汇总!A:E,2,0))</f>
        <v/>
      </c>
      <c r="D930" s="50"/>
      <c r="E930" s="55" t="str">
        <f t="shared" ca="1" si="86"/>
        <v/>
      </c>
      <c r="F930" s="51"/>
      <c r="G930" s="55" t="str">
        <f t="shared" ca="1" si="87"/>
        <v/>
      </c>
      <c r="H930" s="50"/>
      <c r="I930" s="55" t="str">
        <f t="shared" ca="1" si="88"/>
        <v/>
      </c>
      <c r="J930" s="50"/>
      <c r="K930" s="55" t="str">
        <f t="shared" ca="1" si="89"/>
        <v/>
      </c>
      <c r="L930" s="64" t="str">
        <f>IF(B930="","",D930+F930+H930+J930+#REF!+#REF!+#REF!+#REF!+#REF!)</f>
        <v/>
      </c>
      <c r="M930" s="55" t="str">
        <f t="shared" ca="1" si="90"/>
        <v/>
      </c>
    </row>
    <row r="931" spans="1:13" ht="19.95" customHeight="1" x14ac:dyDescent="0.25">
      <c r="A931" s="52"/>
      <c r="B931" s="51"/>
      <c r="C931" s="54" t="str">
        <f>IF(B931="","",VLOOKUP(B931,学生信息汇总!A:E,2,0))</f>
        <v/>
      </c>
      <c r="D931" s="50"/>
      <c r="E931" s="55" t="str">
        <f t="shared" ca="1" si="86"/>
        <v/>
      </c>
      <c r="F931" s="51"/>
      <c r="G931" s="55" t="str">
        <f t="shared" ca="1" si="87"/>
        <v/>
      </c>
      <c r="H931" s="50"/>
      <c r="I931" s="55" t="str">
        <f t="shared" ca="1" si="88"/>
        <v/>
      </c>
      <c r="J931" s="50"/>
      <c r="K931" s="55" t="str">
        <f t="shared" ca="1" si="89"/>
        <v/>
      </c>
      <c r="L931" s="64" t="str">
        <f>IF(B931="","",D931+F931+H931+J931+#REF!+#REF!+#REF!+#REF!+#REF!)</f>
        <v/>
      </c>
      <c r="M931" s="55" t="str">
        <f t="shared" ca="1" si="90"/>
        <v/>
      </c>
    </row>
    <row r="932" spans="1:13" ht="19.95" customHeight="1" x14ac:dyDescent="0.25">
      <c r="A932" s="52"/>
      <c r="B932" s="51"/>
      <c r="C932" s="54" t="str">
        <f>IF(B932="","",VLOOKUP(B932,学生信息汇总!A:E,2,0))</f>
        <v/>
      </c>
      <c r="D932" s="50"/>
      <c r="E932" s="55" t="str">
        <f t="shared" ca="1" si="86"/>
        <v/>
      </c>
      <c r="F932" s="51"/>
      <c r="G932" s="55" t="str">
        <f t="shared" ca="1" si="87"/>
        <v/>
      </c>
      <c r="H932" s="50"/>
      <c r="I932" s="55" t="str">
        <f t="shared" ca="1" si="88"/>
        <v/>
      </c>
      <c r="J932" s="50"/>
      <c r="K932" s="55" t="str">
        <f t="shared" ca="1" si="89"/>
        <v/>
      </c>
      <c r="L932" s="64" t="str">
        <f>IF(B932="","",D932+F932+H932+J932+#REF!+#REF!+#REF!+#REF!+#REF!)</f>
        <v/>
      </c>
      <c r="M932" s="55" t="str">
        <f t="shared" ca="1" si="90"/>
        <v/>
      </c>
    </row>
    <row r="933" spans="1:13" ht="19.95" customHeight="1" x14ac:dyDescent="0.25">
      <c r="A933" s="52"/>
      <c r="B933" s="51"/>
      <c r="C933" s="54" t="str">
        <f>IF(B933="","",VLOOKUP(B933,学生信息汇总!A:E,2,0))</f>
        <v/>
      </c>
      <c r="D933" s="50"/>
      <c r="E933" s="55" t="str">
        <f t="shared" ca="1" si="86"/>
        <v/>
      </c>
      <c r="F933" s="51"/>
      <c r="G933" s="55" t="str">
        <f t="shared" ca="1" si="87"/>
        <v/>
      </c>
      <c r="H933" s="50"/>
      <c r="I933" s="55" t="str">
        <f t="shared" ca="1" si="88"/>
        <v/>
      </c>
      <c r="J933" s="50"/>
      <c r="K933" s="55" t="str">
        <f t="shared" ca="1" si="89"/>
        <v/>
      </c>
      <c r="L933" s="64" t="str">
        <f>IF(B933="","",D933+F933+H933+J933+#REF!+#REF!+#REF!+#REF!+#REF!)</f>
        <v/>
      </c>
      <c r="M933" s="55" t="str">
        <f t="shared" ca="1" si="90"/>
        <v/>
      </c>
    </row>
    <row r="934" spans="1:13" ht="19.95" customHeight="1" x14ac:dyDescent="0.25">
      <c r="A934" s="52"/>
      <c r="B934" s="51"/>
      <c r="C934" s="54" t="str">
        <f>IF(B934="","",VLOOKUP(B934,学生信息汇总!A:E,2,0))</f>
        <v/>
      </c>
      <c r="D934" s="50"/>
      <c r="E934" s="55" t="str">
        <f t="shared" ca="1" si="86"/>
        <v/>
      </c>
      <c r="F934" s="51"/>
      <c r="G934" s="55" t="str">
        <f t="shared" ca="1" si="87"/>
        <v/>
      </c>
      <c r="H934" s="50"/>
      <c r="I934" s="55" t="str">
        <f t="shared" ca="1" si="88"/>
        <v/>
      </c>
      <c r="J934" s="50"/>
      <c r="K934" s="55" t="str">
        <f t="shared" ca="1" si="89"/>
        <v/>
      </c>
      <c r="L934" s="64" t="str">
        <f>IF(B934="","",D934+F934+H934+J934+#REF!+#REF!+#REF!+#REF!+#REF!)</f>
        <v/>
      </c>
      <c r="M934" s="55" t="str">
        <f t="shared" ca="1" si="90"/>
        <v/>
      </c>
    </row>
    <row r="935" spans="1:13" ht="19.95" customHeight="1" x14ac:dyDescent="0.25">
      <c r="A935" s="52"/>
      <c r="B935" s="51"/>
      <c r="C935" s="54" t="str">
        <f>IF(B935="","",VLOOKUP(B935,学生信息汇总!A:E,2,0))</f>
        <v/>
      </c>
      <c r="D935" s="50"/>
      <c r="E935" s="55" t="str">
        <f t="shared" ca="1" si="86"/>
        <v/>
      </c>
      <c r="F935" s="51"/>
      <c r="G935" s="55" t="str">
        <f t="shared" ca="1" si="87"/>
        <v/>
      </c>
      <c r="H935" s="50"/>
      <c r="I935" s="55" t="str">
        <f t="shared" ca="1" si="88"/>
        <v/>
      </c>
      <c r="J935" s="50"/>
      <c r="K935" s="55" t="str">
        <f t="shared" ca="1" si="89"/>
        <v/>
      </c>
      <c r="L935" s="64" t="str">
        <f>IF(B935="","",D935+F935+H935+J935+#REF!+#REF!+#REF!+#REF!+#REF!)</f>
        <v/>
      </c>
      <c r="M935" s="55" t="str">
        <f t="shared" ca="1" si="90"/>
        <v/>
      </c>
    </row>
    <row r="936" spans="1:13" ht="19.95" customHeight="1" x14ac:dyDescent="0.25">
      <c r="A936" s="52"/>
      <c r="B936" s="51"/>
      <c r="C936" s="54" t="str">
        <f>IF(B936="","",VLOOKUP(B936,学生信息汇总!A:E,2,0))</f>
        <v/>
      </c>
      <c r="D936" s="50"/>
      <c r="E936" s="55" t="str">
        <f t="shared" ca="1" si="86"/>
        <v/>
      </c>
      <c r="F936" s="51"/>
      <c r="G936" s="55" t="str">
        <f t="shared" ca="1" si="87"/>
        <v/>
      </c>
      <c r="H936" s="50"/>
      <c r="I936" s="55" t="str">
        <f t="shared" ca="1" si="88"/>
        <v/>
      </c>
      <c r="J936" s="50"/>
      <c r="K936" s="55" t="str">
        <f t="shared" ca="1" si="89"/>
        <v/>
      </c>
      <c r="L936" s="64" t="str">
        <f>IF(B936="","",D936+F936+H936+J936+#REF!+#REF!+#REF!+#REF!+#REF!)</f>
        <v/>
      </c>
      <c r="M936" s="55" t="str">
        <f t="shared" ca="1" si="90"/>
        <v/>
      </c>
    </row>
    <row r="937" spans="1:13" ht="19.95" customHeight="1" x14ac:dyDescent="0.25">
      <c r="A937" s="52"/>
      <c r="B937" s="51"/>
      <c r="C937" s="54" t="str">
        <f>IF(B937="","",VLOOKUP(B937,学生信息汇总!A:E,2,0))</f>
        <v/>
      </c>
      <c r="D937" s="50"/>
      <c r="E937" s="55" t="str">
        <f t="shared" ca="1" si="86"/>
        <v/>
      </c>
      <c r="F937" s="51"/>
      <c r="G937" s="55" t="str">
        <f t="shared" ca="1" si="87"/>
        <v/>
      </c>
      <c r="H937" s="50"/>
      <c r="I937" s="55" t="str">
        <f t="shared" ca="1" si="88"/>
        <v/>
      </c>
      <c r="J937" s="50"/>
      <c r="K937" s="55" t="str">
        <f t="shared" ca="1" si="89"/>
        <v/>
      </c>
      <c r="L937" s="64" t="str">
        <f>IF(B937="","",D937+F937+H937+J937+#REF!+#REF!+#REF!+#REF!+#REF!)</f>
        <v/>
      </c>
      <c r="M937" s="55" t="str">
        <f t="shared" ca="1" si="90"/>
        <v/>
      </c>
    </row>
    <row r="938" spans="1:13" ht="19.95" customHeight="1" x14ac:dyDescent="0.25">
      <c r="A938" s="52"/>
      <c r="B938" s="51"/>
      <c r="C938" s="54" t="str">
        <f>IF(B938="","",VLOOKUP(B938,学生信息汇总!A:E,2,0))</f>
        <v/>
      </c>
      <c r="D938" s="50"/>
      <c r="E938" s="55" t="str">
        <f t="shared" ca="1" si="86"/>
        <v/>
      </c>
      <c r="F938" s="51"/>
      <c r="G938" s="55" t="str">
        <f t="shared" ca="1" si="87"/>
        <v/>
      </c>
      <c r="H938" s="50"/>
      <c r="I938" s="55" t="str">
        <f t="shared" ca="1" si="88"/>
        <v/>
      </c>
      <c r="J938" s="50"/>
      <c r="K938" s="55" t="str">
        <f t="shared" ca="1" si="89"/>
        <v/>
      </c>
      <c r="L938" s="64" t="str">
        <f>IF(B938="","",D938+F938+H938+J938+#REF!+#REF!+#REF!+#REF!+#REF!)</f>
        <v/>
      </c>
      <c r="M938" s="55" t="str">
        <f t="shared" ca="1" si="90"/>
        <v/>
      </c>
    </row>
    <row r="939" spans="1:13" ht="19.95" customHeight="1" x14ac:dyDescent="0.25">
      <c r="A939" s="52"/>
      <c r="B939" s="51"/>
      <c r="C939" s="54" t="str">
        <f>IF(B939="","",VLOOKUP(B939,学生信息汇总!A:E,2,0))</f>
        <v/>
      </c>
      <c r="D939" s="50"/>
      <c r="E939" s="55" t="str">
        <f t="shared" ca="1" si="86"/>
        <v/>
      </c>
      <c r="F939" s="51"/>
      <c r="G939" s="55" t="str">
        <f t="shared" ca="1" si="87"/>
        <v/>
      </c>
      <c r="H939" s="50"/>
      <c r="I939" s="55" t="str">
        <f t="shared" ca="1" si="88"/>
        <v/>
      </c>
      <c r="J939" s="50"/>
      <c r="K939" s="55" t="str">
        <f t="shared" ca="1" si="89"/>
        <v/>
      </c>
      <c r="L939" s="64" t="str">
        <f>IF(B939="","",D939+F939+H939+J939+#REF!+#REF!+#REF!+#REF!+#REF!)</f>
        <v/>
      </c>
      <c r="M939" s="55" t="str">
        <f t="shared" ca="1" si="90"/>
        <v/>
      </c>
    </row>
    <row r="940" spans="1:13" ht="19.95" customHeight="1" x14ac:dyDescent="0.25">
      <c r="A940" s="52"/>
      <c r="B940" s="51"/>
      <c r="C940" s="54" t="str">
        <f>IF(B940="","",VLOOKUP(B940,学生信息汇总!A:E,2,0))</f>
        <v/>
      </c>
      <c r="D940" s="50"/>
      <c r="E940" s="55" t="str">
        <f t="shared" ref="E940:E1003" ca="1" si="91">IF(D940="","",RANK(D940,INDIRECT(ADDRESS(MATCH(VLOOKUP(A940,A:A,1,0),A:A,0),6)&amp;":"&amp;ADDRESS((MATCH(VLOOKUP(A940,A:A,1,0),A:A,0)+COUNTIF(A:A,A940)-1),6))))</f>
        <v/>
      </c>
      <c r="F940" s="51"/>
      <c r="G940" s="55" t="str">
        <f t="shared" ref="G940:G1003" ca="1" si="92">IF(F940="","",RANK(F940,INDIRECT(ADDRESS(MATCH(VLOOKUP(A940,A:A,1,0),A:A,0),8)&amp;":"&amp;ADDRESS((MATCH(VLOOKUP(A940,A:A,1,0),A:A,0)+COUNTIF(A:A,A940)-1),8))))</f>
        <v/>
      </c>
      <c r="H940" s="50"/>
      <c r="I940" s="55" t="str">
        <f t="shared" ref="I940:I1003" ca="1" si="93">IF(H940="","",RANK(H940,INDIRECT(ADDRESS(MATCH(VLOOKUP(A940,A:A,1,0),A:A,0),10)&amp;":"&amp;ADDRESS((MATCH(VLOOKUP(A940,A:A,1,0),A:A,0)+COUNTIF(A:A,A940)-1),10))))</f>
        <v/>
      </c>
      <c r="J940" s="50"/>
      <c r="K940" s="55" t="str">
        <f t="shared" ref="K940:K1003" ca="1" si="94">IF(J940="","",RANK(J940,INDIRECT(ADDRESS(MATCH(VLOOKUP(A940,A:A,1,0),A:A,0),12)&amp;":"&amp;ADDRESS((MATCH(VLOOKUP(A940,A:A,1,0),A:A,0)+COUNTIF(A:A,A940)-1),12))))</f>
        <v/>
      </c>
      <c r="L940" s="64" t="str">
        <f>IF(B940="","",D940+F940+H940+J940+#REF!+#REF!+#REF!+#REF!+#REF!)</f>
        <v/>
      </c>
      <c r="M940" s="55" t="str">
        <f t="shared" ref="M940:M1003" ca="1" si="95">IF(L940="","",RANK(L940,INDIRECT(ADDRESS(MATCH(VLOOKUP(A940,A:A,1,0),A:A,0),26)&amp;":"&amp;ADDRESS((MATCH(VLOOKUP(A940,A:A,1,0),A:A,0)+COUNTIF(A:A,A940)-1),26))))</f>
        <v/>
      </c>
    </row>
    <row r="941" spans="1:13" ht="19.95" customHeight="1" x14ac:dyDescent="0.25">
      <c r="A941" s="52"/>
      <c r="B941" s="51"/>
      <c r="C941" s="54" t="str">
        <f>IF(B941="","",VLOOKUP(B941,学生信息汇总!A:E,2,0))</f>
        <v/>
      </c>
      <c r="D941" s="50"/>
      <c r="E941" s="55" t="str">
        <f t="shared" ca="1" si="91"/>
        <v/>
      </c>
      <c r="F941" s="51"/>
      <c r="G941" s="55" t="str">
        <f t="shared" ca="1" si="92"/>
        <v/>
      </c>
      <c r="H941" s="50"/>
      <c r="I941" s="55" t="str">
        <f t="shared" ca="1" si="93"/>
        <v/>
      </c>
      <c r="J941" s="50"/>
      <c r="K941" s="55" t="str">
        <f t="shared" ca="1" si="94"/>
        <v/>
      </c>
      <c r="L941" s="64" t="str">
        <f>IF(B941="","",D941+F941+H941+J941+#REF!+#REF!+#REF!+#REF!+#REF!)</f>
        <v/>
      </c>
      <c r="M941" s="55" t="str">
        <f t="shared" ca="1" si="95"/>
        <v/>
      </c>
    </row>
    <row r="942" spans="1:13" ht="19.95" customHeight="1" x14ac:dyDescent="0.25">
      <c r="A942" s="52"/>
      <c r="B942" s="51"/>
      <c r="C942" s="54" t="str">
        <f>IF(B942="","",VLOOKUP(B942,学生信息汇总!A:E,2,0))</f>
        <v/>
      </c>
      <c r="D942" s="50"/>
      <c r="E942" s="55" t="str">
        <f t="shared" ca="1" si="91"/>
        <v/>
      </c>
      <c r="F942" s="51"/>
      <c r="G942" s="55" t="str">
        <f t="shared" ca="1" si="92"/>
        <v/>
      </c>
      <c r="H942" s="50"/>
      <c r="I942" s="55" t="str">
        <f t="shared" ca="1" si="93"/>
        <v/>
      </c>
      <c r="J942" s="50"/>
      <c r="K942" s="55" t="str">
        <f t="shared" ca="1" si="94"/>
        <v/>
      </c>
      <c r="L942" s="64" t="str">
        <f>IF(B942="","",D942+F942+H942+J942+#REF!+#REF!+#REF!+#REF!+#REF!)</f>
        <v/>
      </c>
      <c r="M942" s="55" t="str">
        <f t="shared" ca="1" si="95"/>
        <v/>
      </c>
    </row>
    <row r="943" spans="1:13" ht="19.95" customHeight="1" x14ac:dyDescent="0.25">
      <c r="A943" s="52"/>
      <c r="B943" s="51"/>
      <c r="C943" s="54" t="str">
        <f>IF(B943="","",VLOOKUP(B943,学生信息汇总!A:E,2,0))</f>
        <v/>
      </c>
      <c r="D943" s="50"/>
      <c r="E943" s="55" t="str">
        <f t="shared" ca="1" si="91"/>
        <v/>
      </c>
      <c r="F943" s="51"/>
      <c r="G943" s="55" t="str">
        <f t="shared" ca="1" si="92"/>
        <v/>
      </c>
      <c r="H943" s="50"/>
      <c r="I943" s="55" t="str">
        <f t="shared" ca="1" si="93"/>
        <v/>
      </c>
      <c r="J943" s="50"/>
      <c r="K943" s="55" t="str">
        <f t="shared" ca="1" si="94"/>
        <v/>
      </c>
      <c r="L943" s="64" t="str">
        <f>IF(B943="","",D943+F943+H943+J943+#REF!+#REF!+#REF!+#REF!+#REF!)</f>
        <v/>
      </c>
      <c r="M943" s="55" t="str">
        <f t="shared" ca="1" si="95"/>
        <v/>
      </c>
    </row>
    <row r="944" spans="1:13" ht="19.95" customHeight="1" x14ac:dyDescent="0.25">
      <c r="A944" s="52"/>
      <c r="B944" s="51"/>
      <c r="C944" s="54" t="str">
        <f>IF(B944="","",VLOOKUP(B944,学生信息汇总!A:E,2,0))</f>
        <v/>
      </c>
      <c r="D944" s="50"/>
      <c r="E944" s="55" t="str">
        <f t="shared" ca="1" si="91"/>
        <v/>
      </c>
      <c r="F944" s="51"/>
      <c r="G944" s="55" t="str">
        <f t="shared" ca="1" si="92"/>
        <v/>
      </c>
      <c r="H944" s="50"/>
      <c r="I944" s="55" t="str">
        <f t="shared" ca="1" si="93"/>
        <v/>
      </c>
      <c r="J944" s="50"/>
      <c r="K944" s="55" t="str">
        <f t="shared" ca="1" si="94"/>
        <v/>
      </c>
      <c r="L944" s="64" t="str">
        <f>IF(B944="","",D944+F944+H944+J944+#REF!+#REF!+#REF!+#REF!+#REF!)</f>
        <v/>
      </c>
      <c r="M944" s="55" t="str">
        <f t="shared" ca="1" si="95"/>
        <v/>
      </c>
    </row>
    <row r="945" spans="1:13" ht="19.95" customHeight="1" x14ac:dyDescent="0.25">
      <c r="A945" s="52"/>
      <c r="B945" s="51"/>
      <c r="C945" s="54" t="str">
        <f>IF(B945="","",VLOOKUP(B945,学生信息汇总!A:E,2,0))</f>
        <v/>
      </c>
      <c r="D945" s="50"/>
      <c r="E945" s="55" t="str">
        <f t="shared" ca="1" si="91"/>
        <v/>
      </c>
      <c r="F945" s="51"/>
      <c r="G945" s="55" t="str">
        <f t="shared" ca="1" si="92"/>
        <v/>
      </c>
      <c r="H945" s="50"/>
      <c r="I945" s="55" t="str">
        <f t="shared" ca="1" si="93"/>
        <v/>
      </c>
      <c r="J945" s="50"/>
      <c r="K945" s="55" t="str">
        <f t="shared" ca="1" si="94"/>
        <v/>
      </c>
      <c r="L945" s="64" t="str">
        <f>IF(B945="","",D945+F945+H945+J945+#REF!+#REF!+#REF!+#REF!+#REF!)</f>
        <v/>
      </c>
      <c r="M945" s="55" t="str">
        <f t="shared" ca="1" si="95"/>
        <v/>
      </c>
    </row>
    <row r="946" spans="1:13" ht="19.95" customHeight="1" x14ac:dyDescent="0.25">
      <c r="A946" s="52"/>
      <c r="B946" s="51"/>
      <c r="C946" s="54" t="str">
        <f>IF(B946="","",VLOOKUP(B946,学生信息汇总!A:E,2,0))</f>
        <v/>
      </c>
      <c r="D946" s="50"/>
      <c r="E946" s="55" t="str">
        <f t="shared" ca="1" si="91"/>
        <v/>
      </c>
      <c r="F946" s="51"/>
      <c r="G946" s="55" t="str">
        <f t="shared" ca="1" si="92"/>
        <v/>
      </c>
      <c r="H946" s="50"/>
      <c r="I946" s="55" t="str">
        <f t="shared" ca="1" si="93"/>
        <v/>
      </c>
      <c r="J946" s="50"/>
      <c r="K946" s="55" t="str">
        <f t="shared" ca="1" si="94"/>
        <v/>
      </c>
      <c r="L946" s="64" t="str">
        <f>IF(B946="","",D946+F946+H946+J946+#REF!+#REF!+#REF!+#REF!+#REF!)</f>
        <v/>
      </c>
      <c r="M946" s="55" t="str">
        <f t="shared" ca="1" si="95"/>
        <v/>
      </c>
    </row>
    <row r="947" spans="1:13" ht="19.95" customHeight="1" x14ac:dyDescent="0.25">
      <c r="A947" s="52"/>
      <c r="B947" s="51"/>
      <c r="C947" s="54" t="str">
        <f>IF(B947="","",VLOOKUP(B947,学生信息汇总!A:E,2,0))</f>
        <v/>
      </c>
      <c r="D947" s="50"/>
      <c r="E947" s="55" t="str">
        <f t="shared" ca="1" si="91"/>
        <v/>
      </c>
      <c r="F947" s="51"/>
      <c r="G947" s="55" t="str">
        <f t="shared" ca="1" si="92"/>
        <v/>
      </c>
      <c r="H947" s="50"/>
      <c r="I947" s="55" t="str">
        <f t="shared" ca="1" si="93"/>
        <v/>
      </c>
      <c r="J947" s="50"/>
      <c r="K947" s="55" t="str">
        <f t="shared" ca="1" si="94"/>
        <v/>
      </c>
      <c r="L947" s="64" t="str">
        <f>IF(B947="","",D947+F947+H947+J947+#REF!+#REF!+#REF!+#REF!+#REF!)</f>
        <v/>
      </c>
      <c r="M947" s="55" t="str">
        <f t="shared" ca="1" si="95"/>
        <v/>
      </c>
    </row>
    <row r="948" spans="1:13" ht="19.95" customHeight="1" x14ac:dyDescent="0.25">
      <c r="A948" s="52"/>
      <c r="B948" s="51"/>
      <c r="C948" s="54" t="str">
        <f>IF(B948="","",VLOOKUP(B948,学生信息汇总!A:E,2,0))</f>
        <v/>
      </c>
      <c r="D948" s="50"/>
      <c r="E948" s="55" t="str">
        <f t="shared" ca="1" si="91"/>
        <v/>
      </c>
      <c r="F948" s="51"/>
      <c r="G948" s="55" t="str">
        <f t="shared" ca="1" si="92"/>
        <v/>
      </c>
      <c r="H948" s="50"/>
      <c r="I948" s="55" t="str">
        <f t="shared" ca="1" si="93"/>
        <v/>
      </c>
      <c r="J948" s="50"/>
      <c r="K948" s="55" t="str">
        <f t="shared" ca="1" si="94"/>
        <v/>
      </c>
      <c r="L948" s="64" t="str">
        <f>IF(B948="","",D948+F948+H948+J948+#REF!+#REF!+#REF!+#REF!+#REF!)</f>
        <v/>
      </c>
      <c r="M948" s="55" t="str">
        <f t="shared" ca="1" si="95"/>
        <v/>
      </c>
    </row>
    <row r="949" spans="1:13" ht="19.95" customHeight="1" x14ac:dyDescent="0.25">
      <c r="A949" s="52"/>
      <c r="B949" s="51"/>
      <c r="C949" s="54" t="str">
        <f>IF(B949="","",VLOOKUP(B949,学生信息汇总!A:E,2,0))</f>
        <v/>
      </c>
      <c r="D949" s="50"/>
      <c r="E949" s="55" t="str">
        <f t="shared" ca="1" si="91"/>
        <v/>
      </c>
      <c r="F949" s="51"/>
      <c r="G949" s="55" t="str">
        <f t="shared" ca="1" si="92"/>
        <v/>
      </c>
      <c r="H949" s="50"/>
      <c r="I949" s="55" t="str">
        <f t="shared" ca="1" si="93"/>
        <v/>
      </c>
      <c r="J949" s="50"/>
      <c r="K949" s="55" t="str">
        <f t="shared" ca="1" si="94"/>
        <v/>
      </c>
      <c r="L949" s="64" t="str">
        <f>IF(B949="","",D949+F949+H949+J949+#REF!+#REF!+#REF!+#REF!+#REF!)</f>
        <v/>
      </c>
      <c r="M949" s="55" t="str">
        <f t="shared" ca="1" si="95"/>
        <v/>
      </c>
    </row>
    <row r="950" spans="1:13" ht="19.95" customHeight="1" x14ac:dyDescent="0.25">
      <c r="A950" s="52"/>
      <c r="B950" s="51"/>
      <c r="C950" s="54" t="str">
        <f>IF(B950="","",VLOOKUP(B950,学生信息汇总!A:E,2,0))</f>
        <v/>
      </c>
      <c r="D950" s="50"/>
      <c r="E950" s="55" t="str">
        <f t="shared" ca="1" si="91"/>
        <v/>
      </c>
      <c r="F950" s="51"/>
      <c r="G950" s="55" t="str">
        <f t="shared" ca="1" si="92"/>
        <v/>
      </c>
      <c r="H950" s="50"/>
      <c r="I950" s="55" t="str">
        <f t="shared" ca="1" si="93"/>
        <v/>
      </c>
      <c r="J950" s="50"/>
      <c r="K950" s="55" t="str">
        <f t="shared" ca="1" si="94"/>
        <v/>
      </c>
      <c r="L950" s="64" t="str">
        <f>IF(B950="","",D950+F950+H950+J950+#REF!+#REF!+#REF!+#REF!+#REF!)</f>
        <v/>
      </c>
      <c r="M950" s="55" t="str">
        <f t="shared" ca="1" si="95"/>
        <v/>
      </c>
    </row>
    <row r="951" spans="1:13" ht="19.95" customHeight="1" x14ac:dyDescent="0.25">
      <c r="A951" s="52"/>
      <c r="B951" s="51"/>
      <c r="C951" s="54" t="str">
        <f>IF(B951="","",VLOOKUP(B951,学生信息汇总!A:E,2,0))</f>
        <v/>
      </c>
      <c r="D951" s="50"/>
      <c r="E951" s="55" t="str">
        <f t="shared" ca="1" si="91"/>
        <v/>
      </c>
      <c r="F951" s="51"/>
      <c r="G951" s="55" t="str">
        <f t="shared" ca="1" si="92"/>
        <v/>
      </c>
      <c r="H951" s="50"/>
      <c r="I951" s="55" t="str">
        <f t="shared" ca="1" si="93"/>
        <v/>
      </c>
      <c r="J951" s="50"/>
      <c r="K951" s="55" t="str">
        <f t="shared" ca="1" si="94"/>
        <v/>
      </c>
      <c r="L951" s="64" t="str">
        <f>IF(B951="","",D951+F951+H951+J951+#REF!+#REF!+#REF!+#REF!+#REF!)</f>
        <v/>
      </c>
      <c r="M951" s="55" t="str">
        <f t="shared" ca="1" si="95"/>
        <v/>
      </c>
    </row>
    <row r="952" spans="1:13" ht="19.95" customHeight="1" x14ac:dyDescent="0.25">
      <c r="A952" s="52"/>
      <c r="B952" s="51"/>
      <c r="C952" s="54" t="str">
        <f>IF(B952="","",VLOOKUP(B952,学生信息汇总!A:E,2,0))</f>
        <v/>
      </c>
      <c r="D952" s="50"/>
      <c r="E952" s="55" t="str">
        <f t="shared" ca="1" si="91"/>
        <v/>
      </c>
      <c r="F952" s="51"/>
      <c r="G952" s="55" t="str">
        <f t="shared" ca="1" si="92"/>
        <v/>
      </c>
      <c r="H952" s="50"/>
      <c r="I952" s="55" t="str">
        <f t="shared" ca="1" si="93"/>
        <v/>
      </c>
      <c r="J952" s="50"/>
      <c r="K952" s="55" t="str">
        <f t="shared" ca="1" si="94"/>
        <v/>
      </c>
      <c r="L952" s="64" t="str">
        <f>IF(B952="","",D952+F952+H952+J952+#REF!+#REF!+#REF!+#REF!+#REF!)</f>
        <v/>
      </c>
      <c r="M952" s="55" t="str">
        <f t="shared" ca="1" si="95"/>
        <v/>
      </c>
    </row>
    <row r="953" spans="1:13" ht="19.95" customHeight="1" x14ac:dyDescent="0.25">
      <c r="A953" s="52"/>
      <c r="B953" s="51"/>
      <c r="C953" s="54" t="str">
        <f>IF(B953="","",VLOOKUP(B953,学生信息汇总!A:E,2,0))</f>
        <v/>
      </c>
      <c r="D953" s="50"/>
      <c r="E953" s="55" t="str">
        <f t="shared" ca="1" si="91"/>
        <v/>
      </c>
      <c r="F953" s="51"/>
      <c r="G953" s="55" t="str">
        <f t="shared" ca="1" si="92"/>
        <v/>
      </c>
      <c r="H953" s="50"/>
      <c r="I953" s="55" t="str">
        <f t="shared" ca="1" si="93"/>
        <v/>
      </c>
      <c r="J953" s="50"/>
      <c r="K953" s="55" t="str">
        <f t="shared" ca="1" si="94"/>
        <v/>
      </c>
      <c r="L953" s="64" t="str">
        <f>IF(B953="","",D953+F953+H953+J953+#REF!+#REF!+#REF!+#REF!+#REF!)</f>
        <v/>
      </c>
      <c r="M953" s="55" t="str">
        <f t="shared" ca="1" si="95"/>
        <v/>
      </c>
    </row>
    <row r="954" spans="1:13" ht="19.95" customHeight="1" x14ac:dyDescent="0.25">
      <c r="A954" s="52"/>
      <c r="B954" s="51"/>
      <c r="C954" s="54" t="str">
        <f>IF(B954="","",VLOOKUP(B954,学生信息汇总!A:E,2,0))</f>
        <v/>
      </c>
      <c r="D954" s="50"/>
      <c r="E954" s="55" t="str">
        <f t="shared" ca="1" si="91"/>
        <v/>
      </c>
      <c r="F954" s="51"/>
      <c r="G954" s="55" t="str">
        <f t="shared" ca="1" si="92"/>
        <v/>
      </c>
      <c r="H954" s="50"/>
      <c r="I954" s="55" t="str">
        <f t="shared" ca="1" si="93"/>
        <v/>
      </c>
      <c r="J954" s="50"/>
      <c r="K954" s="55" t="str">
        <f t="shared" ca="1" si="94"/>
        <v/>
      </c>
      <c r="L954" s="64" t="str">
        <f>IF(B954="","",D954+F954+H954+J954+#REF!+#REF!+#REF!+#REF!+#REF!)</f>
        <v/>
      </c>
      <c r="M954" s="55" t="str">
        <f t="shared" ca="1" si="95"/>
        <v/>
      </c>
    </row>
    <row r="955" spans="1:13" ht="19.95" customHeight="1" x14ac:dyDescent="0.25">
      <c r="A955" s="52"/>
      <c r="B955" s="51"/>
      <c r="C955" s="54" t="str">
        <f>IF(B955="","",VLOOKUP(B955,学生信息汇总!A:E,2,0))</f>
        <v/>
      </c>
      <c r="D955" s="50"/>
      <c r="E955" s="55" t="str">
        <f t="shared" ca="1" si="91"/>
        <v/>
      </c>
      <c r="F955" s="51"/>
      <c r="G955" s="55" t="str">
        <f t="shared" ca="1" si="92"/>
        <v/>
      </c>
      <c r="H955" s="50"/>
      <c r="I955" s="55" t="str">
        <f t="shared" ca="1" si="93"/>
        <v/>
      </c>
      <c r="J955" s="50"/>
      <c r="K955" s="55" t="str">
        <f t="shared" ca="1" si="94"/>
        <v/>
      </c>
      <c r="L955" s="64" t="str">
        <f>IF(B955="","",D955+F955+H955+J955+#REF!+#REF!+#REF!+#REF!+#REF!)</f>
        <v/>
      </c>
      <c r="M955" s="55" t="str">
        <f t="shared" ca="1" si="95"/>
        <v/>
      </c>
    </row>
    <row r="956" spans="1:13" ht="19.95" customHeight="1" x14ac:dyDescent="0.25">
      <c r="A956" s="52"/>
      <c r="B956" s="51"/>
      <c r="C956" s="54" t="str">
        <f>IF(B956="","",VLOOKUP(B956,学生信息汇总!A:E,2,0))</f>
        <v/>
      </c>
      <c r="D956" s="50"/>
      <c r="E956" s="55" t="str">
        <f t="shared" ca="1" si="91"/>
        <v/>
      </c>
      <c r="F956" s="51"/>
      <c r="G956" s="55" t="str">
        <f t="shared" ca="1" si="92"/>
        <v/>
      </c>
      <c r="H956" s="50"/>
      <c r="I956" s="55" t="str">
        <f t="shared" ca="1" si="93"/>
        <v/>
      </c>
      <c r="J956" s="50"/>
      <c r="K956" s="55" t="str">
        <f t="shared" ca="1" si="94"/>
        <v/>
      </c>
      <c r="L956" s="64" t="str">
        <f>IF(B956="","",D956+F956+H956+J956+#REF!+#REF!+#REF!+#REF!+#REF!)</f>
        <v/>
      </c>
      <c r="M956" s="55" t="str">
        <f t="shared" ca="1" si="95"/>
        <v/>
      </c>
    </row>
    <row r="957" spans="1:13" ht="19.95" customHeight="1" x14ac:dyDescent="0.25">
      <c r="A957" s="52"/>
      <c r="B957" s="51"/>
      <c r="C957" s="54" t="str">
        <f>IF(B957="","",VLOOKUP(B957,学生信息汇总!A:E,2,0))</f>
        <v/>
      </c>
      <c r="D957" s="50"/>
      <c r="E957" s="55" t="str">
        <f t="shared" ca="1" si="91"/>
        <v/>
      </c>
      <c r="F957" s="51"/>
      <c r="G957" s="55" t="str">
        <f t="shared" ca="1" si="92"/>
        <v/>
      </c>
      <c r="H957" s="50"/>
      <c r="I957" s="55" t="str">
        <f t="shared" ca="1" si="93"/>
        <v/>
      </c>
      <c r="J957" s="50"/>
      <c r="K957" s="55" t="str">
        <f t="shared" ca="1" si="94"/>
        <v/>
      </c>
      <c r="L957" s="64" t="str">
        <f>IF(B957="","",D957+F957+H957+J957+#REF!+#REF!+#REF!+#REF!+#REF!)</f>
        <v/>
      </c>
      <c r="M957" s="55" t="str">
        <f t="shared" ca="1" si="95"/>
        <v/>
      </c>
    </row>
    <row r="958" spans="1:13" ht="19.95" customHeight="1" x14ac:dyDescent="0.25">
      <c r="A958" s="52"/>
      <c r="B958" s="51"/>
      <c r="C958" s="54" t="str">
        <f>IF(B958="","",VLOOKUP(B958,学生信息汇总!A:E,2,0))</f>
        <v/>
      </c>
      <c r="D958" s="50"/>
      <c r="E958" s="55" t="str">
        <f t="shared" ca="1" si="91"/>
        <v/>
      </c>
      <c r="F958" s="51"/>
      <c r="G958" s="55" t="str">
        <f t="shared" ca="1" si="92"/>
        <v/>
      </c>
      <c r="H958" s="50"/>
      <c r="I958" s="55" t="str">
        <f t="shared" ca="1" si="93"/>
        <v/>
      </c>
      <c r="J958" s="50"/>
      <c r="K958" s="55" t="str">
        <f t="shared" ca="1" si="94"/>
        <v/>
      </c>
      <c r="L958" s="64" t="str">
        <f>IF(B958="","",D958+F958+H958+J958+#REF!+#REF!+#REF!+#REF!+#REF!)</f>
        <v/>
      </c>
      <c r="M958" s="55" t="str">
        <f t="shared" ca="1" si="95"/>
        <v/>
      </c>
    </row>
    <row r="959" spans="1:13" ht="19.95" customHeight="1" x14ac:dyDescent="0.25">
      <c r="A959" s="52"/>
      <c r="B959" s="51"/>
      <c r="C959" s="54" t="str">
        <f>IF(B959="","",VLOOKUP(B959,学生信息汇总!A:E,2,0))</f>
        <v/>
      </c>
      <c r="D959" s="50"/>
      <c r="E959" s="55" t="str">
        <f t="shared" ca="1" si="91"/>
        <v/>
      </c>
      <c r="F959" s="51"/>
      <c r="G959" s="55" t="str">
        <f t="shared" ca="1" si="92"/>
        <v/>
      </c>
      <c r="H959" s="50"/>
      <c r="I959" s="55" t="str">
        <f t="shared" ca="1" si="93"/>
        <v/>
      </c>
      <c r="J959" s="50"/>
      <c r="K959" s="55" t="str">
        <f t="shared" ca="1" si="94"/>
        <v/>
      </c>
      <c r="L959" s="64" t="str">
        <f>IF(B959="","",D959+F959+H959+J959+#REF!+#REF!+#REF!+#REF!+#REF!)</f>
        <v/>
      </c>
      <c r="M959" s="55" t="str">
        <f t="shared" ca="1" si="95"/>
        <v/>
      </c>
    </row>
    <row r="960" spans="1:13" ht="19.95" customHeight="1" x14ac:dyDescent="0.25">
      <c r="A960" s="52"/>
      <c r="B960" s="51"/>
      <c r="C960" s="54" t="str">
        <f>IF(B960="","",VLOOKUP(B960,学生信息汇总!A:E,2,0))</f>
        <v/>
      </c>
      <c r="D960" s="50"/>
      <c r="E960" s="55" t="str">
        <f t="shared" ca="1" si="91"/>
        <v/>
      </c>
      <c r="F960" s="51"/>
      <c r="G960" s="55" t="str">
        <f t="shared" ca="1" si="92"/>
        <v/>
      </c>
      <c r="H960" s="50"/>
      <c r="I960" s="55" t="str">
        <f t="shared" ca="1" si="93"/>
        <v/>
      </c>
      <c r="J960" s="50"/>
      <c r="K960" s="55" t="str">
        <f t="shared" ca="1" si="94"/>
        <v/>
      </c>
      <c r="L960" s="64" t="str">
        <f>IF(B960="","",D960+F960+H960+J960+#REF!+#REF!+#REF!+#REF!+#REF!)</f>
        <v/>
      </c>
      <c r="M960" s="55" t="str">
        <f t="shared" ca="1" si="95"/>
        <v/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K2"/>
  </mergeCells>
  <phoneticPr fontId="1" type="noConversion"/>
  <conditionalFormatting sqref="A1:B1 B35:D41 A43:D43 G44:K46 N22 C49:K51 A52:K960 A35:A51 L1:M1 L4:M4 F43 F35:F41 E35:E43 A961:M9961 L5:L960 A4:K34 H35:H41 H43 G35:G43 J43 J35:J41 I35:I43 K35:K43 M4:M960 B44:F44 B45:B51 D45:F46 D47:K48 C45:C48">
    <cfRule type="expression" dxfId="1" priority="9">
      <formula>$A2&lt;&gt;$A1</formula>
    </cfRule>
  </conditionalFormatting>
  <conditionalFormatting sqref="B42:D42 F42 H42 J42">
    <cfRule type="expression" dxfId="0" priority="16">
      <formula>#REF!&lt;&gt;$A42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D46"/>
  <sheetViews>
    <sheetView showGridLines="0" zoomScale="90" zoomScaleNormal="90" workbookViewId="0">
      <selection activeCell="AE15" sqref="AE15"/>
    </sheetView>
  </sheetViews>
  <sheetFormatPr defaultRowHeight="19.2" customHeight="1" x14ac:dyDescent="0.25"/>
  <cols>
    <col min="1" max="1" width="9.5546875" style="9" bestFit="1" customWidth="1"/>
    <col min="2" max="7" width="4.6640625" style="6" customWidth="1"/>
    <col min="8" max="8" width="6.88671875" style="6" customWidth="1"/>
    <col min="9" max="15" width="4.6640625" style="6" customWidth="1"/>
    <col min="16" max="16" width="5.109375" style="6" customWidth="1"/>
    <col min="17" max="18" width="4.6640625" style="6" customWidth="1"/>
    <col min="19" max="19" width="4.6640625" style="7" customWidth="1"/>
    <col min="20" max="20" width="6.109375" style="7" bestFit="1" customWidth="1"/>
    <col min="21" max="34" width="4.6640625" style="7" customWidth="1"/>
    <col min="35" max="61" width="4.6640625" style="6" customWidth="1"/>
    <col min="62" max="62" width="5.44140625" style="6" customWidth="1"/>
    <col min="63" max="105" width="4.6640625" style="6" customWidth="1"/>
    <col min="106" max="107" width="3.77734375" style="6" customWidth="1"/>
    <col min="108" max="16384" width="8.88671875" style="6"/>
  </cols>
  <sheetData>
    <row r="2" spans="1:56" ht="19.2" customHeight="1" x14ac:dyDescent="0.25">
      <c r="A2" s="9" t="s">
        <v>92</v>
      </c>
    </row>
    <row r="3" spans="1:56" ht="19.2" customHeight="1" x14ac:dyDescent="0.25">
      <c r="A3" s="8" t="s">
        <v>81</v>
      </c>
      <c r="B3" s="15" t="s">
        <v>77</v>
      </c>
      <c r="C3" s="15" t="s">
        <v>78</v>
      </c>
      <c r="D3" s="15" t="s">
        <v>79</v>
      </c>
      <c r="E3" s="15" t="s">
        <v>80</v>
      </c>
      <c r="F3" s="72" t="s">
        <v>86</v>
      </c>
      <c r="P3" s="3"/>
      <c r="Q3" s="3"/>
      <c r="R3" s="3"/>
    </row>
    <row r="4" spans="1:56" ht="19.2" customHeight="1" x14ac:dyDescent="0.25">
      <c r="A4" s="11" t="s">
        <v>85</v>
      </c>
      <c r="B4" s="12">
        <f>SUM(成绩汇总表!D4:D13)/10</f>
        <v>77.400000000000006</v>
      </c>
      <c r="C4" s="12">
        <f>SUM(成绩汇总表!F4:F13)/10</f>
        <v>81.099999999999994</v>
      </c>
      <c r="D4" s="12">
        <f>SUM(成绩汇总表!H4:H13)/10</f>
        <v>89.3</v>
      </c>
      <c r="E4" s="12">
        <f>SUM(成绩汇总表!J4:J13)/10</f>
        <v>72.2</v>
      </c>
      <c r="F4" s="73">
        <f>SUM(成绩汇总表!L4:L13)/10</f>
        <v>320</v>
      </c>
      <c r="P4" s="3"/>
      <c r="Q4" s="3"/>
      <c r="R4" s="3"/>
    </row>
    <row r="5" spans="1:56" ht="19.2" customHeight="1" x14ac:dyDescent="0.25">
      <c r="A5" s="11" t="s">
        <v>82</v>
      </c>
      <c r="B5" s="12">
        <f>SUM(成绩汇总表!D14:D23)/10</f>
        <v>88.3</v>
      </c>
      <c r="C5" s="12">
        <f>SUM(成绩汇总表!F14:F23)/10</f>
        <v>85.3</v>
      </c>
      <c r="D5" s="12">
        <f>SUM(成绩汇总表!H14:H23)/10</f>
        <v>82.8</v>
      </c>
      <c r="E5" s="12">
        <f>SUM(成绩汇总表!J14:J23)/10</f>
        <v>88.8</v>
      </c>
      <c r="F5" s="73">
        <f>SUM(成绩汇总表!L5:L14)/10</f>
        <v>319.2</v>
      </c>
      <c r="P5" s="3"/>
      <c r="Q5" s="3"/>
      <c r="R5" s="3"/>
    </row>
    <row r="6" spans="1:56" ht="19.2" customHeight="1" x14ac:dyDescent="0.25">
      <c r="A6" s="11" t="s">
        <v>83</v>
      </c>
      <c r="B6" s="12">
        <f>SUM(成绩汇总表!D24:D33)/10</f>
        <v>83</v>
      </c>
      <c r="C6" s="12">
        <f>SUM(成绩汇总表!F24:F33)/10</f>
        <v>86</v>
      </c>
      <c r="D6" s="12">
        <f>SUM(成绩汇总表!H24:H33)/10</f>
        <v>71.099999999999994</v>
      </c>
      <c r="E6" s="12">
        <f>SUM(成绩汇总表!J24:J33)/10</f>
        <v>89.3</v>
      </c>
      <c r="F6" s="73">
        <f>SUM(成绩汇总表!L24:L33)/10</f>
        <v>329.4</v>
      </c>
      <c r="P6" s="3"/>
      <c r="Q6" s="3"/>
      <c r="R6" s="3"/>
    </row>
    <row r="7" spans="1:56" ht="19.2" customHeight="1" x14ac:dyDescent="0.25">
      <c r="A7" s="69" t="s">
        <v>84</v>
      </c>
      <c r="B7" s="70">
        <f>SUM(成绩汇总表!D34:D43)/10</f>
        <v>87.2</v>
      </c>
      <c r="C7" s="70">
        <f>SUM(成绩汇总表!F34:F43)/10</f>
        <v>76.400000000000006</v>
      </c>
      <c r="D7" s="70">
        <f>SUM(成绩汇总表!H34:H43)/10</f>
        <v>86.4</v>
      </c>
      <c r="E7" s="70">
        <f>SUM(成绩汇总表!J34:J43)/10</f>
        <v>80.099999999999994</v>
      </c>
      <c r="F7" s="74">
        <f>SUM(成绩汇总表!L34:L43)/10</f>
        <v>330.1</v>
      </c>
      <c r="P7" s="3"/>
      <c r="Q7" s="3"/>
      <c r="R7" s="3"/>
      <c r="W7" s="13"/>
      <c r="X7" s="13"/>
      <c r="Y7" s="13"/>
      <c r="Z7" s="13"/>
      <c r="AA7" s="13"/>
      <c r="AB7" s="13"/>
      <c r="AC7" s="13"/>
      <c r="AD7" s="13"/>
    </row>
    <row r="8" spans="1:56" ht="19.2" customHeight="1" x14ac:dyDescent="0.25">
      <c r="A8" s="6"/>
      <c r="P8" s="3"/>
      <c r="Q8" s="3"/>
      <c r="R8" s="3"/>
      <c r="W8" s="13"/>
      <c r="X8" s="13"/>
      <c r="Y8" s="13"/>
      <c r="Z8" s="13"/>
      <c r="AA8" s="13"/>
      <c r="AB8" s="13"/>
      <c r="AC8" s="13"/>
      <c r="AD8" s="13"/>
    </row>
    <row r="9" spans="1:56" ht="19.95" customHeight="1" x14ac:dyDescent="0.25">
      <c r="A9" s="22"/>
      <c r="B9" s="22"/>
      <c r="C9" s="22"/>
      <c r="D9" s="22"/>
      <c r="E9" s="22"/>
      <c r="F9" s="22"/>
      <c r="G9" s="22"/>
      <c r="H9" s="32" t="s">
        <v>74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13"/>
      <c r="X9" s="13"/>
      <c r="Y9" s="13"/>
      <c r="Z9" s="13"/>
      <c r="AA9" s="13"/>
      <c r="AB9" s="13"/>
      <c r="AC9" s="13"/>
      <c r="AD9" s="13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</row>
    <row r="10" spans="1:56" s="13" customFormat="1" ht="19.95" customHeight="1" x14ac:dyDescent="0.25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</row>
    <row r="11" spans="1:56" ht="19.95" customHeight="1" x14ac:dyDescent="0.25">
      <c r="A11" s="29" t="s">
        <v>73</v>
      </c>
      <c r="B11" s="35"/>
      <c r="C11" s="29"/>
      <c r="D11" s="29"/>
      <c r="E11" s="29"/>
      <c r="F11" s="29"/>
      <c r="G11" s="29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3"/>
      <c r="T11" s="23"/>
      <c r="U11" s="23"/>
      <c r="V11" s="23"/>
      <c r="W11" s="13"/>
      <c r="X11" s="13"/>
      <c r="Y11" s="13"/>
      <c r="Z11" s="13"/>
      <c r="AA11" s="13"/>
      <c r="AB11" s="13"/>
      <c r="AC11" s="13"/>
      <c r="AD11" s="13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</row>
    <row r="12" spans="1:56" s="13" customFormat="1" ht="19.95" customHeight="1" x14ac:dyDescent="0.25">
      <c r="A12" s="39" t="s">
        <v>62</v>
      </c>
      <c r="B12" s="75" t="s">
        <v>95</v>
      </c>
      <c r="C12" s="76" t="s">
        <v>63</v>
      </c>
      <c r="D12" s="77"/>
      <c r="E12" s="77" t="str">
        <f>VLOOKUP(B12,学生信息汇总!A:B,2,0)</f>
        <v>名字6</v>
      </c>
      <c r="F12" s="77"/>
      <c r="G12" s="35"/>
      <c r="H12" s="81"/>
      <c r="I12" s="81"/>
      <c r="J12" s="81"/>
      <c r="K12" s="81"/>
      <c r="L12" s="81"/>
      <c r="M12" s="65"/>
      <c r="N12" s="78"/>
      <c r="O12" s="28" t="s">
        <v>87</v>
      </c>
      <c r="P12" s="23"/>
      <c r="Q12" s="35"/>
      <c r="R12" s="38"/>
      <c r="S12" s="23"/>
      <c r="T12" s="23"/>
      <c r="U12" s="23"/>
      <c r="V12" s="23"/>
      <c r="AE12" s="36"/>
      <c r="AF12" s="36"/>
      <c r="AG12" s="36"/>
      <c r="AH12" s="36"/>
    </row>
    <row r="13" spans="1:56" s="13" customFormat="1" ht="19.95" customHeight="1" x14ac:dyDescent="0.25">
      <c r="A13" s="67" t="s">
        <v>71</v>
      </c>
      <c r="B13" s="67"/>
      <c r="C13" s="67"/>
      <c r="D13" s="67"/>
      <c r="E13" s="67"/>
      <c r="F13" s="67"/>
      <c r="G13" s="67"/>
      <c r="H13" s="62">
        <v>1</v>
      </c>
      <c r="I13" s="24" t="s">
        <v>65</v>
      </c>
      <c r="J13" s="24" t="s">
        <v>66</v>
      </c>
      <c r="K13" s="24" t="s">
        <v>75</v>
      </c>
      <c r="L13" s="68" t="s">
        <v>72</v>
      </c>
      <c r="M13" s="67"/>
      <c r="N13" s="67"/>
      <c r="O13" s="67"/>
      <c r="P13" s="67"/>
      <c r="Q13" s="67">
        <v>1</v>
      </c>
      <c r="R13" s="67"/>
      <c r="S13" s="67"/>
      <c r="T13" s="67"/>
      <c r="U13" s="67"/>
      <c r="V13" s="67"/>
      <c r="AE13" s="36"/>
      <c r="AF13" s="36"/>
      <c r="AG13" s="36"/>
      <c r="AH13" s="36"/>
    </row>
    <row r="14" spans="1:56" s="13" customFormat="1" ht="19.95" customHeight="1" x14ac:dyDescent="0.25">
      <c r="A14" s="11"/>
      <c r="B14" s="15" t="s">
        <v>77</v>
      </c>
      <c r="C14" s="15" t="s">
        <v>78</v>
      </c>
      <c r="D14" s="15" t="s">
        <v>79</v>
      </c>
      <c r="E14" s="15" t="s">
        <v>80</v>
      </c>
      <c r="F14" s="15" t="s">
        <v>48</v>
      </c>
      <c r="G14" s="15"/>
      <c r="H14" s="62" t="s">
        <v>77</v>
      </c>
      <c r="I14" s="14" t="str">
        <f>INDEX(B14:G14,$H$13)</f>
        <v>数学</v>
      </c>
      <c r="J14" s="14" t="str">
        <f>INDEX(L14:V14,$H$13)</f>
        <v>数学</v>
      </c>
      <c r="K14" s="14" t="s">
        <v>69</v>
      </c>
      <c r="L14" s="15" t="s">
        <v>77</v>
      </c>
      <c r="M14" s="15" t="s">
        <v>78</v>
      </c>
      <c r="N14" s="15" t="s">
        <v>79</v>
      </c>
      <c r="O14" s="15" t="s">
        <v>80</v>
      </c>
      <c r="P14" s="15" t="s">
        <v>48</v>
      </c>
      <c r="R14" s="82" t="s">
        <v>93</v>
      </c>
      <c r="S14" s="82" t="s">
        <v>94</v>
      </c>
      <c r="T14" s="82" t="s">
        <v>96</v>
      </c>
      <c r="AF14" s="36"/>
      <c r="AG14" s="36"/>
      <c r="AH14" s="36"/>
    </row>
    <row r="15" spans="1:56" s="13" customFormat="1" ht="19.95" customHeight="1" x14ac:dyDescent="0.25">
      <c r="A15" s="11" t="s">
        <v>85</v>
      </c>
      <c r="B15" s="16">
        <f t="array" ref="B15">VLOOKUP($A15&amp;$B$12,IF({1,0},成绩汇总表!$A$1:$A$9961&amp;成绩汇总表!$B$1:$B$9961,成绩汇总表!$D$1:$D$9961),2,0)</f>
        <v>55</v>
      </c>
      <c r="C15" s="16">
        <f t="array" ref="C15">VLOOKUP($A15&amp;$B$12,IF({1,0},成绩汇总表!$A$1:$A$9961&amp;成绩汇总表!$B$1:$B$9961,成绩汇总表!$F$1:$F$9961),2,0)</f>
        <v>90</v>
      </c>
      <c r="D15" s="16">
        <f t="array" ref="D15">VLOOKUP($A15&amp;$B$12,IF({1,0},成绩汇总表!$A$1:$A$9961&amp;成绩汇总表!$B$1:$B$9961,成绩汇总表!$H$1:$H$9961),2,0)</f>
        <v>95</v>
      </c>
      <c r="E15" s="16">
        <f t="array" ref="E15">VLOOKUP($A15&amp;$B$12,IF({1,0},成绩汇总表!$A$1:$A$9961&amp;成绩汇总表!$B$1:$B$9961,成绩汇总表!$J$1:$J$9961),2,0)</f>
        <v>65</v>
      </c>
      <c r="F15" s="16">
        <f t="array" ref="F15">VLOOKUP($A15&amp;$B$12,IF({1,0},成绩汇总表!$A$1:$A$9961&amp;成绩汇总表!$B$1:$B$9961,成绩汇总表!$L$1:$L$9961),2,0)</f>
        <v>305</v>
      </c>
      <c r="H15" s="62" t="s">
        <v>78</v>
      </c>
      <c r="I15" s="14">
        <f>INDEX(B15:F15,$H$13)</f>
        <v>55</v>
      </c>
      <c r="J15" s="14">
        <f>INDEX(L15:V15,$H$13)</f>
        <v>9</v>
      </c>
      <c r="K15" s="14">
        <f>IF(I15&lt;60,I15,#N/A)</f>
        <v>55</v>
      </c>
      <c r="L15" s="16">
        <f t="array" ref="L15">VLOOKUP($A15&amp;$B$12,IF({1,0},成绩汇总表!$A$1:$A$9961&amp;成绩汇总表!$B$1:$B$9961,成绩汇总表!$E$1:$E$9961),2,0)</f>
        <v>9</v>
      </c>
      <c r="M15" s="16">
        <f t="array" ref="M15">VLOOKUP($A15&amp;$B$12,IF({1,0},成绩汇总表!$A$1:$A$9961&amp;成绩汇总表!$B$1:$B$9961,成绩汇总表!$G$1:$G$9961),2,0)</f>
        <v>4</v>
      </c>
      <c r="N15" s="16">
        <f t="array" ref="N15">VLOOKUP($A15&amp;$B$12,IF({1,0},成绩汇总表!$A$1:$A$9961&amp;成绩汇总表!$B$1:$B$9961,成绩汇总表!$I$1:$I$9961),2,0)</f>
        <v>2</v>
      </c>
      <c r="O15" s="16">
        <f t="array" ref="O15">VLOOKUP($A15&amp;$B$12,IF({1,0},成绩汇总表!$A$1:$A$9961&amp;成绩汇总表!$B$1:$B$9961,成绩汇总表!$K$1:$K$9961),2,0)</f>
        <v>7</v>
      </c>
      <c r="P15" s="16">
        <f t="array" ref="P15">VLOOKUP($A15&amp;$B$12,IF({1,0},成绩汇总表!$A$1:$A$9961&amp;成绩汇总表!$B$1:$B$9961,成绩汇总表!$M$1:$M$9961),2,0)</f>
        <v>7</v>
      </c>
      <c r="Q15" s="16"/>
      <c r="R15" s="13">
        <f>INDEX(B15:F15,$Q$13)</f>
        <v>55</v>
      </c>
      <c r="S15" s="16">
        <f>INDEX(L15:P15,$Q$13)</f>
        <v>9</v>
      </c>
      <c r="T15" s="13">
        <f>IF(R15&lt;60,R15,NA())</f>
        <v>55</v>
      </c>
      <c r="U15" s="17"/>
      <c r="V15" s="17"/>
      <c r="AC15" s="36"/>
      <c r="AD15" s="36"/>
      <c r="AE15" s="36"/>
      <c r="AF15" s="36"/>
      <c r="AG15" s="36"/>
      <c r="AH15" s="36"/>
    </row>
    <row r="16" spans="1:56" s="13" customFormat="1" ht="19.95" customHeight="1" x14ac:dyDescent="0.25">
      <c r="A16" s="11" t="s">
        <v>82</v>
      </c>
      <c r="B16" s="16">
        <f t="array" ref="B16">VLOOKUP($A16&amp;$B$12,IF({1,0},成绩汇总表!$A$1:$A$9961&amp;成绩汇总表!$B$1:$B$9961,成绩汇总表!$D$1:$D$9961),2,0)</f>
        <v>95</v>
      </c>
      <c r="C16" s="16">
        <f t="array" ref="C16">VLOOKUP($A16&amp;$B$12,IF({1,0},成绩汇总表!$A$1:$A$9961&amp;成绩汇总表!$B$1:$B$9961,成绩汇总表!$F$1:$F$9961),2,0)</f>
        <v>95</v>
      </c>
      <c r="D16" s="16">
        <f t="array" ref="D16">VLOOKUP($A16&amp;$B$12,IF({1,0},成绩汇总表!$A$1:$A$9961&amp;成绩汇总表!$B$1:$B$9961,成绩汇总表!$H$1:$H$9961),2,0)</f>
        <v>86</v>
      </c>
      <c r="E16" s="16">
        <f t="array" ref="E16">VLOOKUP($A16&amp;$B$12,IF({1,0},成绩汇总表!$A$1:$A$9961&amp;成绩汇总表!$B$1:$B$9961,成绩汇总表!$J$1:$J$9961),2,0)</f>
        <v>81</v>
      </c>
      <c r="F16" s="16">
        <f t="array" ref="F16">VLOOKUP($A16&amp;$B$12,IF({1,0},成绩汇总表!$A$1:$A$9961&amp;成绩汇总表!$B$1:$B$9961,成绩汇总表!$L$1:$L$9961),2,0)</f>
        <v>357</v>
      </c>
      <c r="G16" s="16"/>
      <c r="H16" s="62" t="s">
        <v>79</v>
      </c>
      <c r="I16" s="14">
        <f>INDEX(B16:G16,$H$13)</f>
        <v>95</v>
      </c>
      <c r="J16" s="14">
        <f>INDEX(L16:V16,$H$13)</f>
        <v>2</v>
      </c>
      <c r="K16" s="14" t="e">
        <f t="shared" ref="K16:K18" si="0">IF(I16&lt;60,I16,#N/A)</f>
        <v>#N/A</v>
      </c>
      <c r="L16" s="16">
        <f t="array" ref="L16">VLOOKUP($A16&amp;$B$12,IF({1,0},成绩汇总表!$A$1:$A$9961&amp;成绩汇总表!$B$1:$B$9961,成绩汇总表!$E$1:$E$9961),2,0)</f>
        <v>2</v>
      </c>
      <c r="M16" s="16">
        <f t="array" ref="M16">VLOOKUP($A16&amp;$B$12,IF({1,0},成绩汇总表!$A$1:$A$9961&amp;成绩汇总表!$B$1:$B$9961,成绩汇总表!$G$1:$G$9961),2,0)</f>
        <v>1</v>
      </c>
      <c r="N16" s="16">
        <f t="array" ref="N16">VLOOKUP($A16&amp;$B$12,IF({1,0},成绩汇总表!$A$1:$A$9961&amp;成绩汇总表!$B$1:$B$9961,成绩汇总表!$I$1:$I$9961),2,0)</f>
        <v>5</v>
      </c>
      <c r="O16" s="16">
        <f t="array" ref="O16">VLOOKUP($A16&amp;$B$12,IF({1,0},成绩汇总表!$A$1:$A$9961&amp;成绩汇总表!$B$1:$B$9961,成绩汇总表!$K$1:$K$9961),2,0)</f>
        <v>9</v>
      </c>
      <c r="P16" s="16">
        <f t="array" ref="P16">VLOOKUP($A16&amp;$B$12,IF({1,0},成绩汇总表!$A$1:$A$9961&amp;成绩汇总表!$B$1:$B$9961,成绩汇总表!$M$1:$M$9961),2,0)</f>
        <v>4</v>
      </c>
      <c r="Q16" s="17"/>
      <c r="R16" s="13">
        <f>INDEX(B16:F16,$Q$13)</f>
        <v>95</v>
      </c>
      <c r="S16" s="16">
        <f t="shared" ref="S16:S18" si="1">INDEX(L16:P16,$Q$13)</f>
        <v>2</v>
      </c>
      <c r="T16" s="13" t="e">
        <f>IF(R16&lt;60,R16,NA())</f>
        <v>#N/A</v>
      </c>
      <c r="U16" s="17"/>
      <c r="V16" s="17"/>
      <c r="AC16" s="36"/>
      <c r="AD16" s="36"/>
      <c r="AE16" s="36"/>
      <c r="AF16" s="36"/>
      <c r="AG16" s="36"/>
      <c r="AH16" s="36"/>
    </row>
    <row r="17" spans="1:34" s="13" customFormat="1" ht="19.95" customHeight="1" x14ac:dyDescent="0.25">
      <c r="A17" s="11" t="s">
        <v>83</v>
      </c>
      <c r="B17" s="16">
        <f t="array" ref="B17">VLOOKUP($A17&amp;$B$12,IF({1,0},成绩汇总表!$A$1:$A$9961&amp;成绩汇总表!$B$1:$B$9961,成绩汇总表!$D$1:$D$9961),2,0)</f>
        <v>55</v>
      </c>
      <c r="C17" s="16">
        <f t="array" ref="C17">VLOOKUP($A17&amp;$B$12,IF({1,0},成绩汇总表!$A$1:$A$9961&amp;成绩汇总表!$B$1:$B$9961,成绩汇总表!$F$1:$F$9961),2,0)</f>
        <v>85</v>
      </c>
      <c r="D17" s="16">
        <f t="array" ref="D17">VLOOKUP($A17&amp;$B$12,IF({1,0},成绩汇总表!$A$1:$A$9961&amp;成绩汇总表!$B$1:$B$9961,成绩汇总表!$H$1:$H$9961),2,0)</f>
        <v>55</v>
      </c>
      <c r="E17" s="16">
        <f t="array" ref="E17">VLOOKUP($A17&amp;$B$12,IF({1,0},成绩汇总表!$A$1:$A$9961&amp;成绩汇总表!$B$1:$B$9961,成绩汇总表!$J$1:$J$9961),2,0)</f>
        <v>95</v>
      </c>
      <c r="F17" s="16">
        <f t="array" ref="F17">VLOOKUP($A17&amp;$B$12,IF({1,0},成绩汇总表!$A$1:$A$9961&amp;成绩汇总表!$B$1:$B$9961,成绩汇总表!$L$1:$L$9961),2,0)</f>
        <v>290</v>
      </c>
      <c r="G17" s="16"/>
      <c r="H17" s="62" t="s">
        <v>80</v>
      </c>
      <c r="I17" s="14">
        <f>INDEX(B17:G17,$H$13)</f>
        <v>55</v>
      </c>
      <c r="J17" s="14">
        <f>INDEX(L17:V17,$H$13)</f>
        <v>10</v>
      </c>
      <c r="K17" s="14">
        <f t="shared" si="0"/>
        <v>55</v>
      </c>
      <c r="L17" s="16">
        <f t="array" ref="L17">VLOOKUP($A17&amp;$B$12,IF({1,0},成绩汇总表!$A$1:$A$9961&amp;成绩汇总表!$B$1:$B$9961,成绩汇总表!$E$1:$E$9961),2,0)</f>
        <v>10</v>
      </c>
      <c r="M17" s="16">
        <f t="array" ref="M17">VLOOKUP($A17&amp;$B$12,IF({1,0},成绩汇总表!$A$1:$A$9961&amp;成绩汇总表!$B$1:$B$9961,成绩汇总表!$G$1:$G$9961),2,0)</f>
        <v>6</v>
      </c>
      <c r="N17" s="16">
        <f t="array" ref="N17">VLOOKUP($A17&amp;$B$12,IF({1,0},成绩汇总表!$A$1:$A$9961&amp;成绩汇总表!$B$1:$B$9961,成绩汇总表!$I$1:$I$9961),2,0)</f>
        <v>9</v>
      </c>
      <c r="O17" s="16">
        <f t="array" ref="O17">VLOOKUP($A17&amp;$B$12,IF({1,0},成绩汇总表!$A$1:$A$9961&amp;成绩汇总表!$B$1:$B$9961,成绩汇总表!$K$1:$K$9961),2,0)</f>
        <v>2</v>
      </c>
      <c r="P17" s="16">
        <f t="array" ref="P17">VLOOKUP($A17&amp;$B$12,IF({1,0},成绩汇总表!$A$1:$A$9961&amp;成绩汇总表!$B$1:$B$9961,成绩汇总表!$M$1:$M$9961),2,0)</f>
        <v>10</v>
      </c>
      <c r="Q17" s="17"/>
      <c r="R17" s="13">
        <f>INDEX(B17:F17,$Q$13)</f>
        <v>55</v>
      </c>
      <c r="S17" s="16">
        <f t="shared" si="1"/>
        <v>10</v>
      </c>
      <c r="T17" s="13">
        <f t="shared" ref="T17:T18" si="2">IF(R17&lt;60,R17,NA())</f>
        <v>55</v>
      </c>
      <c r="U17" s="17"/>
      <c r="V17" s="17"/>
      <c r="AC17" s="36"/>
      <c r="AD17" s="36"/>
      <c r="AE17" s="36"/>
      <c r="AF17" s="36"/>
      <c r="AG17" s="36"/>
      <c r="AH17" s="36"/>
    </row>
    <row r="18" spans="1:34" s="13" customFormat="1" ht="19.95" customHeight="1" x14ac:dyDescent="0.25">
      <c r="A18" s="69" t="s">
        <v>84</v>
      </c>
      <c r="B18" s="71">
        <f t="array" ref="B18">VLOOKUP($A18&amp;$B$12,IF({1,0},成绩汇总表!$A$1:$A$9961&amp;成绩汇总表!$B$1:$B$9961,成绩汇总表!$D$1:$D$9961),2,0)</f>
        <v>85</v>
      </c>
      <c r="C18" s="71">
        <f t="array" ref="C18">VLOOKUP($A18&amp;$B$12,IF({1,0},成绩汇总表!$A$1:$A$9961&amp;成绩汇总表!$B$1:$B$9961,成绩汇总表!$F$1:$F$9961),2,0)</f>
        <v>95</v>
      </c>
      <c r="D18" s="71">
        <f t="array" ref="D18">VLOOKUP($A18&amp;$B$12,IF({1,0},成绩汇总表!$A$1:$A$9961&amp;成绩汇总表!$B$1:$B$9961,成绩汇总表!$H$1:$H$9961),2,0)</f>
        <v>95</v>
      </c>
      <c r="E18" s="71">
        <f t="array" ref="E18">VLOOKUP($A18&amp;$B$12,IF({1,0},成绩汇总表!$A$1:$A$9961&amp;成绩汇总表!$B$1:$B$9961,成绩汇总表!$J$1:$J$9961),2,0)</f>
        <v>86</v>
      </c>
      <c r="F18" s="71">
        <f t="array" ref="F18">VLOOKUP($A18&amp;$B$12,IF({1,0},成绩汇总表!$A$1:$A$9961&amp;成绩汇总表!$B$1:$B$9961,成绩汇总表!$L$1:$L$9961),2,0)</f>
        <v>361</v>
      </c>
      <c r="G18" s="71"/>
      <c r="H18" s="62" t="s">
        <v>48</v>
      </c>
      <c r="I18" s="14">
        <f>INDEX(B18:G18,$H$13)</f>
        <v>85</v>
      </c>
      <c r="J18" s="14">
        <f>INDEX(L18:V18,$H$13)</f>
        <v>6</v>
      </c>
      <c r="K18" s="14" t="e">
        <f t="shared" si="0"/>
        <v>#N/A</v>
      </c>
      <c r="L18" s="71">
        <f t="array" ref="L18">VLOOKUP($A18&amp;$B$12,IF({1,0},成绩汇总表!$A$1:$A$9961&amp;成绩汇总表!$B$1:$B$9961,成绩汇总表!$E$1:$E$9961),2,0)</f>
        <v>6</v>
      </c>
      <c r="M18" s="71">
        <f t="array" ref="M18">VLOOKUP($A18&amp;$B$12,IF({1,0},成绩汇总表!$A$1:$A$9961&amp;成绩汇总表!$B$1:$B$9961,成绩汇总表!$G$1:$G$9961),2,0)</f>
        <v>2</v>
      </c>
      <c r="N18" s="71">
        <f t="array" ref="N18">VLOOKUP($A18&amp;$B$12,IF({1,0},成绩汇总表!$A$1:$A$9961&amp;成绩汇总表!$B$1:$B$9961,成绩汇总表!$I$1:$I$9961),2,0)</f>
        <v>1</v>
      </c>
      <c r="O18" s="71">
        <f t="array" ref="O18">VLOOKUP($A18&amp;$B$12,IF({1,0},成绩汇总表!$A$1:$A$9961&amp;成绩汇总表!$B$1:$B$9961,成绩汇总表!$K$1:$K$9961),2,0)</f>
        <v>4</v>
      </c>
      <c r="P18" s="71">
        <f t="array" ref="P18">VLOOKUP($A18&amp;$B$12,IF({1,0},成绩汇总表!$A$1:$A$9961&amp;成绩汇总表!$B$1:$B$9961,成绩汇总表!$M$1:$M$9961),2,0)</f>
        <v>1</v>
      </c>
      <c r="Q18" s="17"/>
      <c r="R18" s="13">
        <f>INDEX(B18:F18,$Q$13)</f>
        <v>85</v>
      </c>
      <c r="S18" s="16">
        <f t="shared" si="1"/>
        <v>6</v>
      </c>
      <c r="T18" s="13" t="e">
        <f t="shared" si="2"/>
        <v>#N/A</v>
      </c>
      <c r="U18" s="17"/>
      <c r="V18" s="17"/>
      <c r="AC18" s="36"/>
      <c r="AD18" s="36"/>
      <c r="AE18" s="36"/>
      <c r="AF18" s="36"/>
      <c r="AG18" s="36"/>
      <c r="AH18" s="36"/>
    </row>
    <row r="19" spans="1:34" s="13" customFormat="1" ht="19.95" customHeight="1" x14ac:dyDescent="0.25">
      <c r="A19" s="16"/>
      <c r="B19" s="16"/>
      <c r="C19" s="16"/>
      <c r="D19" s="16"/>
      <c r="E19" s="16"/>
      <c r="F19" s="16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AC19" s="36"/>
      <c r="AD19" s="36"/>
      <c r="AE19" s="36"/>
      <c r="AF19" s="36"/>
      <c r="AG19" s="36"/>
      <c r="AH19" s="36"/>
    </row>
    <row r="20" spans="1:34" s="13" customFormat="1" ht="19.95" customHeight="1" x14ac:dyDescent="0.25">
      <c r="A20" s="16"/>
      <c r="B20" s="16"/>
      <c r="C20" s="16"/>
      <c r="D20" s="16"/>
      <c r="E20" s="16"/>
      <c r="F20" s="16"/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AC20" s="36"/>
      <c r="AD20" s="36"/>
      <c r="AE20" s="36"/>
      <c r="AF20" s="36"/>
      <c r="AG20" s="36"/>
      <c r="AH20" s="36"/>
    </row>
    <row r="21" spans="1:34" s="13" customFormat="1" ht="19.95" customHeight="1" x14ac:dyDescent="0.25">
      <c r="A21" s="16"/>
      <c r="B21" s="16"/>
      <c r="C21" s="16"/>
      <c r="D21" s="16"/>
      <c r="E21" s="16"/>
      <c r="F21" s="16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AC21" s="36"/>
      <c r="AD21" s="36"/>
      <c r="AE21" s="36"/>
      <c r="AF21" s="36"/>
      <c r="AG21" s="36"/>
      <c r="AH21" s="36"/>
    </row>
    <row r="22" spans="1:34" s="13" customFormat="1" ht="19.95" customHeight="1" x14ac:dyDescent="0.25">
      <c r="A22" s="16"/>
      <c r="B22" s="16"/>
      <c r="C22" s="16"/>
      <c r="D22" s="16"/>
      <c r="E22" s="16"/>
      <c r="F22" s="1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AC22" s="36"/>
      <c r="AD22" s="36"/>
      <c r="AE22" s="36"/>
      <c r="AF22" s="36"/>
      <c r="AG22" s="36"/>
      <c r="AH22" s="36"/>
    </row>
    <row r="23" spans="1:34" s="13" customFormat="1" ht="19.95" customHeight="1" x14ac:dyDescent="0.25">
      <c r="A23" s="16"/>
      <c r="B23" s="16"/>
      <c r="C23" s="16"/>
      <c r="D23" s="16"/>
      <c r="E23" s="16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</row>
    <row r="24" spans="1:34" s="13" customFormat="1" ht="19.95" customHeight="1" x14ac:dyDescent="0.25">
      <c r="A24" s="16"/>
      <c r="B24" s="31"/>
      <c r="C24" s="31"/>
      <c r="D24" s="31"/>
      <c r="E24" s="31"/>
      <c r="F24" s="31"/>
      <c r="G24" s="31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</row>
    <row r="25" spans="1:34" s="13" customFormat="1" ht="19.95" customHeight="1" x14ac:dyDescent="0.25">
      <c r="A25" s="30"/>
      <c r="B25" s="30"/>
      <c r="C25" s="35"/>
      <c r="D25" s="35"/>
      <c r="E25" s="35"/>
      <c r="F25" s="35"/>
      <c r="G25" s="35"/>
      <c r="H25" s="35"/>
      <c r="I25" s="35"/>
      <c r="J25" s="35"/>
      <c r="K25" s="35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</row>
    <row r="26" spans="1:34" s="13" customFormat="1" ht="19.95" customHeight="1" x14ac:dyDescent="0.25">
      <c r="A26" s="30"/>
      <c r="B26" s="30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40"/>
      <c r="O26" s="40"/>
      <c r="P26" s="37"/>
      <c r="Q26" s="40"/>
      <c r="R26" s="40"/>
      <c r="S26" s="40"/>
      <c r="T26" s="40"/>
      <c r="U26" s="40"/>
      <c r="V26" s="40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7" spans="1:34" ht="19.95" customHeight="1" x14ac:dyDescent="0.25">
      <c r="A27" s="57"/>
      <c r="B27" s="57"/>
      <c r="C27" s="57"/>
      <c r="D27" s="58" t="s">
        <v>90</v>
      </c>
      <c r="E27" s="59"/>
      <c r="F27" s="60"/>
      <c r="G27" s="60"/>
      <c r="H27" s="60"/>
      <c r="I27" s="60"/>
      <c r="J27" s="60"/>
      <c r="K27" s="60"/>
      <c r="L27" s="60"/>
      <c r="M27" s="60"/>
      <c r="N27" s="59"/>
      <c r="O27" s="58" t="s">
        <v>91</v>
      </c>
      <c r="P27" s="61"/>
      <c r="Q27" s="59"/>
      <c r="R27" s="59"/>
      <c r="S27" s="59"/>
      <c r="T27" s="59"/>
      <c r="U27" s="60"/>
      <c r="V27" s="59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4" s="13" customFormat="1" ht="19.95" customHeight="1" x14ac:dyDescent="0.25">
      <c r="A28" s="37"/>
      <c r="B28" s="30"/>
      <c r="C28" s="30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40"/>
      <c r="O28" s="40"/>
      <c r="P28" s="37"/>
      <c r="Q28" s="40"/>
      <c r="R28" s="40"/>
      <c r="S28" s="40"/>
      <c r="T28" s="40"/>
      <c r="U28" s="40"/>
      <c r="V28" s="40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</row>
    <row r="29" spans="1:34" s="13" customFormat="1" ht="19.95" customHeight="1" x14ac:dyDescent="0.25">
      <c r="A29" s="63">
        <v>2</v>
      </c>
      <c r="B29" s="15" t="s">
        <v>77</v>
      </c>
      <c r="C29" s="15" t="s">
        <v>78</v>
      </c>
      <c r="D29" s="15" t="s">
        <v>79</v>
      </c>
      <c r="E29" s="15" t="s">
        <v>80</v>
      </c>
      <c r="F29" s="15" t="s">
        <v>88</v>
      </c>
      <c r="G29" s="41"/>
      <c r="H29" s="41"/>
      <c r="I29" s="63">
        <v>1</v>
      </c>
      <c r="J29" s="15" t="s">
        <v>77</v>
      </c>
      <c r="K29" s="15" t="s">
        <v>78</v>
      </c>
      <c r="L29" s="15" t="s">
        <v>79</v>
      </c>
      <c r="M29" s="15" t="s">
        <v>80</v>
      </c>
      <c r="N29" s="15" t="s">
        <v>88</v>
      </c>
      <c r="O29" s="42"/>
      <c r="P29" s="42"/>
      <c r="Q29" s="42"/>
      <c r="R29" s="42"/>
      <c r="S29" s="42"/>
      <c r="T29" s="42"/>
      <c r="U29" s="42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</row>
    <row r="30" spans="1:34" s="13" customFormat="1" ht="19.95" customHeight="1" x14ac:dyDescent="0.25">
      <c r="A30" s="19" t="str">
        <f>INDEX(A15:A24,A29)</f>
        <v>期中考试</v>
      </c>
      <c r="B30" s="19">
        <f>INDEX(B15:B18,$A$29)</f>
        <v>95</v>
      </c>
      <c r="C30" s="19">
        <f>INDEX(C15:C24,$A$29)</f>
        <v>95</v>
      </c>
      <c r="D30" s="19">
        <f>INDEX(D15:D24,$A$29)</f>
        <v>86</v>
      </c>
      <c r="E30" s="19">
        <f>INDEX(E15:E24,$A$29)</f>
        <v>81</v>
      </c>
      <c r="F30" s="19"/>
      <c r="G30" s="41"/>
      <c r="H30" s="41"/>
      <c r="I30" s="20" t="str">
        <f>INDEX(A15:A24,I29)</f>
        <v>1月月考</v>
      </c>
      <c r="J30" s="19">
        <f>INDEX(L15:L24,$I$29)</f>
        <v>9</v>
      </c>
      <c r="K30" s="19">
        <f>INDEX(M15:M24,$I$29)</f>
        <v>4</v>
      </c>
      <c r="L30" s="19">
        <f>INDEX(N15:N24,$I$29)</f>
        <v>2</v>
      </c>
      <c r="M30" s="19">
        <f>INDEX(O15:O24,$I$29)</f>
        <v>7</v>
      </c>
      <c r="N30" s="19">
        <f>INDEX(P15:P24,$I$29)</f>
        <v>7</v>
      </c>
      <c r="O30" s="42"/>
      <c r="P30" s="42"/>
      <c r="Q30" s="42"/>
      <c r="R30" s="42"/>
      <c r="S30" s="42"/>
      <c r="T30" s="42"/>
      <c r="U30" s="42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  <row r="31" spans="1:34" s="13" customFormat="1" ht="19.95" customHeight="1" x14ac:dyDescent="0.25">
      <c r="A31" s="19"/>
      <c r="B31" s="19"/>
      <c r="C31" s="19"/>
      <c r="D31" s="19"/>
      <c r="E31" s="19"/>
      <c r="F31" s="19">
        <f>INDEX(F15:F24,$A$29)</f>
        <v>357</v>
      </c>
      <c r="G31" s="41"/>
      <c r="H31" s="41"/>
      <c r="I31" s="19"/>
      <c r="J31" s="19"/>
      <c r="K31" s="19"/>
      <c r="L31" s="19"/>
      <c r="M31" s="19"/>
      <c r="N31" s="19"/>
      <c r="O31" s="42"/>
      <c r="P31" s="42"/>
      <c r="Q31" s="42"/>
      <c r="R31" s="42"/>
      <c r="S31" s="42"/>
      <c r="T31" s="42"/>
      <c r="U31" s="42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</row>
    <row r="32" spans="1:34" s="13" customFormat="1" ht="19.95" customHeight="1" x14ac:dyDescent="0.25">
      <c r="A32" s="19" t="s">
        <v>89</v>
      </c>
      <c r="B32" s="19">
        <f>INDEX(B4:B7,$A$29)</f>
        <v>88.3</v>
      </c>
      <c r="C32" s="19">
        <f t="shared" ref="C32:F32" si="3">INDEX(C4:C7,$A$29)</f>
        <v>85.3</v>
      </c>
      <c r="D32" s="19">
        <f t="shared" si="3"/>
        <v>82.8</v>
      </c>
      <c r="E32" s="19">
        <f t="shared" si="3"/>
        <v>88.8</v>
      </c>
      <c r="F32" s="19">
        <f t="shared" si="3"/>
        <v>319.2</v>
      </c>
      <c r="G32" s="41"/>
      <c r="H32" s="41"/>
      <c r="I32" s="41"/>
      <c r="J32" s="41"/>
      <c r="K32" s="41"/>
      <c r="L32" s="41"/>
      <c r="M32" s="41"/>
      <c r="N32" s="41"/>
      <c r="O32" s="42"/>
      <c r="P32" s="42"/>
      <c r="Q32" s="42"/>
      <c r="R32" s="42"/>
      <c r="S32" s="42"/>
      <c r="T32" s="42"/>
      <c r="U32" s="42"/>
      <c r="V32" s="41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</row>
    <row r="33" spans="1:34" s="33" customFormat="1" ht="19.95" customHeight="1" x14ac:dyDescent="0.25">
      <c r="A33" s="19"/>
      <c r="B33" s="19"/>
      <c r="C33" s="19"/>
      <c r="D33" s="19"/>
      <c r="E33" s="19"/>
      <c r="F33" s="19"/>
      <c r="G33" s="41"/>
      <c r="H33" s="41"/>
      <c r="I33" s="41"/>
      <c r="J33" s="41"/>
      <c r="K33" s="41"/>
      <c r="L33" s="41"/>
      <c r="M33" s="41"/>
      <c r="N33" s="42"/>
      <c r="O33" s="42"/>
      <c r="P33" s="42"/>
      <c r="Q33" s="42"/>
      <c r="R33" s="42"/>
      <c r="S33" s="42"/>
      <c r="T33" s="42"/>
      <c r="U33" s="42"/>
      <c r="V33" s="42"/>
      <c r="W33" s="36"/>
      <c r="X33" s="36"/>
      <c r="Y33" s="36"/>
      <c r="Z33" s="36"/>
      <c r="AA33" s="36"/>
      <c r="AB33" s="36"/>
      <c r="AC33" s="36"/>
      <c r="AD33" s="36"/>
      <c r="AE33" s="36"/>
      <c r="AF33" s="44"/>
      <c r="AG33" s="44"/>
      <c r="AH33" s="44"/>
    </row>
    <row r="34" spans="1:34" s="13" customFormat="1" ht="19.95" customHeight="1" x14ac:dyDescent="0.25">
      <c r="A34" s="4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41"/>
      <c r="O34" s="41"/>
      <c r="P34" s="41"/>
      <c r="Q34" s="41"/>
      <c r="R34" s="41"/>
      <c r="S34" s="41"/>
      <c r="T34" s="41"/>
      <c r="U34" s="41"/>
      <c r="V34" s="41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</row>
    <row r="35" spans="1:34" s="13" customFormat="1" ht="19.95" customHeight="1" x14ac:dyDescent="0.25">
      <c r="A35" s="43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6"/>
      <c r="O35" s="27"/>
      <c r="P35" s="26"/>
      <c r="Q35" s="27"/>
      <c r="R35" s="27"/>
      <c r="S35" s="27"/>
      <c r="T35" s="27"/>
      <c r="U35" s="27"/>
      <c r="V35" s="27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</row>
    <row r="36" spans="1:34" s="13" customFormat="1" ht="19.95" customHeight="1" x14ac:dyDescent="0.25">
      <c r="A36" s="33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</row>
    <row r="37" spans="1:34" s="13" customFormat="1" ht="19.95" customHeight="1" x14ac:dyDescent="0.25">
      <c r="A37" s="33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</row>
    <row r="38" spans="1:34" s="13" customFormat="1" ht="19.95" customHeight="1" x14ac:dyDescent="0.25">
      <c r="A38" s="3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</row>
    <row r="39" spans="1:34" s="13" customFormat="1" ht="19.95" customHeight="1" x14ac:dyDescent="0.25">
      <c r="A39" s="33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</row>
    <row r="40" spans="1:34" s="13" customFormat="1" ht="19.95" customHeight="1" x14ac:dyDescent="0.25">
      <c r="A40" s="33"/>
      <c r="R40" s="18"/>
      <c r="S40" s="21"/>
      <c r="T40" s="21"/>
      <c r="U40" s="21"/>
      <c r="V40" s="21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</row>
    <row r="41" spans="1:34" s="13" customFormat="1" ht="19.95" customHeight="1" x14ac:dyDescent="0.25">
      <c r="A41" s="33"/>
      <c r="R41" s="18"/>
      <c r="S41" s="21"/>
      <c r="T41" s="21"/>
      <c r="U41" s="21"/>
      <c r="V41" s="21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</row>
    <row r="42" spans="1:34" s="13" customFormat="1" ht="19.95" customHeight="1" x14ac:dyDescent="0.25">
      <c r="A42" s="33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</row>
    <row r="43" spans="1:34" s="13" customFormat="1" ht="19.95" customHeight="1" x14ac:dyDescent="0.25">
      <c r="A43" s="33"/>
      <c r="M43" s="33"/>
      <c r="N43" s="33"/>
      <c r="O43" s="33"/>
      <c r="P43" s="33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</row>
    <row r="44" spans="1:34" ht="19.2" customHeight="1" x14ac:dyDescent="0.25">
      <c r="A44" s="6"/>
      <c r="M44" s="33"/>
      <c r="N44" s="33"/>
      <c r="O44" s="33"/>
      <c r="P44" s="33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4" ht="19.2" customHeight="1" x14ac:dyDescent="0.25">
      <c r="M45" s="33"/>
      <c r="N45" s="33"/>
      <c r="O45" s="33"/>
      <c r="P45" s="33"/>
    </row>
    <row r="46" spans="1:34" ht="19.2" customHeight="1" x14ac:dyDescent="0.25">
      <c r="A46" s="6"/>
      <c r="M46" s="33"/>
      <c r="N46" s="33"/>
      <c r="O46" s="33"/>
      <c r="P46" s="3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</sheetData>
  <sheetProtection formatCells="0" formatColumns="0" formatRows="0" insertColumns="0" insertRows="0" insertHyperlinks="0" deleteColumns="0" deleteRows="0" sort="0" autoFilter="0" pivotTables="0"/>
  <mergeCells count="2">
    <mergeCell ref="H12:I12"/>
    <mergeCell ref="J12:L12"/>
  </mergeCells>
  <phoneticPr fontId="1" type="noConversion"/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4" name="Drop Down 3">
              <controlPr locked="0" defaultSize="0" autoLine="0" autoPict="0">
                <anchor moveWithCells="1">
                  <from>
                    <xdr:col>18</xdr:col>
                    <xdr:colOff>297180</xdr:colOff>
                    <xdr:row>27</xdr:row>
                    <xdr:rowOff>251460</xdr:rowOff>
                  </from>
                  <to>
                    <xdr:col>21</xdr:col>
                    <xdr:colOff>266700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5" name="Drop Down 4">
              <controlPr locked="0" defaultSize="0" autoLine="0" autoPict="0">
                <anchor moveWithCells="1">
                  <from>
                    <xdr:col>0</xdr:col>
                    <xdr:colOff>365760</xdr:colOff>
                    <xdr:row>27</xdr:row>
                    <xdr:rowOff>220980</xdr:rowOff>
                  </from>
                  <to>
                    <xdr:col>3</xdr:col>
                    <xdr:colOff>30480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3" r:id="rId6" name="Drop Down 1">
              <controlPr locked="0" defaultSize="0" autoLine="0" autoPict="0">
                <anchor moveWithCells="1">
                  <from>
                    <xdr:col>6</xdr:col>
                    <xdr:colOff>7620</xdr:colOff>
                    <xdr:row>11</xdr:row>
                    <xdr:rowOff>22860</xdr:rowOff>
                  </from>
                  <to>
                    <xdr:col>13</xdr:col>
                    <xdr:colOff>0</xdr:colOff>
                    <xdr:row>12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B1048576"/>
    </sheetView>
  </sheetViews>
  <sheetFormatPr defaultRowHeight="15.6" x14ac:dyDescent="0.25"/>
  <cols>
    <col min="1" max="3" width="8.88671875" style="3"/>
    <col min="4" max="4" width="12.109375" style="3" bestFit="1" customWidth="1"/>
    <col min="5" max="5" width="15.44140625" style="3" bestFit="1" customWidth="1"/>
    <col min="6" max="16384" width="8.88671875" style="3"/>
  </cols>
  <sheetData>
    <row r="1" spans="1:5" s="1" customFormat="1" x14ac:dyDescent="0.25">
      <c r="A1" s="2" t="s">
        <v>22</v>
      </c>
      <c r="B1" s="2" t="s">
        <v>57</v>
      </c>
      <c r="C1" s="2" t="s">
        <v>58</v>
      </c>
      <c r="D1" s="2" t="s">
        <v>43</v>
      </c>
      <c r="E1" s="2" t="s">
        <v>59</v>
      </c>
    </row>
    <row r="2" spans="1:5" x14ac:dyDescent="0.25">
      <c r="A2" s="3" t="s">
        <v>2</v>
      </c>
      <c r="B2" s="3" t="s">
        <v>23</v>
      </c>
      <c r="C2" s="3" t="s">
        <v>44</v>
      </c>
      <c r="D2" s="5">
        <v>35796</v>
      </c>
      <c r="E2" s="4">
        <v>13190900101</v>
      </c>
    </row>
    <row r="3" spans="1:5" x14ac:dyDescent="0.25">
      <c r="A3" s="3" t="s">
        <v>3</v>
      </c>
      <c r="B3" s="3" t="s">
        <v>24</v>
      </c>
      <c r="C3" s="3" t="s">
        <v>45</v>
      </c>
      <c r="D3" s="5">
        <v>35797</v>
      </c>
      <c r="E3" s="4">
        <v>13190900101</v>
      </c>
    </row>
    <row r="4" spans="1:5" x14ac:dyDescent="0.25">
      <c r="A4" s="3" t="s">
        <v>4</v>
      </c>
      <c r="B4" s="3" t="s">
        <v>25</v>
      </c>
      <c r="C4" s="3" t="s">
        <v>44</v>
      </c>
      <c r="D4" s="5">
        <v>35798</v>
      </c>
      <c r="E4" s="4">
        <v>13190900101</v>
      </c>
    </row>
    <row r="5" spans="1:5" x14ac:dyDescent="0.25">
      <c r="A5" s="3" t="s">
        <v>5</v>
      </c>
      <c r="B5" s="3" t="s">
        <v>26</v>
      </c>
      <c r="C5" s="3" t="s">
        <v>45</v>
      </c>
      <c r="D5" s="5">
        <v>35799</v>
      </c>
      <c r="E5" s="4">
        <v>13190900101</v>
      </c>
    </row>
    <row r="6" spans="1:5" x14ac:dyDescent="0.25">
      <c r="A6" s="3" t="s">
        <v>6</v>
      </c>
      <c r="B6" s="3" t="s">
        <v>27</v>
      </c>
      <c r="C6" s="3" t="s">
        <v>44</v>
      </c>
      <c r="D6" s="5">
        <v>35800</v>
      </c>
      <c r="E6" s="4">
        <v>13190900101</v>
      </c>
    </row>
    <row r="7" spans="1:5" x14ac:dyDescent="0.25">
      <c r="A7" s="3" t="s">
        <v>7</v>
      </c>
      <c r="B7" s="3" t="s">
        <v>28</v>
      </c>
      <c r="C7" s="3" t="s">
        <v>45</v>
      </c>
      <c r="D7" s="5">
        <v>35801</v>
      </c>
      <c r="E7" s="4">
        <v>13190900101</v>
      </c>
    </row>
    <row r="8" spans="1:5" x14ac:dyDescent="0.25">
      <c r="A8" s="3" t="s">
        <v>8</v>
      </c>
      <c r="B8" s="3" t="s">
        <v>29</v>
      </c>
      <c r="C8" s="3" t="s">
        <v>44</v>
      </c>
      <c r="D8" s="5">
        <v>35802</v>
      </c>
      <c r="E8" s="4">
        <v>13190900101</v>
      </c>
    </row>
    <row r="9" spans="1:5" x14ac:dyDescent="0.25">
      <c r="A9" s="3" t="s">
        <v>9</v>
      </c>
      <c r="B9" s="3" t="s">
        <v>30</v>
      </c>
      <c r="C9" s="3" t="s">
        <v>45</v>
      </c>
      <c r="D9" s="5">
        <v>35803</v>
      </c>
      <c r="E9" s="4">
        <v>13190900101</v>
      </c>
    </row>
    <row r="10" spans="1:5" x14ac:dyDescent="0.25">
      <c r="A10" s="3" t="s">
        <v>10</v>
      </c>
      <c r="B10" s="3" t="s">
        <v>31</v>
      </c>
      <c r="C10" s="3" t="s">
        <v>44</v>
      </c>
      <c r="D10" s="5">
        <v>35804</v>
      </c>
      <c r="E10" s="4">
        <v>13190900101</v>
      </c>
    </row>
    <row r="11" spans="1:5" x14ac:dyDescent="0.25">
      <c r="A11" s="3" t="s">
        <v>11</v>
      </c>
      <c r="B11" s="3" t="s">
        <v>32</v>
      </c>
      <c r="C11" s="3" t="s">
        <v>45</v>
      </c>
      <c r="D11" s="5">
        <v>35805</v>
      </c>
      <c r="E11" s="4">
        <v>13190900101</v>
      </c>
    </row>
    <row r="12" spans="1:5" x14ac:dyDescent="0.25">
      <c r="A12" s="3" t="s">
        <v>12</v>
      </c>
      <c r="B12" s="3" t="s">
        <v>33</v>
      </c>
      <c r="C12" s="3" t="s">
        <v>44</v>
      </c>
      <c r="D12" s="5">
        <v>35806</v>
      </c>
      <c r="E12" s="4">
        <v>13190900101</v>
      </c>
    </row>
    <row r="13" spans="1:5" x14ac:dyDescent="0.25">
      <c r="A13" s="3" t="s">
        <v>13</v>
      </c>
      <c r="B13" s="3" t="s">
        <v>34</v>
      </c>
      <c r="C13" s="3" t="s">
        <v>45</v>
      </c>
      <c r="D13" s="5">
        <v>35807</v>
      </c>
      <c r="E13" s="4">
        <v>13190900101</v>
      </c>
    </row>
    <row r="14" spans="1:5" x14ac:dyDescent="0.25">
      <c r="A14" s="3" t="s">
        <v>14</v>
      </c>
      <c r="B14" s="3" t="s">
        <v>35</v>
      </c>
      <c r="C14" s="3" t="s">
        <v>44</v>
      </c>
      <c r="D14" s="5">
        <v>35808</v>
      </c>
      <c r="E14" s="4">
        <v>13190900101</v>
      </c>
    </row>
    <row r="15" spans="1:5" x14ac:dyDescent="0.25">
      <c r="A15" s="3" t="s">
        <v>15</v>
      </c>
      <c r="B15" s="3" t="s">
        <v>36</v>
      </c>
      <c r="C15" s="3" t="s">
        <v>45</v>
      </c>
      <c r="D15" s="5">
        <v>35809</v>
      </c>
      <c r="E15" s="4">
        <v>13190900101</v>
      </c>
    </row>
    <row r="16" spans="1:5" x14ac:dyDescent="0.25">
      <c r="A16" s="3" t="s">
        <v>16</v>
      </c>
      <c r="B16" s="3" t="s">
        <v>37</v>
      </c>
      <c r="C16" s="3" t="s">
        <v>44</v>
      </c>
      <c r="D16" s="5">
        <v>35810</v>
      </c>
      <c r="E16" s="4">
        <v>13190900101</v>
      </c>
    </row>
    <row r="17" spans="1:5" x14ac:dyDescent="0.25">
      <c r="A17" s="3" t="s">
        <v>17</v>
      </c>
      <c r="B17" s="3" t="s">
        <v>38</v>
      </c>
      <c r="C17" s="3" t="s">
        <v>45</v>
      </c>
      <c r="D17" s="5">
        <v>35811</v>
      </c>
      <c r="E17" s="4">
        <v>13190900101</v>
      </c>
    </row>
    <row r="18" spans="1:5" x14ac:dyDescent="0.25">
      <c r="A18" s="3" t="s">
        <v>18</v>
      </c>
      <c r="B18" s="3" t="s">
        <v>39</v>
      </c>
      <c r="C18" s="3" t="s">
        <v>44</v>
      </c>
      <c r="D18" s="5">
        <v>35812</v>
      </c>
      <c r="E18" s="4">
        <v>13190900101</v>
      </c>
    </row>
    <row r="19" spans="1:5" x14ac:dyDescent="0.25">
      <c r="A19" s="3" t="s">
        <v>19</v>
      </c>
      <c r="B19" s="3" t="s">
        <v>40</v>
      </c>
      <c r="C19" s="3" t="s">
        <v>45</v>
      </c>
      <c r="D19" s="5">
        <v>35813</v>
      </c>
      <c r="E19" s="4">
        <v>13190900101</v>
      </c>
    </row>
    <row r="20" spans="1:5" x14ac:dyDescent="0.25">
      <c r="A20" s="3" t="s">
        <v>20</v>
      </c>
      <c r="B20" s="3" t="s">
        <v>41</v>
      </c>
      <c r="C20" s="3" t="s">
        <v>44</v>
      </c>
      <c r="D20" s="5">
        <v>35814</v>
      </c>
      <c r="E20" s="4">
        <v>13190900101</v>
      </c>
    </row>
    <row r="21" spans="1:5" x14ac:dyDescent="0.25">
      <c r="A21" s="3" t="s">
        <v>21</v>
      </c>
      <c r="B21" s="3" t="s">
        <v>42</v>
      </c>
      <c r="C21" s="3" t="s">
        <v>44</v>
      </c>
      <c r="D21" s="5">
        <v>35815</v>
      </c>
      <c r="E21" s="4">
        <v>13190900101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成绩汇总表</vt:lpstr>
      <vt:lpstr>图表分析</vt:lpstr>
      <vt:lpstr>学生信息汇总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2018-05-30T08:00:33Z</dcterms:created>
  <dcterms:modified xsi:type="dcterms:W3CDTF">2018-06-11T09:31:25Z</dcterms:modified>
</cp:coreProperties>
</file>