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231"/>
  <workbookPr codeName="ThisWorkbook"/>
  <mc:AlternateContent xmlns:mc="http://schemas.openxmlformats.org/markup-compatibility/2006">
    <mc:Choice Requires="x15">
      <x15ac:absPath xmlns:x15ac="http://schemas.microsoft.com/office/spreadsheetml/2010/11/ac" url="D:\2-输出\7-Monetizing\课件开发\KF013-Excel这样用，图表课程\T12-福利模板\福利模板\图表案例40例\"/>
    </mc:Choice>
  </mc:AlternateContent>
  <xr:revisionPtr revIDLastSave="0" documentId="13_ncr:1_{33F44B35-A2EF-4910-8DE3-A89662E4DD18}" xr6:coauthVersionLast="40" xr6:coauthVersionMax="40" xr10:uidLastSave="{00000000-0000-0000-0000-000000000000}"/>
  <bookViews>
    <workbookView xWindow="-108" yWindow="-108" windowWidth="23256" windowHeight="12720" activeTab="4" xr2:uid="{A6039A80-1188-48EB-9812-83F42F6A63BF}"/>
  </bookViews>
  <sheets>
    <sheet name="图1" sheetId="1" r:id="rId1"/>
    <sheet name="图2" sheetId="2" r:id="rId2"/>
    <sheet name="图3" sheetId="11" r:id="rId3"/>
    <sheet name="图4" sheetId="12" r:id="rId4"/>
    <sheet name="图5" sheetId="13" r:id="rId5"/>
  </sheets>
  <calcPr calcId="191029" calcOnSave="0"/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G5" i="11" l="1"/>
  <c r="G6" i="11"/>
  <c r="G7" i="11"/>
  <c r="G8" i="11"/>
  <c r="G9" i="11"/>
  <c r="G10" i="11"/>
  <c r="G11" i="11"/>
  <c r="G12" i="11"/>
  <c r="G13" i="11"/>
  <c r="G14" i="11"/>
  <c r="G15" i="11"/>
  <c r="G16" i="11"/>
  <c r="G17" i="11"/>
  <c r="G18" i="11"/>
  <c r="G19" i="11"/>
  <c r="G20" i="11"/>
  <c r="G21" i="11"/>
  <c r="G22" i="11"/>
  <c r="G23" i="11"/>
  <c r="G24" i="11"/>
  <c r="G25" i="11"/>
  <c r="G26" i="11"/>
  <c r="G27" i="11"/>
  <c r="G28" i="11"/>
  <c r="G29" i="11"/>
  <c r="G30" i="11"/>
  <c r="G31" i="11"/>
  <c r="G32" i="11"/>
  <c r="G33" i="11"/>
  <c r="G34" i="11"/>
  <c r="G35" i="11"/>
  <c r="G36" i="11"/>
  <c r="G37" i="11"/>
  <c r="G38" i="11"/>
  <c r="G39" i="11"/>
  <c r="G40" i="11"/>
  <c r="G41" i="11"/>
  <c r="G42" i="11"/>
  <c r="G43" i="11"/>
  <c r="G4" i="11"/>
  <c r="F5" i="11"/>
  <c r="F6" i="11"/>
  <c r="F7" i="11"/>
  <c r="F8" i="11"/>
  <c r="F9" i="11"/>
  <c r="F10" i="11"/>
  <c r="F11" i="11"/>
  <c r="F12" i="11"/>
  <c r="F13" i="11"/>
  <c r="F14" i="11"/>
  <c r="F15" i="11"/>
  <c r="F16" i="11"/>
  <c r="F17" i="11"/>
  <c r="F18" i="11"/>
  <c r="F19" i="11"/>
  <c r="F20" i="11"/>
  <c r="F21" i="11"/>
  <c r="F22" i="11"/>
  <c r="F23" i="11"/>
  <c r="F24" i="11"/>
  <c r="F25" i="11"/>
  <c r="F26" i="11"/>
  <c r="F27" i="11"/>
  <c r="F28" i="11"/>
  <c r="F29" i="11"/>
  <c r="F30" i="11"/>
  <c r="F31" i="11"/>
  <c r="F32" i="11"/>
  <c r="F33" i="11"/>
  <c r="F34" i="11"/>
  <c r="F35" i="11"/>
  <c r="F36" i="11"/>
  <c r="F37" i="11"/>
  <c r="F38" i="11"/>
  <c r="F39" i="11"/>
  <c r="F40" i="11"/>
  <c r="F41" i="11"/>
  <c r="F42" i="11"/>
  <c r="F43" i="11"/>
  <c r="F4" i="11"/>
  <c r="E5" i="11"/>
  <c r="E6" i="11"/>
  <c r="E7" i="11"/>
  <c r="E8" i="11"/>
  <c r="E9" i="11"/>
  <c r="E10" i="11"/>
  <c r="E11" i="11"/>
  <c r="E12" i="11"/>
  <c r="E13" i="11"/>
  <c r="E14" i="11"/>
  <c r="E15" i="11"/>
  <c r="E16" i="11"/>
  <c r="E17" i="11"/>
  <c r="E18" i="11"/>
  <c r="E19" i="11"/>
  <c r="E20" i="11"/>
  <c r="E21" i="11"/>
  <c r="E22" i="11"/>
  <c r="E23" i="11"/>
  <c r="E24" i="11"/>
  <c r="E25" i="11"/>
  <c r="E26" i="11"/>
  <c r="E27" i="11"/>
  <c r="E28" i="11"/>
  <c r="E29" i="11"/>
  <c r="E30" i="11"/>
  <c r="E31" i="11"/>
  <c r="E32" i="11"/>
  <c r="E33" i="11"/>
  <c r="E34" i="11"/>
  <c r="E35" i="11"/>
  <c r="E36" i="11"/>
  <c r="E37" i="11"/>
  <c r="E38" i="11"/>
  <c r="E39" i="11"/>
  <c r="E40" i="11"/>
  <c r="E41" i="11"/>
  <c r="E42" i="11"/>
  <c r="E43" i="11"/>
  <c r="E4" i="11"/>
  <c r="J6" i="1" l="1"/>
</calcChain>
</file>

<file path=xl/sharedStrings.xml><?xml version="1.0" encoding="utf-8"?>
<sst xmlns="http://schemas.openxmlformats.org/spreadsheetml/2006/main" count="56" uniqueCount="48">
  <si>
    <t>日期</t>
  </si>
  <si>
    <t>平均值收益率(%)</t>
  </si>
  <si>
    <t>x</t>
    <phoneticPr fontId="1" type="noConversion"/>
  </si>
  <si>
    <t>y</t>
    <phoneticPr fontId="1" type="noConversion"/>
  </si>
  <si>
    <t>作图数据</t>
    <phoneticPr fontId="1" type="noConversion"/>
  </si>
  <si>
    <t>helper1</t>
    <phoneticPr fontId="1" type="noConversion"/>
  </si>
  <si>
    <t>helper2</t>
    <phoneticPr fontId="1" type="noConversion"/>
  </si>
  <si>
    <t>helper3</t>
  </si>
  <si>
    <t>Revenues, Outlays, Deficits, Surpluses</t>
    <phoneticPr fontId="1" type="noConversion"/>
  </si>
  <si>
    <t>财年</t>
    <phoneticPr fontId="1" type="noConversion"/>
  </si>
  <si>
    <t>预算情况</t>
    <phoneticPr fontId="1" type="noConversion"/>
  </si>
  <si>
    <t>财政收入</t>
    <phoneticPr fontId="1" type="noConversion"/>
  </si>
  <si>
    <t>财政支出</t>
    <phoneticPr fontId="1" type="noConversion"/>
  </si>
  <si>
    <t>占位</t>
    <phoneticPr fontId="1" type="noConversion"/>
  </si>
  <si>
    <t>盈余</t>
    <phoneticPr fontId="1" type="noConversion"/>
  </si>
  <si>
    <t>赤字</t>
    <phoneticPr fontId="1" type="noConversion"/>
  </si>
  <si>
    <t>新增疟疾病例预测</t>
    <phoneticPr fontId="1" type="noConversion"/>
  </si>
  <si>
    <t>1990</t>
    <phoneticPr fontId="1" type="noConversion"/>
  </si>
  <si>
    <t>2000</t>
    <phoneticPr fontId="1" type="noConversion"/>
  </si>
  <si>
    <t>10</t>
    <phoneticPr fontId="1" type="noConversion"/>
  </si>
  <si>
    <t>20</t>
    <phoneticPr fontId="1" type="noConversion"/>
  </si>
  <si>
    <t>30</t>
    <phoneticPr fontId="1" type="noConversion"/>
  </si>
  <si>
    <t>当前预测</t>
    <phoneticPr fontId="1" type="noConversion"/>
  </si>
  <si>
    <t>历史数据</t>
    <phoneticPr fontId="1" type="noConversion"/>
  </si>
  <si>
    <t>helper</t>
    <phoneticPr fontId="1" type="noConversion"/>
  </si>
  <si>
    <t>乐观预测</t>
    <phoneticPr fontId="1" type="noConversion"/>
  </si>
  <si>
    <t>悲观预测</t>
    <phoneticPr fontId="1" type="noConversion"/>
  </si>
  <si>
    <t>出口</t>
    <phoneticPr fontId="1" type="noConversion"/>
  </si>
  <si>
    <t>进口</t>
    <phoneticPr fontId="1" type="noConversion"/>
  </si>
  <si>
    <t>净出口</t>
    <phoneticPr fontId="1" type="noConversion"/>
  </si>
  <si>
    <t>2001</t>
  </si>
  <si>
    <t>2010</t>
  </si>
  <si>
    <t>2001年以来走国进出口增幅</t>
    <phoneticPr fontId="1" type="noConversion"/>
  </si>
  <si>
    <t>2017.1-8</t>
    <phoneticPr fontId="1" type="noConversion"/>
  </si>
  <si>
    <t>02</t>
    <phoneticPr fontId="1" type="noConversion"/>
  </si>
  <si>
    <t>03</t>
  </si>
  <si>
    <t>04</t>
  </si>
  <si>
    <t>06</t>
  </si>
  <si>
    <t>07</t>
  </si>
  <si>
    <t>08</t>
  </si>
  <si>
    <t>09</t>
  </si>
  <si>
    <t>11</t>
    <phoneticPr fontId="1" type="noConversion"/>
  </si>
  <si>
    <t>12</t>
  </si>
  <si>
    <t>13</t>
  </si>
  <si>
    <t>14</t>
  </si>
  <si>
    <t>16</t>
    <phoneticPr fontId="1" type="noConversion"/>
  </si>
  <si>
    <t>05</t>
    <phoneticPr fontId="1" type="noConversion"/>
  </si>
  <si>
    <t>15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</si>
</sst>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76" formatCode="_ * #,##0.0_ ;_ * \-#,##0.0_ ;_ * &quot;-&quot;??_ ;_ @_ "/>
    <numFmt numFmtId="177" formatCode="0.0"/>
    <numFmt numFmtId="178" formatCode="0.0%"/>
  </numFmts>
  <fonts count="7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9"/>
      <color theme="1"/>
      <name val="微软雅黑"/>
      <family val="2"/>
      <charset val="134"/>
    </font>
    <font>
      <sz val="11"/>
      <color theme="1"/>
      <name val="等线"/>
      <family val="2"/>
      <charset val="134"/>
      <scheme val="minor"/>
    </font>
    <font>
      <sz val="9"/>
      <color rgb="FF000000"/>
      <name val="微软雅黑"/>
      <family val="2"/>
      <charset val="134"/>
    </font>
    <font>
      <sz val="9"/>
      <color theme="1"/>
      <name val="微软雅黑"/>
      <family val="2"/>
      <charset val="134"/>
    </font>
    <font>
      <sz val="9"/>
      <color theme="1"/>
      <name val="微软雅黑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>
      <alignment vertical="center"/>
    </xf>
    <xf numFmtId="9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2" fillId="2" borderId="0" xfId="0" applyFont="1" applyFill="1" applyBorder="1" applyAlignment="1">
      <alignment horizontal="left" vertical="center"/>
    </xf>
    <xf numFmtId="0" fontId="4" fillId="2" borderId="0" xfId="0" applyFont="1" applyFill="1">
      <alignment vertical="center"/>
    </xf>
    <xf numFmtId="0" fontId="2" fillId="2" borderId="0" xfId="0" applyFont="1" applyFill="1" applyBorder="1" applyAlignment="1">
      <alignment horizontal="right" vertical="center"/>
    </xf>
    <xf numFmtId="176" fontId="2" fillId="2" borderId="0" xfId="2" applyNumberFormat="1" applyFont="1" applyFill="1" applyBorder="1" applyAlignment="1">
      <alignment horizontal="right" vertical="center"/>
    </xf>
    <xf numFmtId="0" fontId="2" fillId="2" borderId="0" xfId="0" quotePrefix="1" applyFont="1" applyFill="1" applyBorder="1" applyAlignment="1">
      <alignment horizontal="left" vertical="center"/>
    </xf>
    <xf numFmtId="0" fontId="5" fillId="2" borderId="0" xfId="0" applyFont="1" applyFill="1" applyBorder="1" applyAlignment="1">
      <alignment horizontal="left" vertical="center"/>
    </xf>
    <xf numFmtId="0" fontId="5" fillId="2" borderId="0" xfId="0" applyFont="1" applyFill="1" applyBorder="1" applyAlignment="1">
      <alignment horizontal="right" vertical="center"/>
    </xf>
    <xf numFmtId="0" fontId="5" fillId="2" borderId="0" xfId="0" quotePrefix="1" applyFont="1" applyFill="1" applyBorder="1" applyAlignment="1">
      <alignment horizontal="left" vertical="center"/>
    </xf>
    <xf numFmtId="177" fontId="5" fillId="2" borderId="0" xfId="0" applyNumberFormat="1" applyFont="1" applyFill="1" applyBorder="1" applyAlignment="1">
      <alignment horizontal="right" vertical="center"/>
    </xf>
    <xf numFmtId="178" fontId="2" fillId="2" borderId="0" xfId="1" applyNumberFormat="1" applyFont="1" applyFill="1" applyBorder="1" applyAlignment="1">
      <alignment horizontal="right" vertical="center"/>
    </xf>
    <xf numFmtId="14" fontId="6" fillId="2" borderId="0" xfId="0" applyNumberFormat="1" applyFont="1" applyFill="1" applyAlignment="1">
      <alignment horizontal="left" vertical="center"/>
    </xf>
    <xf numFmtId="0" fontId="6" fillId="2" borderId="0" xfId="0" applyFont="1" applyFill="1" applyAlignment="1">
      <alignment horizontal="right" vertical="center"/>
    </xf>
    <xf numFmtId="0" fontId="6" fillId="2" borderId="0" xfId="0" applyFont="1" applyFill="1" applyAlignment="1">
      <alignment horizontal="left" vertical="center"/>
    </xf>
    <xf numFmtId="10" fontId="6" fillId="2" borderId="0" xfId="1" applyNumberFormat="1" applyFont="1" applyFill="1" applyAlignment="1">
      <alignment horizontal="right" vertical="center"/>
    </xf>
    <xf numFmtId="10" fontId="6" fillId="2" borderId="0" xfId="0" applyNumberFormat="1" applyFont="1" applyFill="1" applyAlignment="1">
      <alignment horizontal="right" vertical="center"/>
    </xf>
  </cellXfs>
  <cellStyles count="3">
    <cellStyle name="百分比" xfId="1" builtinId="5"/>
    <cellStyle name="常规" xfId="0" builtinId="0"/>
    <cellStyle name="千位分隔" xfId="2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l">
              <a:defRPr sz="1050" b="0" i="0" u="none" strike="noStrike" kern="1200" spc="0" baseline="0">
                <a:solidFill>
                  <a:schemeClr val="tx1">
                    <a:lumMod val="85000"/>
                    <a:lumOff val="15000"/>
                  </a:schemeClr>
                </a:solidFill>
                <a:latin typeface="黑体" panose="02010609060101010101" pitchFamily="49" charset="-122"/>
                <a:ea typeface="黑体" panose="02010609060101010101" pitchFamily="49" charset="-122"/>
                <a:cs typeface="+mn-cs"/>
              </a:defRPr>
            </a:pPr>
            <a:r>
              <a:rPr lang="en-US" altLang="zh-CN" sz="1050"/>
              <a:t>2017</a:t>
            </a:r>
            <a:r>
              <a:rPr lang="zh-CN" altLang="en-US" sz="1050"/>
              <a:t>年上半年走国发行债券收益率在</a:t>
            </a:r>
            <a:r>
              <a:rPr lang="en-US" altLang="zh-CN" sz="1050"/>
              <a:t>5</a:t>
            </a:r>
            <a:r>
              <a:rPr lang="zh-CN" altLang="en-US" sz="1050"/>
              <a:t>月上旬到达高点，但在</a:t>
            </a:r>
            <a:r>
              <a:rPr lang="en-US" altLang="zh-CN" sz="1050"/>
              <a:t>6</a:t>
            </a:r>
            <a:r>
              <a:rPr lang="zh-CN" altLang="en-US" sz="1050"/>
              <a:t>月份有所下滑，预计很难在年内达到</a:t>
            </a:r>
            <a:r>
              <a:rPr lang="en-US" altLang="zh-CN" sz="1050"/>
              <a:t>5%</a:t>
            </a:r>
            <a:r>
              <a:rPr lang="zh-CN" altLang="en-US" sz="1050"/>
              <a:t>的预测收益率</a:t>
            </a:r>
          </a:p>
        </c:rich>
      </c:tx>
      <c:layout>
        <c:manualLayout>
          <c:xMode val="edge"/>
          <c:yMode val="edge"/>
          <c:x val="3.7204138142526003E-2"/>
          <c:y val="2.526315789473684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l">
            <a:defRPr sz="1050" b="0" i="0" u="none" strike="noStrike" kern="1200" spc="0" baseline="0">
              <a:solidFill>
                <a:schemeClr val="tx1">
                  <a:lumMod val="85000"/>
                  <a:lumOff val="15000"/>
                </a:schemeClr>
              </a:solidFill>
              <a:latin typeface="黑体" panose="02010609060101010101" pitchFamily="49" charset="-122"/>
              <a:ea typeface="黑体" panose="02010609060101010101" pitchFamily="49" charset="-122"/>
              <a:cs typeface="+mn-cs"/>
            </a:defRPr>
          </a:pPr>
          <a:endParaRPr lang="zh-CN"/>
        </a:p>
      </c:txPr>
    </c:title>
    <c:autoTitleDeleted val="0"/>
    <c:plotArea>
      <c:layout>
        <c:manualLayout>
          <c:layoutTarget val="inner"/>
          <c:xMode val="edge"/>
          <c:yMode val="edge"/>
          <c:x val="6.9417800047721301E-2"/>
          <c:y val="0.18051885619560715"/>
          <c:w val="0.80347787255759695"/>
          <c:h val="0.71329255422019611"/>
        </c:manualLayout>
      </c:layout>
      <c:lineChart>
        <c:grouping val="standard"/>
        <c:varyColors val="0"/>
        <c:ser>
          <c:idx val="0"/>
          <c:order val="0"/>
          <c:tx>
            <c:strRef>
              <c:f>图1!$C$3</c:f>
              <c:strCache>
                <c:ptCount val="1"/>
                <c:pt idx="0">
                  <c:v>平均值收益率(%)</c:v>
                </c:pt>
              </c:strCache>
            </c:strRef>
          </c:tx>
          <c:spPr>
            <a:ln w="3810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图1!$B$4:$B$163</c:f>
              <c:numCache>
                <c:formatCode>m/d/yyyy</c:formatCode>
                <c:ptCount val="160"/>
                <c:pt idx="0">
                  <c:v>42736</c:v>
                </c:pt>
                <c:pt idx="1">
                  <c:v>42737</c:v>
                </c:pt>
                <c:pt idx="2">
                  <c:v>42742</c:v>
                </c:pt>
                <c:pt idx="3">
                  <c:v>42743</c:v>
                </c:pt>
                <c:pt idx="4">
                  <c:v>42744</c:v>
                </c:pt>
                <c:pt idx="5">
                  <c:v>42749</c:v>
                </c:pt>
                <c:pt idx="6">
                  <c:v>42750</c:v>
                </c:pt>
                <c:pt idx="7">
                  <c:v>42751</c:v>
                </c:pt>
                <c:pt idx="8">
                  <c:v>42755</c:v>
                </c:pt>
                <c:pt idx="9">
                  <c:v>42769</c:v>
                </c:pt>
                <c:pt idx="10">
                  <c:v>42770</c:v>
                </c:pt>
                <c:pt idx="11">
                  <c:v>42772</c:v>
                </c:pt>
                <c:pt idx="12">
                  <c:v>42777</c:v>
                </c:pt>
                <c:pt idx="13">
                  <c:v>42778</c:v>
                </c:pt>
                <c:pt idx="14">
                  <c:v>42779</c:v>
                </c:pt>
                <c:pt idx="15">
                  <c:v>42784</c:v>
                </c:pt>
                <c:pt idx="16">
                  <c:v>42785</c:v>
                </c:pt>
                <c:pt idx="17">
                  <c:v>42786</c:v>
                </c:pt>
                <c:pt idx="18">
                  <c:v>42790</c:v>
                </c:pt>
                <c:pt idx="19">
                  <c:v>42791</c:v>
                </c:pt>
                <c:pt idx="20">
                  <c:v>42792</c:v>
                </c:pt>
                <c:pt idx="21">
                  <c:v>42793</c:v>
                </c:pt>
                <c:pt idx="22">
                  <c:v>42797</c:v>
                </c:pt>
                <c:pt idx="23">
                  <c:v>42798</c:v>
                </c:pt>
                <c:pt idx="24">
                  <c:v>42799</c:v>
                </c:pt>
                <c:pt idx="25">
                  <c:v>42800</c:v>
                </c:pt>
                <c:pt idx="26">
                  <c:v>42804</c:v>
                </c:pt>
                <c:pt idx="27">
                  <c:v>42805</c:v>
                </c:pt>
                <c:pt idx="28">
                  <c:v>42806</c:v>
                </c:pt>
                <c:pt idx="29">
                  <c:v>42807</c:v>
                </c:pt>
                <c:pt idx="30">
                  <c:v>42811</c:v>
                </c:pt>
                <c:pt idx="31">
                  <c:v>42812</c:v>
                </c:pt>
                <c:pt idx="32">
                  <c:v>42813</c:v>
                </c:pt>
                <c:pt idx="33">
                  <c:v>42814</c:v>
                </c:pt>
                <c:pt idx="34">
                  <c:v>42818</c:v>
                </c:pt>
                <c:pt idx="35">
                  <c:v>42819</c:v>
                </c:pt>
                <c:pt idx="36">
                  <c:v>42821</c:v>
                </c:pt>
                <c:pt idx="37">
                  <c:v>42827</c:v>
                </c:pt>
                <c:pt idx="38">
                  <c:v>42828</c:v>
                </c:pt>
                <c:pt idx="39">
                  <c:v>42829</c:v>
                </c:pt>
                <c:pt idx="40">
                  <c:v>42832</c:v>
                </c:pt>
                <c:pt idx="41">
                  <c:v>42833</c:v>
                </c:pt>
                <c:pt idx="42">
                  <c:v>42834</c:v>
                </c:pt>
                <c:pt idx="43">
                  <c:v>42835</c:v>
                </c:pt>
                <c:pt idx="44">
                  <c:v>42839</c:v>
                </c:pt>
                <c:pt idx="45">
                  <c:v>42840</c:v>
                </c:pt>
                <c:pt idx="46">
                  <c:v>42841</c:v>
                </c:pt>
                <c:pt idx="47">
                  <c:v>42842</c:v>
                </c:pt>
                <c:pt idx="48">
                  <c:v>42843</c:v>
                </c:pt>
                <c:pt idx="49">
                  <c:v>42846</c:v>
                </c:pt>
                <c:pt idx="50">
                  <c:v>42847</c:v>
                </c:pt>
                <c:pt idx="51">
                  <c:v>42848</c:v>
                </c:pt>
                <c:pt idx="52">
                  <c:v>42849</c:v>
                </c:pt>
                <c:pt idx="53">
                  <c:v>42855</c:v>
                </c:pt>
                <c:pt idx="54">
                  <c:v>42856</c:v>
                </c:pt>
                <c:pt idx="55">
                  <c:v>42860</c:v>
                </c:pt>
                <c:pt idx="56">
                  <c:v>42861</c:v>
                </c:pt>
                <c:pt idx="57">
                  <c:v>42862</c:v>
                </c:pt>
                <c:pt idx="58">
                  <c:v>42863</c:v>
                </c:pt>
                <c:pt idx="59">
                  <c:v>42868</c:v>
                </c:pt>
                <c:pt idx="60">
                  <c:v>42869</c:v>
                </c:pt>
                <c:pt idx="61">
                  <c:v>42870</c:v>
                </c:pt>
                <c:pt idx="62">
                  <c:v>42875</c:v>
                </c:pt>
                <c:pt idx="63">
                  <c:v>42876</c:v>
                </c:pt>
                <c:pt idx="64">
                  <c:v>42877</c:v>
                </c:pt>
                <c:pt idx="65">
                  <c:v>42883</c:v>
                </c:pt>
                <c:pt idx="66">
                  <c:v>42884</c:v>
                </c:pt>
                <c:pt idx="67">
                  <c:v>42889</c:v>
                </c:pt>
                <c:pt idx="68">
                  <c:v>42890</c:v>
                </c:pt>
                <c:pt idx="69">
                  <c:v>42891</c:v>
                </c:pt>
                <c:pt idx="70">
                  <c:v>42896</c:v>
                </c:pt>
                <c:pt idx="71">
                  <c:v>42897</c:v>
                </c:pt>
                <c:pt idx="72">
                  <c:v>42898</c:v>
                </c:pt>
                <c:pt idx="73">
                  <c:v>42899</c:v>
                </c:pt>
                <c:pt idx="74">
                  <c:v>42903</c:v>
                </c:pt>
                <c:pt idx="75">
                  <c:v>42904</c:v>
                </c:pt>
                <c:pt idx="76">
                  <c:v>42905</c:v>
                </c:pt>
                <c:pt idx="77">
                  <c:v>42910</c:v>
                </c:pt>
                <c:pt idx="78">
                  <c:v>42911</c:v>
                </c:pt>
                <c:pt idx="79">
                  <c:v>42912</c:v>
                </c:pt>
                <c:pt idx="80">
                  <c:v>42913</c:v>
                </c:pt>
                <c:pt idx="81">
                  <c:v>42914</c:v>
                </c:pt>
                <c:pt idx="82">
                  <c:v>42915</c:v>
                </c:pt>
                <c:pt idx="83">
                  <c:v>42916</c:v>
                </c:pt>
                <c:pt idx="84">
                  <c:v>42920</c:v>
                </c:pt>
                <c:pt idx="85">
                  <c:v>42921</c:v>
                </c:pt>
                <c:pt idx="86">
                  <c:v>42922</c:v>
                </c:pt>
                <c:pt idx="87">
                  <c:v>42923</c:v>
                </c:pt>
                <c:pt idx="88">
                  <c:v>42924</c:v>
                </c:pt>
                <c:pt idx="89">
                  <c:v>42925</c:v>
                </c:pt>
                <c:pt idx="90">
                  <c:v>42926</c:v>
                </c:pt>
                <c:pt idx="91">
                  <c:v>42927</c:v>
                </c:pt>
                <c:pt idx="92">
                  <c:v>42928</c:v>
                </c:pt>
                <c:pt idx="93">
                  <c:v>42929</c:v>
                </c:pt>
                <c:pt idx="94">
                  <c:v>42930</c:v>
                </c:pt>
                <c:pt idx="95">
                  <c:v>42931</c:v>
                </c:pt>
                <c:pt idx="96">
                  <c:v>42932</c:v>
                </c:pt>
                <c:pt idx="97">
                  <c:v>42933</c:v>
                </c:pt>
                <c:pt idx="98">
                  <c:v>42934</c:v>
                </c:pt>
                <c:pt idx="99">
                  <c:v>42935</c:v>
                </c:pt>
                <c:pt idx="100">
                  <c:v>42936</c:v>
                </c:pt>
                <c:pt idx="101">
                  <c:v>42937</c:v>
                </c:pt>
                <c:pt idx="102">
                  <c:v>42938</c:v>
                </c:pt>
                <c:pt idx="103">
                  <c:v>42939</c:v>
                </c:pt>
                <c:pt idx="104">
                  <c:v>42940</c:v>
                </c:pt>
                <c:pt idx="105">
                  <c:v>42941</c:v>
                </c:pt>
                <c:pt idx="106">
                  <c:v>42942</c:v>
                </c:pt>
                <c:pt idx="107">
                  <c:v>42943</c:v>
                </c:pt>
                <c:pt idx="108">
                  <c:v>42944</c:v>
                </c:pt>
                <c:pt idx="109">
                  <c:v>42945</c:v>
                </c:pt>
                <c:pt idx="110">
                  <c:v>42946</c:v>
                </c:pt>
                <c:pt idx="111">
                  <c:v>42947</c:v>
                </c:pt>
                <c:pt idx="112">
                  <c:v>42948</c:v>
                </c:pt>
                <c:pt idx="113">
                  <c:v>42949</c:v>
                </c:pt>
                <c:pt idx="114">
                  <c:v>42950</c:v>
                </c:pt>
                <c:pt idx="115">
                  <c:v>42951</c:v>
                </c:pt>
                <c:pt idx="116">
                  <c:v>42952</c:v>
                </c:pt>
                <c:pt idx="117">
                  <c:v>42953</c:v>
                </c:pt>
                <c:pt idx="118">
                  <c:v>42954</c:v>
                </c:pt>
                <c:pt idx="119">
                  <c:v>42955</c:v>
                </c:pt>
                <c:pt idx="120">
                  <c:v>42956</c:v>
                </c:pt>
                <c:pt idx="121">
                  <c:v>42957</c:v>
                </c:pt>
                <c:pt idx="122">
                  <c:v>42958</c:v>
                </c:pt>
                <c:pt idx="123">
                  <c:v>42959</c:v>
                </c:pt>
                <c:pt idx="124">
                  <c:v>42960</c:v>
                </c:pt>
                <c:pt idx="125">
                  <c:v>42961</c:v>
                </c:pt>
                <c:pt idx="126">
                  <c:v>42962</c:v>
                </c:pt>
                <c:pt idx="127">
                  <c:v>42963</c:v>
                </c:pt>
                <c:pt idx="128">
                  <c:v>42964</c:v>
                </c:pt>
                <c:pt idx="129">
                  <c:v>42965</c:v>
                </c:pt>
                <c:pt idx="130">
                  <c:v>42966</c:v>
                </c:pt>
                <c:pt idx="131">
                  <c:v>42967</c:v>
                </c:pt>
                <c:pt idx="132">
                  <c:v>42968</c:v>
                </c:pt>
                <c:pt idx="133">
                  <c:v>42969</c:v>
                </c:pt>
                <c:pt idx="134">
                  <c:v>42970</c:v>
                </c:pt>
                <c:pt idx="135">
                  <c:v>42971</c:v>
                </c:pt>
                <c:pt idx="136">
                  <c:v>42972</c:v>
                </c:pt>
                <c:pt idx="137">
                  <c:v>42973</c:v>
                </c:pt>
                <c:pt idx="138">
                  <c:v>42974</c:v>
                </c:pt>
                <c:pt idx="139">
                  <c:v>42975</c:v>
                </c:pt>
                <c:pt idx="140">
                  <c:v>42976</c:v>
                </c:pt>
                <c:pt idx="141">
                  <c:v>42977</c:v>
                </c:pt>
                <c:pt idx="142">
                  <c:v>42978</c:v>
                </c:pt>
                <c:pt idx="143">
                  <c:v>42979</c:v>
                </c:pt>
                <c:pt idx="144">
                  <c:v>42980</c:v>
                </c:pt>
                <c:pt idx="145">
                  <c:v>42981</c:v>
                </c:pt>
                <c:pt idx="146">
                  <c:v>42982</c:v>
                </c:pt>
                <c:pt idx="147">
                  <c:v>42983</c:v>
                </c:pt>
                <c:pt idx="148">
                  <c:v>42984</c:v>
                </c:pt>
                <c:pt idx="149">
                  <c:v>42985</c:v>
                </c:pt>
                <c:pt idx="150">
                  <c:v>42986</c:v>
                </c:pt>
                <c:pt idx="151">
                  <c:v>42987</c:v>
                </c:pt>
                <c:pt idx="152">
                  <c:v>42988</c:v>
                </c:pt>
                <c:pt idx="153">
                  <c:v>42989</c:v>
                </c:pt>
                <c:pt idx="154">
                  <c:v>42990</c:v>
                </c:pt>
                <c:pt idx="155">
                  <c:v>42991</c:v>
                </c:pt>
                <c:pt idx="156">
                  <c:v>42992</c:v>
                </c:pt>
                <c:pt idx="157">
                  <c:v>42993</c:v>
                </c:pt>
                <c:pt idx="158">
                  <c:v>42994</c:v>
                </c:pt>
                <c:pt idx="159">
                  <c:v>42995</c:v>
                </c:pt>
              </c:numCache>
            </c:numRef>
          </c:cat>
          <c:val>
            <c:numRef>
              <c:f>图1!$C$4:$C$163</c:f>
              <c:numCache>
                <c:formatCode>0.00%</c:formatCode>
                <c:ptCount val="160"/>
                <c:pt idx="0">
                  <c:v>2.9030500000000004E-2</c:v>
                </c:pt>
                <c:pt idx="1">
                  <c:v>3.7078833333333332E-2</c:v>
                </c:pt>
                <c:pt idx="2">
                  <c:v>3.6013333333333328E-2</c:v>
                </c:pt>
                <c:pt idx="3">
                  <c:v>3.6329799999999995E-2</c:v>
                </c:pt>
                <c:pt idx="4">
                  <c:v>3.6656500000000002E-2</c:v>
                </c:pt>
                <c:pt idx="5">
                  <c:v>3.7696E-2</c:v>
                </c:pt>
                <c:pt idx="6">
                  <c:v>3.6046666666666664E-2</c:v>
                </c:pt>
                <c:pt idx="7">
                  <c:v>3.8103499999999998E-2</c:v>
                </c:pt>
                <c:pt idx="8">
                  <c:v>3.5251999999999999E-2</c:v>
                </c:pt>
                <c:pt idx="9">
                  <c:v>3.9376799999999997E-2</c:v>
                </c:pt>
                <c:pt idx="10">
                  <c:v>3.8468999999999996E-2</c:v>
                </c:pt>
                <c:pt idx="11">
                  <c:v>3.9378857142857139E-2</c:v>
                </c:pt>
                <c:pt idx="12">
                  <c:v>3.9846000000000006E-2</c:v>
                </c:pt>
                <c:pt idx="13">
                  <c:v>3.0293E-2</c:v>
                </c:pt>
                <c:pt idx="14">
                  <c:v>3.8292714285714284E-2</c:v>
                </c:pt>
                <c:pt idx="15">
                  <c:v>3.9065500000000003E-2</c:v>
                </c:pt>
                <c:pt idx="16">
                  <c:v>3.5915000000000002E-2</c:v>
                </c:pt>
                <c:pt idx="17">
                  <c:v>3.7910166666666661E-2</c:v>
                </c:pt>
                <c:pt idx="18">
                  <c:v>3.9341000000000001E-2</c:v>
                </c:pt>
                <c:pt idx="19">
                  <c:v>3.8393333333333335E-2</c:v>
                </c:pt>
                <c:pt idx="20">
                  <c:v>3.4769799999999997E-2</c:v>
                </c:pt>
                <c:pt idx="21">
                  <c:v>3.8781857142857146E-2</c:v>
                </c:pt>
                <c:pt idx="22">
                  <c:v>4.0190999999999998E-2</c:v>
                </c:pt>
                <c:pt idx="23">
                  <c:v>4.0730000000000002E-2</c:v>
                </c:pt>
                <c:pt idx="24">
                  <c:v>3.6700249999999997E-2</c:v>
                </c:pt>
                <c:pt idx="25">
                  <c:v>3.9629833333333336E-2</c:v>
                </c:pt>
                <c:pt idx="26">
                  <c:v>4.1177499999999999E-2</c:v>
                </c:pt>
                <c:pt idx="27">
                  <c:v>3.8684249999999996E-2</c:v>
                </c:pt>
                <c:pt idx="28">
                  <c:v>3.9399666666666666E-2</c:v>
                </c:pt>
                <c:pt idx="29">
                  <c:v>3.7188499999999999E-2</c:v>
                </c:pt>
                <c:pt idx="30">
                  <c:v>4.1951333333333334E-2</c:v>
                </c:pt>
                <c:pt idx="31">
                  <c:v>3.9211000000000003E-2</c:v>
                </c:pt>
                <c:pt idx="32">
                  <c:v>3.7190500000000001E-2</c:v>
                </c:pt>
                <c:pt idx="33">
                  <c:v>4.0839999999999994E-2</c:v>
                </c:pt>
                <c:pt idx="34">
                  <c:v>4.0172666666666669E-2</c:v>
                </c:pt>
                <c:pt idx="35">
                  <c:v>3.7780500000000002E-2</c:v>
                </c:pt>
                <c:pt idx="36">
                  <c:v>4.0267999999999998E-2</c:v>
                </c:pt>
                <c:pt idx="37">
                  <c:v>3.5936599999999999E-2</c:v>
                </c:pt>
                <c:pt idx="38">
                  <c:v>3.7689E-2</c:v>
                </c:pt>
                <c:pt idx="39">
                  <c:v>4.07135E-2</c:v>
                </c:pt>
                <c:pt idx="40">
                  <c:v>4.1214666666666663E-2</c:v>
                </c:pt>
                <c:pt idx="41">
                  <c:v>3.7704999999999995E-2</c:v>
                </c:pt>
                <c:pt idx="42">
                  <c:v>3.9154000000000001E-2</c:v>
                </c:pt>
                <c:pt idx="43">
                  <c:v>4.072775E-2</c:v>
                </c:pt>
                <c:pt idx="44">
                  <c:v>4.3208500000000004E-2</c:v>
                </c:pt>
                <c:pt idx="45">
                  <c:v>3.9710333333333334E-2</c:v>
                </c:pt>
                <c:pt idx="46">
                  <c:v>3.8489500000000003E-2</c:v>
                </c:pt>
                <c:pt idx="47">
                  <c:v>4.0982600000000001E-2</c:v>
                </c:pt>
                <c:pt idx="48">
                  <c:v>3.8948999999999998E-2</c:v>
                </c:pt>
                <c:pt idx="49">
                  <c:v>4.3027999999999997E-2</c:v>
                </c:pt>
                <c:pt idx="50">
                  <c:v>4.1145333333333332E-2</c:v>
                </c:pt>
                <c:pt idx="51">
                  <c:v>4.0469666666666668E-2</c:v>
                </c:pt>
                <c:pt idx="52">
                  <c:v>3.9168000000000001E-2</c:v>
                </c:pt>
                <c:pt idx="53">
                  <c:v>4.1345E-2</c:v>
                </c:pt>
                <c:pt idx="54">
                  <c:v>4.193266666666666E-2</c:v>
                </c:pt>
                <c:pt idx="55">
                  <c:v>4.4186666666666666E-2</c:v>
                </c:pt>
                <c:pt idx="56">
                  <c:v>4.1262333333333324E-2</c:v>
                </c:pt>
                <c:pt idx="57">
                  <c:v>4.1793500000000004E-2</c:v>
                </c:pt>
                <c:pt idx="58">
                  <c:v>4.2740333333333325E-2</c:v>
                </c:pt>
                <c:pt idx="59">
                  <c:v>4.1624666666666664E-2</c:v>
                </c:pt>
                <c:pt idx="60">
                  <c:v>4.0834999999999996E-2</c:v>
                </c:pt>
                <c:pt idx="61">
                  <c:v>4.2953400000000003E-2</c:v>
                </c:pt>
                <c:pt idx="62">
                  <c:v>3.9620000000000002E-2</c:v>
                </c:pt>
                <c:pt idx="63">
                  <c:v>4.3143750000000002E-2</c:v>
                </c:pt>
                <c:pt idx="64">
                  <c:v>4.2745166666666667E-2</c:v>
                </c:pt>
                <c:pt idx="65">
                  <c:v>4.3064999999999999E-2</c:v>
                </c:pt>
                <c:pt idx="66">
                  <c:v>4.3343333333333331E-2</c:v>
                </c:pt>
                <c:pt idx="67">
                  <c:v>4.3156666666666663E-2</c:v>
                </c:pt>
                <c:pt idx="68">
                  <c:v>4.1153833333333327E-2</c:v>
                </c:pt>
                <c:pt idx="69">
                  <c:v>4.3079800000000008E-2</c:v>
                </c:pt>
                <c:pt idx="70">
                  <c:v>4.1127333333333335E-2</c:v>
                </c:pt>
                <c:pt idx="71">
                  <c:v>4.0980800000000005E-2</c:v>
                </c:pt>
                <c:pt idx="72">
                  <c:v>4.2121000000000006E-2</c:v>
                </c:pt>
                <c:pt idx="73">
                  <c:v>3.9763E-2</c:v>
                </c:pt>
                <c:pt idx="74">
                  <c:v>4.0322250000000004E-2</c:v>
                </c:pt>
                <c:pt idx="75">
                  <c:v>4.1359750000000001E-2</c:v>
                </c:pt>
                <c:pt idx="76">
                  <c:v>4.1452333333333334E-2</c:v>
                </c:pt>
                <c:pt idx="77">
                  <c:v>4.0557666666666672E-2</c:v>
                </c:pt>
                <c:pt idx="78">
                  <c:v>3.4348999999999998E-2</c:v>
                </c:pt>
                <c:pt idx="79">
                  <c:v>3.9003999999999997E-2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3AC-4455-A2FC-0CE812C7E0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22228144"/>
        <c:axId val="622232080"/>
      </c:lineChart>
      <c:scatterChart>
        <c:scatterStyle val="lineMarker"/>
        <c:varyColors val="0"/>
        <c:ser>
          <c:idx val="1"/>
          <c:order val="1"/>
          <c:tx>
            <c:strRef>
              <c:f>图1!$E$2</c:f>
              <c:strCache>
                <c:ptCount val="1"/>
                <c:pt idx="0">
                  <c:v>helper1</c:v>
                </c:pt>
              </c:strCache>
            </c:strRef>
          </c:tx>
          <c:spPr>
            <a:ln w="19050" cap="rnd">
              <a:solidFill>
                <a:schemeClr val="bg1">
                  <a:lumMod val="65000"/>
                </a:schemeClr>
              </a:solidFill>
              <a:prstDash val="dash"/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4.0401006575209029E-2"/>
                  <c:y val="3.5291283326426302E-2"/>
                </c:manualLayout>
              </c:layout>
              <c:spPr>
                <a:solidFill>
                  <a:schemeClr val="bg1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50" b="0" i="0" u="none" strike="noStrike" kern="1200" baseline="0">
                      <a:solidFill>
                        <a:schemeClr val="tx1">
                          <a:lumMod val="85000"/>
                          <a:lumOff val="15000"/>
                        </a:schemeClr>
                      </a:solidFill>
                      <a:latin typeface="ITC Officina Sans Std Book" panose="020B0506040203020204" pitchFamily="34" charset="0"/>
                      <a:ea typeface="+mn-ea"/>
                      <a:cs typeface="+mn-cs"/>
                    </a:defRPr>
                  </a:pPr>
                  <a:endParaRPr lang="zh-CN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BDF3-4D63-92F7-F31655E529E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50" b="0" i="0" u="none" strike="noStrike" kern="1200" baseline="0">
                    <a:solidFill>
                      <a:schemeClr val="tx1">
                        <a:lumMod val="85000"/>
                        <a:lumOff val="15000"/>
                      </a:schemeClr>
                    </a:solidFill>
                    <a:latin typeface="ITC Officina Sans Std Book" panose="020B0506040203020204" pitchFamily="34" charset="0"/>
                    <a:ea typeface="+mn-ea"/>
                    <a:cs typeface="+mn-cs"/>
                  </a:defRPr>
                </a:pPr>
                <a:endParaRPr lang="zh-CN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图1!$E$4:$E$5</c:f>
              <c:numCache>
                <c:formatCode>General</c:formatCode>
                <c:ptCount val="2"/>
                <c:pt idx="0">
                  <c:v>0</c:v>
                </c:pt>
                <c:pt idx="1">
                  <c:v>77</c:v>
                </c:pt>
              </c:numCache>
            </c:numRef>
          </c:xVal>
          <c:yVal>
            <c:numRef>
              <c:f>图1!$F$4:$F$5</c:f>
              <c:numCache>
                <c:formatCode>0.00%</c:formatCode>
                <c:ptCount val="2"/>
                <c:pt idx="0">
                  <c:v>2.9030500000000004E-2</c:v>
                </c:pt>
                <c:pt idx="1">
                  <c:v>2.9030500000000004E-2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3AC-4455-A2FC-0CE812C7E0FF}"/>
            </c:ext>
          </c:extLst>
        </c:ser>
        <c:ser>
          <c:idx val="2"/>
          <c:order val="2"/>
          <c:tx>
            <c:strRef>
              <c:f>图1!$G$2</c:f>
              <c:strCache>
                <c:ptCount val="1"/>
                <c:pt idx="0">
                  <c:v>helper2</c:v>
                </c:pt>
              </c:strCache>
            </c:strRef>
          </c:tx>
          <c:spPr>
            <a:ln w="19050" cap="rnd">
              <a:solidFill>
                <a:schemeClr val="bg1">
                  <a:lumMod val="65000"/>
                </a:schemeClr>
              </a:solidFill>
              <a:prstDash val="dash"/>
              <a:round/>
            </a:ln>
            <a:effectLst/>
          </c:spPr>
          <c:marker>
            <c:symbol val="none"/>
          </c:marker>
          <c:dLbls>
            <c:dLbl>
              <c:idx val="0"/>
              <c:tx>
                <c:rich>
                  <a:bodyPr/>
                  <a:lstStyle/>
                  <a:p>
                    <a:r>
                      <a:rPr lang="en-US" altLang="zh-CN"/>
                      <a:t>5-8</a:t>
                    </a:r>
                    <a:r>
                      <a:rPr lang="en-US" altLang="zh-CN" baseline="0"/>
                      <a:t> </a:t>
                    </a:r>
                    <a:endParaRPr lang="en-US" altLang="zh-CN"/>
                  </a:p>
                  <a:p>
                    <a:fld id="{EE4B5425-214F-468F-B82D-CA3F7D133A3E}" type="YVALUE">
                      <a:rPr lang="en-US" altLang="zh-CN"/>
                      <a:pPr/>
                      <a:t>[Y 值]</a:t>
                    </a:fld>
                    <a:endParaRPr lang="zh-CN" altLang="en-US"/>
                  </a:p>
                </c:rich>
              </c:tx>
              <c:dLblPos val="t"/>
              <c:showLegendKey val="0"/>
              <c:showVal val="1"/>
              <c:showCatName val="1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8-A3AC-4455-A2FC-0CE812C7E0FF}"/>
                </c:ext>
              </c:extLst>
            </c:dLbl>
            <c:spPr>
              <a:solidFill>
                <a:schemeClr val="bg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b" anchorCtr="0">
                <a:spAutoFit/>
              </a:bodyPr>
              <a:lstStyle/>
              <a:p>
                <a:pPr algn="ctr">
                  <a:defRPr sz="950" b="0" i="0" u="none" strike="noStrike" kern="1200" baseline="0">
                    <a:solidFill>
                      <a:schemeClr val="tx1">
                        <a:lumMod val="85000"/>
                        <a:lumOff val="15000"/>
                      </a:schemeClr>
                    </a:solidFill>
                    <a:latin typeface="ITC Officina Sans Std Book" panose="020B0506040203020204" pitchFamily="34" charset="0"/>
                    <a:ea typeface="+mn-ea"/>
                    <a:cs typeface="+mn-cs"/>
                  </a:defRPr>
                </a:pPr>
                <a:endParaRPr lang="zh-CN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图1!$G$4:$G$5</c:f>
              <c:numCache>
                <c:formatCode>General</c:formatCode>
                <c:ptCount val="2"/>
                <c:pt idx="0">
                  <c:v>78</c:v>
                </c:pt>
                <c:pt idx="1">
                  <c:v>110</c:v>
                </c:pt>
              </c:numCache>
            </c:numRef>
          </c:xVal>
          <c:yVal>
            <c:numRef>
              <c:f>图1!$H$4:$H$5</c:f>
              <c:numCache>
                <c:formatCode>0.00%</c:formatCode>
                <c:ptCount val="2"/>
                <c:pt idx="0">
                  <c:v>4.4186666666666666E-2</c:v>
                </c:pt>
                <c:pt idx="1">
                  <c:v>4.4186666666666666E-2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A3AC-4455-A2FC-0CE812C7E0FF}"/>
            </c:ext>
          </c:extLst>
        </c:ser>
        <c:ser>
          <c:idx val="3"/>
          <c:order val="3"/>
          <c:tx>
            <c:strRef>
              <c:f>图1!$I$2</c:f>
              <c:strCache>
                <c:ptCount val="1"/>
                <c:pt idx="0">
                  <c:v>helper3</c:v>
                </c:pt>
              </c:strCache>
            </c:strRef>
          </c:tx>
          <c:spPr>
            <a:ln w="25400" cap="rnd">
              <a:solidFill>
                <a:schemeClr val="tx1">
                  <a:lumMod val="50000"/>
                  <a:lumOff val="50000"/>
                </a:schemeClr>
              </a:solidFill>
              <a:prstDash val="lgDash"/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1.061864689594213E-2"/>
                  <c:y val="3.5291283326426302E-2"/>
                </c:manualLayout>
              </c:layout>
              <c:spPr>
                <a:solidFill>
                  <a:schemeClr val="bg1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50" b="0" i="0" u="none" strike="noStrike" kern="1200" baseline="0">
                      <a:solidFill>
                        <a:schemeClr val="tx1">
                          <a:lumMod val="85000"/>
                          <a:lumOff val="15000"/>
                        </a:schemeClr>
                      </a:solidFill>
                      <a:latin typeface="ITC Officina Sans Std Book" panose="020B0506040203020204" pitchFamily="34" charset="0"/>
                      <a:ea typeface="+mn-ea"/>
                      <a:cs typeface="+mn-cs"/>
                    </a:defRPr>
                  </a:pPr>
                  <a:endParaRPr lang="zh-CN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BDF3-4D63-92F7-F31655E529E1}"/>
                </c:ext>
              </c:extLst>
            </c:dLbl>
            <c:dLbl>
              <c:idx val="2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050" b="0" i="0" u="none" strike="noStrike" kern="1200" baseline="0">
                        <a:solidFill>
                          <a:schemeClr val="tx1">
                            <a:lumMod val="85000"/>
                            <a:lumOff val="15000"/>
                          </a:schemeClr>
                        </a:solidFill>
                        <a:latin typeface="ITC Officina Sans Std Book" panose="020B0506040203020204" pitchFamily="34" charset="0"/>
                        <a:ea typeface="+mn-ea"/>
                        <a:cs typeface="+mn-cs"/>
                      </a:defRPr>
                    </a:pPr>
                    <a:r>
                      <a:rPr lang="en-US" altLang="zh-CN" sz="1050" b="0"/>
                      <a:t>F'CAST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50" b="0" i="0" u="none" strike="noStrike" kern="1200" baseline="0">
                      <a:solidFill>
                        <a:schemeClr val="tx1">
                          <a:lumMod val="85000"/>
                          <a:lumOff val="15000"/>
                        </a:schemeClr>
                      </a:solidFill>
                      <a:latin typeface="ITC Officina Sans Std Book" panose="020B0506040203020204" pitchFamily="34" charset="0"/>
                      <a:ea typeface="+mn-ea"/>
                      <a:cs typeface="+mn-cs"/>
                    </a:defRPr>
                  </a:pPr>
                  <a:endParaRPr lang="zh-CN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BDF3-4D63-92F7-F31655E529E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85000"/>
                        <a:lumOff val="15000"/>
                      </a:schemeClr>
                    </a:solidFill>
                    <a:latin typeface="ITC Officina Sans Std Book" panose="020B0506040203020204" pitchFamily="34" charset="0"/>
                    <a:ea typeface="+mn-ea"/>
                    <a:cs typeface="+mn-cs"/>
                  </a:defRPr>
                </a:pPr>
                <a:endParaRPr lang="zh-CN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图1!$I$4:$I$6</c:f>
              <c:numCache>
                <c:formatCode>General</c:formatCode>
                <c:ptCount val="3"/>
                <c:pt idx="0">
                  <c:v>110</c:v>
                </c:pt>
                <c:pt idx="1">
                  <c:v>160</c:v>
                </c:pt>
                <c:pt idx="2">
                  <c:v>135</c:v>
                </c:pt>
              </c:numCache>
            </c:numRef>
          </c:xVal>
          <c:yVal>
            <c:numRef>
              <c:f>图1!$J$4:$J$6</c:f>
              <c:numCache>
                <c:formatCode>0.00%</c:formatCode>
                <c:ptCount val="3"/>
                <c:pt idx="0">
                  <c:v>3.9003999999999997E-2</c:v>
                </c:pt>
                <c:pt idx="1">
                  <c:v>0.05</c:v>
                </c:pt>
                <c:pt idx="2">
                  <c:v>4.4502E-2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A3AC-4455-A2FC-0CE812C7E0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29818432"/>
        <c:axId val="829808264"/>
      </c:scatterChart>
      <c:dateAx>
        <c:axId val="622228144"/>
        <c:scaling>
          <c:orientation val="minMax"/>
        </c:scaling>
        <c:delete val="0"/>
        <c:axPos val="b"/>
        <c:numFmt formatCode="m/d;@" sourceLinked="0"/>
        <c:majorTickMark val="in"/>
        <c:minorTickMark val="none"/>
        <c:tickLblPos val="nextTo"/>
        <c:spPr>
          <a:noFill/>
          <a:ln w="6350" cap="flat" cmpd="sng" algn="ctr">
            <a:solidFill>
              <a:schemeClr val="bg1">
                <a:lumMod val="6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85000"/>
                    <a:lumOff val="15000"/>
                  </a:schemeClr>
                </a:solidFill>
                <a:latin typeface="ITC Officina Sans Std Book" panose="020B0506040203020204" pitchFamily="34" charset="0"/>
                <a:ea typeface="+mn-ea"/>
                <a:cs typeface="+mn-cs"/>
              </a:defRPr>
            </a:pPr>
            <a:endParaRPr lang="zh-CN"/>
          </a:p>
        </c:txPr>
        <c:crossAx val="622232080"/>
        <c:crosses val="autoZero"/>
        <c:auto val="1"/>
        <c:lblOffset val="100"/>
        <c:baseTimeUnit val="days"/>
        <c:majorUnit val="30"/>
        <c:majorTimeUnit val="days"/>
      </c:dateAx>
      <c:valAx>
        <c:axId val="622232080"/>
        <c:scaling>
          <c:orientation val="minMax"/>
          <c:max val="5.000000000000001E-2"/>
          <c:min val="2.0000000000000004E-2"/>
        </c:scaling>
        <c:delete val="0"/>
        <c:axPos val="r"/>
        <c:majorGridlines>
          <c:spPr>
            <a:ln w="12700" cap="flat" cmpd="sng" algn="ctr">
              <a:solidFill>
                <a:schemeClr val="bg1">
                  <a:lumMod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85000"/>
                    <a:lumOff val="15000"/>
                  </a:schemeClr>
                </a:solidFill>
                <a:latin typeface="ITC Officina Sans Std Book" panose="020B0506040203020204" pitchFamily="34" charset="0"/>
                <a:ea typeface="+mn-ea"/>
                <a:cs typeface="+mn-cs"/>
              </a:defRPr>
            </a:pPr>
            <a:endParaRPr lang="zh-CN"/>
          </a:p>
        </c:txPr>
        <c:crossAx val="622228144"/>
        <c:crosses val="max"/>
        <c:crossBetween val="between"/>
      </c:valAx>
      <c:valAx>
        <c:axId val="829808264"/>
        <c:scaling>
          <c:orientation val="minMax"/>
          <c:max val="5.000000000000001E-2"/>
          <c:min val="2.0000000000000004E-2"/>
        </c:scaling>
        <c:delete val="0"/>
        <c:axPos val="r"/>
        <c:numFmt formatCode="0.00%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85000"/>
                    <a:lumOff val="15000"/>
                  </a:schemeClr>
                </a:solidFill>
                <a:latin typeface="ITC Officina Sans Std Book" panose="020B0506040203020204" pitchFamily="34" charset="0"/>
                <a:ea typeface="+mn-ea"/>
                <a:cs typeface="+mn-cs"/>
              </a:defRPr>
            </a:pPr>
            <a:endParaRPr lang="zh-CN"/>
          </a:p>
        </c:txPr>
        <c:crossAx val="829818432"/>
        <c:crosses val="max"/>
        <c:crossBetween val="midCat"/>
      </c:valAx>
      <c:valAx>
        <c:axId val="829818432"/>
        <c:scaling>
          <c:orientation val="minMax"/>
          <c:max val="160"/>
        </c:scaling>
        <c:delete val="0"/>
        <c:axPos val="t"/>
        <c:numFmt formatCode="General" sourceLinked="1"/>
        <c:majorTickMark val="none"/>
        <c:minorTickMark val="none"/>
        <c:tickLblPos val="none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85000"/>
                    <a:lumOff val="15000"/>
                  </a:schemeClr>
                </a:solidFill>
                <a:latin typeface="ITC Officina Sans Std Book" panose="020B0506040203020204" pitchFamily="34" charset="0"/>
                <a:ea typeface="+mn-ea"/>
                <a:cs typeface="+mn-cs"/>
              </a:defRPr>
            </a:pPr>
            <a:endParaRPr lang="zh-CN"/>
          </a:p>
        </c:txPr>
        <c:crossAx val="829808264"/>
        <c:crosses val="max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2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>
              <a:lumMod val="85000"/>
              <a:lumOff val="15000"/>
            </a:schemeClr>
          </a:solidFill>
          <a:latin typeface="ITC Officina Sans Std Book" panose="020B0506040203020204" pitchFamily="34" charset="0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l">
              <a:defRPr sz="1200" b="0" i="0" u="none" strike="noStrike" kern="1200" spc="0" baseline="0">
                <a:solidFill>
                  <a:schemeClr val="tx1">
                    <a:lumMod val="85000"/>
                    <a:lumOff val="15000"/>
                  </a:schemeClr>
                </a:solidFill>
                <a:latin typeface="ITC Officina Sans Std Book" panose="020B0506040203020204" pitchFamily="34" charset="0"/>
                <a:ea typeface="+mn-ea"/>
                <a:cs typeface="+mn-cs"/>
              </a:defRPr>
            </a:pPr>
            <a:r>
              <a:rPr lang="zh-CN" altLang="en-US" sz="1200">
                <a:solidFill>
                  <a:schemeClr val="tx1">
                    <a:lumMod val="85000"/>
                    <a:lumOff val="15000"/>
                  </a:schemeClr>
                </a:solidFill>
                <a:latin typeface="ITC Officina Sans Std Book" panose="020B0506040203020204" pitchFamily="34" charset="0"/>
              </a:rPr>
              <a:t>二十一世纪以来，美国财政赤字规模持续扩大</a:t>
            </a:r>
            <a:endParaRPr lang="en-US" altLang="zh-CN" sz="1200">
              <a:solidFill>
                <a:schemeClr val="tx1">
                  <a:lumMod val="85000"/>
                  <a:lumOff val="15000"/>
                </a:schemeClr>
              </a:solidFill>
              <a:latin typeface="ITC Officina Sans Std Book" panose="020B0506040203020204" pitchFamily="34" charset="0"/>
            </a:endParaRPr>
          </a:p>
          <a:p>
            <a:pPr algn="l">
              <a:defRPr sz="1200"/>
            </a:pPr>
            <a:r>
              <a:rPr lang="zh-CN" altLang="en-US" sz="1000">
                <a:solidFill>
                  <a:schemeClr val="bg1">
                    <a:lumMod val="50000"/>
                  </a:schemeClr>
                </a:solidFill>
                <a:latin typeface="ITC Officina Sans Std Book" panose="020B0506040203020204" pitchFamily="34" charset="0"/>
              </a:rPr>
              <a:t>美国联邦财政收入</a:t>
            </a:r>
            <a:r>
              <a:rPr lang="en-US" altLang="zh-CN" sz="1000">
                <a:solidFill>
                  <a:schemeClr val="bg1">
                    <a:lumMod val="50000"/>
                  </a:schemeClr>
                </a:solidFill>
                <a:latin typeface="ITC Officina Sans Std Book" panose="020B0506040203020204" pitchFamily="34" charset="0"/>
              </a:rPr>
              <a:t>VS.</a:t>
            </a:r>
            <a:r>
              <a:rPr lang="zh-CN" altLang="en-US" sz="1000">
                <a:solidFill>
                  <a:schemeClr val="bg1">
                    <a:lumMod val="50000"/>
                  </a:schemeClr>
                </a:solidFill>
                <a:latin typeface="ITC Officina Sans Std Book" panose="020B0506040203020204" pitchFamily="34" charset="0"/>
              </a:rPr>
              <a:t>支出，</a:t>
            </a:r>
            <a:r>
              <a:rPr lang="en-US" altLang="zh-CN" sz="1000">
                <a:solidFill>
                  <a:schemeClr val="bg1">
                    <a:lumMod val="50000"/>
                  </a:schemeClr>
                </a:solidFill>
                <a:latin typeface="ITC Officina Sans Std Book" panose="020B0506040203020204" pitchFamily="34" charset="0"/>
              </a:rPr>
              <a:t>1972-2011</a:t>
            </a:r>
            <a:r>
              <a:rPr lang="zh-CN" altLang="en-US" sz="1000">
                <a:solidFill>
                  <a:schemeClr val="bg1">
                    <a:lumMod val="50000"/>
                  </a:schemeClr>
                </a:solidFill>
                <a:latin typeface="ITC Officina Sans Std Book" panose="020B0506040203020204" pitchFamily="34" charset="0"/>
              </a:rPr>
              <a:t>年，十亿美元</a:t>
            </a:r>
            <a:endParaRPr lang="zh-CN" sz="1000">
              <a:solidFill>
                <a:schemeClr val="bg1">
                  <a:lumMod val="50000"/>
                </a:schemeClr>
              </a:solidFill>
              <a:latin typeface="ITC Officina Sans Std Book" panose="020B0506040203020204" pitchFamily="34" charset="0"/>
            </a:endParaRPr>
          </a:p>
        </c:rich>
      </c:tx>
      <c:layout>
        <c:manualLayout>
          <c:xMode val="edge"/>
          <c:yMode val="edge"/>
          <c:x val="3.1718569780853516E-2"/>
          <c:y val="2.414486921529174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l">
            <a:defRPr sz="1200" b="0" i="0" u="none" strike="noStrike" kern="1200" spc="0" baseline="0">
              <a:solidFill>
                <a:schemeClr val="tx1">
                  <a:lumMod val="85000"/>
                  <a:lumOff val="15000"/>
                </a:schemeClr>
              </a:solidFill>
              <a:latin typeface="ITC Officina Sans Std Book" panose="020B0506040203020204" pitchFamily="34" charset="0"/>
              <a:ea typeface="+mn-ea"/>
              <a:cs typeface="+mn-cs"/>
            </a:defRPr>
          </a:pPr>
          <a:endParaRPr lang="zh-CN"/>
        </a:p>
      </c:txPr>
    </c:title>
    <c:autoTitleDeleted val="0"/>
    <c:plotArea>
      <c:layout>
        <c:manualLayout>
          <c:layoutTarget val="inner"/>
          <c:xMode val="edge"/>
          <c:yMode val="edge"/>
          <c:x val="0.11350425487471505"/>
          <c:y val="0.16411328865581942"/>
          <c:w val="0.78505553587808441"/>
          <c:h val="0.71534804628294701"/>
        </c:manualLayout>
      </c:layout>
      <c:lineChart>
        <c:grouping val="standard"/>
        <c:varyColors val="0"/>
        <c:ser>
          <c:idx val="0"/>
          <c:order val="0"/>
          <c:tx>
            <c:strRef>
              <c:f>图2!$C$3</c:f>
              <c:strCache>
                <c:ptCount val="1"/>
                <c:pt idx="0">
                  <c:v>财政收入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Pt>
            <c:idx val="39"/>
            <c:marker>
              <c:symbol val="circle"/>
              <c:size val="7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3-4973-4F20-87A0-5F8EB91D4A43}"/>
              </c:ext>
            </c:extLst>
          </c:dPt>
          <c:dLbls>
            <c:dLbl>
              <c:idx val="39"/>
              <c:layout>
                <c:manualLayout>
                  <c:x val="-5.299730267280621E-2"/>
                  <c:y val="-4.7183045781249225E-2"/>
                </c:manualLayout>
              </c:layout>
              <c:spPr>
                <a:solidFill>
                  <a:schemeClr val="bg2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0">
                  <a:spAutoFit/>
                </a:bodyPr>
                <a:lstStyle/>
                <a:p>
                  <a:pPr algn="r">
                    <a:defRPr sz="900" b="0" i="0" u="none" strike="noStrike" kern="1200" baseline="0">
                      <a:solidFill>
                        <a:schemeClr val="tx1">
                          <a:lumMod val="85000"/>
                          <a:lumOff val="15000"/>
                        </a:schemeClr>
                      </a:solidFill>
                      <a:latin typeface="ITC Officina Sans Std Book" panose="020B0506040203020204" pitchFamily="34" charset="0"/>
                      <a:ea typeface="华文细黑" panose="02010600040101010101" pitchFamily="2" charset="-122"/>
                      <a:cs typeface="+mn-cs"/>
                    </a:defRPr>
                  </a:pPr>
                  <a:endParaRPr lang="zh-CN"/>
                </a:p>
              </c:txPr>
              <c:dLblPos val="r"/>
              <c:showLegendKey val="0"/>
              <c:showVal val="1"/>
              <c:showCatName val="0"/>
              <c:showSerName val="1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4973-4F20-87A0-5F8EB91D4A43}"/>
                </c:ext>
              </c:extLst>
            </c:dLbl>
            <c:spPr>
              <a:solidFill>
                <a:schemeClr val="bg2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0">
                <a:spAutoFit/>
              </a:bodyPr>
              <a:lstStyle/>
              <a:p>
                <a:pPr algn="r">
                  <a:defRPr sz="900" b="0" i="0" u="none" strike="noStrike" kern="1200" baseline="0">
                    <a:solidFill>
                      <a:schemeClr val="tx1">
                        <a:lumMod val="85000"/>
                        <a:lumOff val="15000"/>
                      </a:schemeClr>
                    </a:solidFill>
                    <a:latin typeface="华文细黑" panose="02010600040101010101" pitchFamily="2" charset="-122"/>
                    <a:ea typeface="华文细黑" panose="02010600040101010101" pitchFamily="2" charset="-122"/>
                    <a:cs typeface="+mn-cs"/>
                  </a:defRPr>
                </a:pPr>
                <a:endParaRPr lang="zh-CN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图2!$B$4:$B$43</c:f>
              <c:numCache>
                <c:formatCode>General</c:formatCode>
                <c:ptCount val="40"/>
                <c:pt idx="3">
                  <c:v>1975</c:v>
                </c:pt>
                <c:pt idx="8">
                  <c:v>1980</c:v>
                </c:pt>
                <c:pt idx="18">
                  <c:v>1990</c:v>
                </c:pt>
                <c:pt idx="28">
                  <c:v>2000</c:v>
                </c:pt>
                <c:pt idx="38">
                  <c:v>2010</c:v>
                </c:pt>
              </c:numCache>
            </c:numRef>
          </c:cat>
          <c:val>
            <c:numRef>
              <c:f>图2!$C$4:$C$43</c:f>
              <c:numCache>
                <c:formatCode>_ * #,##0.0_ ;_ * \-#,##0.0_ ;_ * "-"??_ ;_ @_ </c:formatCode>
                <c:ptCount val="40"/>
                <c:pt idx="0">
                  <c:v>207.3</c:v>
                </c:pt>
                <c:pt idx="1">
                  <c:v>230.8</c:v>
                </c:pt>
                <c:pt idx="2">
                  <c:v>263.2</c:v>
                </c:pt>
                <c:pt idx="3">
                  <c:v>279.10000000000002</c:v>
                </c:pt>
                <c:pt idx="4">
                  <c:v>298.10000000000002</c:v>
                </c:pt>
                <c:pt idx="5">
                  <c:v>355.6</c:v>
                </c:pt>
                <c:pt idx="6">
                  <c:v>399.6</c:v>
                </c:pt>
                <c:pt idx="7">
                  <c:v>463.3</c:v>
                </c:pt>
                <c:pt idx="8">
                  <c:v>517.1</c:v>
                </c:pt>
                <c:pt idx="9">
                  <c:v>599.29999999999995</c:v>
                </c:pt>
                <c:pt idx="10">
                  <c:v>617.79999999999995</c:v>
                </c:pt>
                <c:pt idx="11">
                  <c:v>600.6</c:v>
                </c:pt>
                <c:pt idx="12">
                  <c:v>666.4</c:v>
                </c:pt>
                <c:pt idx="13">
                  <c:v>734</c:v>
                </c:pt>
                <c:pt idx="14">
                  <c:v>769.2</c:v>
                </c:pt>
                <c:pt idx="15">
                  <c:v>854.3</c:v>
                </c:pt>
                <c:pt idx="16">
                  <c:v>909.2</c:v>
                </c:pt>
                <c:pt idx="17">
                  <c:v>991.1</c:v>
                </c:pt>
                <c:pt idx="18">
                  <c:v>1032</c:v>
                </c:pt>
                <c:pt idx="19">
                  <c:v>1055</c:v>
                </c:pt>
                <c:pt idx="20">
                  <c:v>1091.2</c:v>
                </c:pt>
                <c:pt idx="21">
                  <c:v>1154.3</c:v>
                </c:pt>
                <c:pt idx="22">
                  <c:v>1258.5999999999999</c:v>
                </c:pt>
                <c:pt idx="23">
                  <c:v>1351.8</c:v>
                </c:pt>
                <c:pt idx="24">
                  <c:v>1453.1</c:v>
                </c:pt>
                <c:pt idx="25">
                  <c:v>1579.2</c:v>
                </c:pt>
                <c:pt idx="26">
                  <c:v>1721.7</c:v>
                </c:pt>
                <c:pt idx="27">
                  <c:v>1827.5</c:v>
                </c:pt>
                <c:pt idx="28">
                  <c:v>2025.2</c:v>
                </c:pt>
                <c:pt idx="29">
                  <c:v>1991.1</c:v>
                </c:pt>
                <c:pt idx="30">
                  <c:v>1853.1</c:v>
                </c:pt>
                <c:pt idx="31">
                  <c:v>1782.3</c:v>
                </c:pt>
                <c:pt idx="32">
                  <c:v>1880.1</c:v>
                </c:pt>
                <c:pt idx="33">
                  <c:v>2153.6</c:v>
                </c:pt>
                <c:pt idx="34">
                  <c:v>2406.9</c:v>
                </c:pt>
                <c:pt idx="35">
                  <c:v>2568</c:v>
                </c:pt>
                <c:pt idx="36">
                  <c:v>2524</c:v>
                </c:pt>
                <c:pt idx="37">
                  <c:v>2105</c:v>
                </c:pt>
                <c:pt idx="38">
                  <c:v>2162.6999999999998</c:v>
                </c:pt>
                <c:pt idx="39">
                  <c:v>2302.5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973-4F20-87A0-5F8EB91D4A43}"/>
            </c:ext>
          </c:extLst>
        </c:ser>
        <c:ser>
          <c:idx val="1"/>
          <c:order val="1"/>
          <c:tx>
            <c:strRef>
              <c:f>图2!$D$3</c:f>
              <c:strCache>
                <c:ptCount val="1"/>
                <c:pt idx="0">
                  <c:v>财政支出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Pt>
            <c:idx val="39"/>
            <c:marker>
              <c:symbol val="circle"/>
              <c:size val="7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4-4973-4F20-87A0-5F8EB91D4A43}"/>
              </c:ext>
            </c:extLst>
          </c:dPt>
          <c:dLbls>
            <c:dLbl>
              <c:idx val="39"/>
              <c:layout>
                <c:manualLayout>
                  <c:x val="-5.299730267280621E-2"/>
                  <c:y val="-4.7183045781249176E-2"/>
                </c:manualLayout>
              </c:layout>
              <c:spPr>
                <a:solidFill>
                  <a:schemeClr val="bg2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0">
                  <a:spAutoFit/>
                </a:bodyPr>
                <a:lstStyle/>
                <a:p>
                  <a:pPr algn="r">
                    <a:defRPr sz="900" b="0" i="0" u="none" strike="noStrike" kern="1200" baseline="0">
                      <a:solidFill>
                        <a:schemeClr val="tx1">
                          <a:lumMod val="95000"/>
                          <a:lumOff val="5000"/>
                        </a:schemeClr>
                      </a:solidFill>
                      <a:latin typeface="ITC Officina Sans Std Book" panose="020B0506040203020204" pitchFamily="34" charset="0"/>
                      <a:ea typeface="华文细黑" panose="02010600040101010101" pitchFamily="2" charset="-122"/>
                      <a:cs typeface="+mn-cs"/>
                    </a:defRPr>
                  </a:pPr>
                  <a:endParaRPr lang="zh-CN"/>
                </a:p>
              </c:txPr>
              <c:dLblPos val="r"/>
              <c:showLegendKey val="0"/>
              <c:showVal val="1"/>
              <c:showCatName val="0"/>
              <c:showSerName val="1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4973-4F20-87A0-5F8EB91D4A43}"/>
                </c:ext>
              </c:extLst>
            </c:dLbl>
            <c:spPr>
              <a:solidFill>
                <a:schemeClr val="bg2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0">
                <a:spAutoFit/>
              </a:bodyPr>
              <a:lstStyle/>
              <a:p>
                <a:pPr algn="r">
                  <a:defRPr sz="900" b="0" i="0" u="none" strike="noStrike" kern="1200" baseline="0">
                    <a:solidFill>
                      <a:schemeClr val="tx1">
                        <a:lumMod val="95000"/>
                        <a:lumOff val="5000"/>
                      </a:schemeClr>
                    </a:solidFill>
                    <a:latin typeface="华文细黑" panose="02010600040101010101" pitchFamily="2" charset="-122"/>
                    <a:ea typeface="华文细黑" panose="02010600040101010101" pitchFamily="2" charset="-122"/>
                    <a:cs typeface="+mn-cs"/>
                  </a:defRPr>
                </a:pPr>
                <a:endParaRPr lang="zh-CN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图2!$B$4:$B$43</c:f>
              <c:numCache>
                <c:formatCode>General</c:formatCode>
                <c:ptCount val="40"/>
                <c:pt idx="3">
                  <c:v>1975</c:v>
                </c:pt>
                <c:pt idx="8">
                  <c:v>1980</c:v>
                </c:pt>
                <c:pt idx="18">
                  <c:v>1990</c:v>
                </c:pt>
                <c:pt idx="28">
                  <c:v>2000</c:v>
                </c:pt>
                <c:pt idx="38">
                  <c:v>2010</c:v>
                </c:pt>
              </c:numCache>
            </c:numRef>
          </c:cat>
          <c:val>
            <c:numRef>
              <c:f>图2!$D$4:$D$43</c:f>
              <c:numCache>
                <c:formatCode>_ * #,##0.0_ ;_ * \-#,##0.0_ ;_ * "-"??_ ;_ @_ </c:formatCode>
                <c:ptCount val="40"/>
                <c:pt idx="0">
                  <c:v>230.7</c:v>
                </c:pt>
                <c:pt idx="1">
                  <c:v>245.7</c:v>
                </c:pt>
                <c:pt idx="2">
                  <c:v>269.39999999999998</c:v>
                </c:pt>
                <c:pt idx="3">
                  <c:v>332.3</c:v>
                </c:pt>
                <c:pt idx="4">
                  <c:v>371.8</c:v>
                </c:pt>
                <c:pt idx="5">
                  <c:v>409.2</c:v>
                </c:pt>
                <c:pt idx="6">
                  <c:v>458.7</c:v>
                </c:pt>
                <c:pt idx="7">
                  <c:v>504</c:v>
                </c:pt>
                <c:pt idx="8">
                  <c:v>590.9</c:v>
                </c:pt>
                <c:pt idx="9">
                  <c:v>678.2</c:v>
                </c:pt>
                <c:pt idx="10">
                  <c:v>745.7</c:v>
                </c:pt>
                <c:pt idx="11">
                  <c:v>808.4</c:v>
                </c:pt>
                <c:pt idx="12">
                  <c:v>851.8</c:v>
                </c:pt>
                <c:pt idx="13">
                  <c:v>946.3</c:v>
                </c:pt>
                <c:pt idx="14">
                  <c:v>990.4</c:v>
                </c:pt>
                <c:pt idx="15">
                  <c:v>1004</c:v>
                </c:pt>
                <c:pt idx="16">
                  <c:v>1064.4000000000001</c:v>
                </c:pt>
                <c:pt idx="17">
                  <c:v>1143.7</c:v>
                </c:pt>
                <c:pt idx="18">
                  <c:v>1253</c:v>
                </c:pt>
                <c:pt idx="19">
                  <c:v>1324.2</c:v>
                </c:pt>
                <c:pt idx="20">
                  <c:v>1381.5</c:v>
                </c:pt>
                <c:pt idx="21">
                  <c:v>1409.4</c:v>
                </c:pt>
                <c:pt idx="22">
                  <c:v>1461.8</c:v>
                </c:pt>
                <c:pt idx="23">
                  <c:v>1515.7</c:v>
                </c:pt>
                <c:pt idx="24">
                  <c:v>1560.5</c:v>
                </c:pt>
                <c:pt idx="25">
                  <c:v>1601.1</c:v>
                </c:pt>
                <c:pt idx="26">
                  <c:v>1652.5</c:v>
                </c:pt>
                <c:pt idx="27">
                  <c:v>1701.8</c:v>
                </c:pt>
                <c:pt idx="28">
                  <c:v>1789</c:v>
                </c:pt>
                <c:pt idx="29">
                  <c:v>1862.8</c:v>
                </c:pt>
                <c:pt idx="30">
                  <c:v>2010.9</c:v>
                </c:pt>
                <c:pt idx="31">
                  <c:v>2159.9</c:v>
                </c:pt>
                <c:pt idx="32">
                  <c:v>2292.8000000000002</c:v>
                </c:pt>
                <c:pt idx="33">
                  <c:v>2472</c:v>
                </c:pt>
                <c:pt idx="34">
                  <c:v>2655.1</c:v>
                </c:pt>
                <c:pt idx="35">
                  <c:v>2728.7</c:v>
                </c:pt>
                <c:pt idx="36">
                  <c:v>2982.5</c:v>
                </c:pt>
                <c:pt idx="37">
                  <c:v>3517.7</c:v>
                </c:pt>
                <c:pt idx="38">
                  <c:v>3456.2</c:v>
                </c:pt>
                <c:pt idx="39">
                  <c:v>3598.1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973-4F20-87A0-5F8EB91D4A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91954688"/>
        <c:axId val="691955016"/>
      </c:lineChart>
      <c:catAx>
        <c:axId val="691954688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bg1">
                <a:lumMod val="6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85000"/>
                    <a:lumOff val="15000"/>
                  </a:schemeClr>
                </a:solidFill>
                <a:latin typeface="ITC Officina Sans Std Book" panose="020B0506040203020204" pitchFamily="34" charset="0"/>
                <a:ea typeface="+mn-ea"/>
                <a:cs typeface="+mn-cs"/>
              </a:defRPr>
            </a:pPr>
            <a:endParaRPr lang="zh-CN"/>
          </a:p>
        </c:txPr>
        <c:crossAx val="691955016"/>
        <c:crosses val="autoZero"/>
        <c:auto val="1"/>
        <c:lblAlgn val="ctr"/>
        <c:lblOffset val="100"/>
        <c:tickMarkSkip val="1"/>
        <c:noMultiLvlLbl val="0"/>
      </c:catAx>
      <c:valAx>
        <c:axId val="691955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85000"/>
                </a:schemeClr>
              </a:solidFill>
              <a:round/>
            </a:ln>
            <a:effectLst/>
          </c:spPr>
        </c:majorGridlines>
        <c:numFmt formatCode="#,##0_);[Red]\(#,##0\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85000"/>
                    <a:lumOff val="15000"/>
                  </a:schemeClr>
                </a:solidFill>
                <a:latin typeface="ITC Officina Sans Std Book" panose="020B0506040203020204" pitchFamily="34" charset="0"/>
                <a:ea typeface="+mn-ea"/>
                <a:cs typeface="+mn-cs"/>
              </a:defRPr>
            </a:pPr>
            <a:endParaRPr lang="zh-CN"/>
          </a:p>
        </c:txPr>
        <c:crossAx val="6919546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2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>
              <a:lumMod val="85000"/>
              <a:lumOff val="15000"/>
            </a:schemeClr>
          </a:solidFill>
          <a:latin typeface="ITC Officina Sans Std Book" panose="020B0506040203020204" pitchFamily="34" charset="0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l">
              <a:defRPr sz="1400" b="0" i="0" u="none" strike="noStrike" kern="1200" spc="0" baseline="0">
                <a:solidFill>
                  <a:schemeClr val="tx1">
                    <a:lumMod val="85000"/>
                    <a:lumOff val="15000"/>
                  </a:schemeClr>
                </a:solidFill>
                <a:latin typeface="思源黑体 CN Normal" panose="020B0400000000000000" pitchFamily="34" charset="-122"/>
                <a:ea typeface="思源黑体 CN Normal" panose="020B0400000000000000" pitchFamily="34" charset="-122"/>
                <a:cs typeface="+mn-cs"/>
              </a:defRPr>
            </a:pPr>
            <a:r>
              <a:rPr lang="zh-CN" altLang="zh-CN" sz="1200" b="0" i="0" baseline="0">
                <a:solidFill>
                  <a:schemeClr val="tx1">
                    <a:lumMod val="85000"/>
                    <a:lumOff val="15000"/>
                  </a:schemeClr>
                </a:solidFill>
                <a:effectLst/>
                <a:latin typeface="思源黑体 CN Normal" panose="020B0400000000000000" pitchFamily="34" charset="-122"/>
                <a:ea typeface="思源黑体 CN Normal" panose="020B0400000000000000" pitchFamily="34" charset="-122"/>
              </a:rPr>
              <a:t>二十一世纪以来，美国财政赤字规模持续扩大</a:t>
            </a:r>
            <a:endParaRPr lang="zh-CN" altLang="zh-CN" sz="1050">
              <a:solidFill>
                <a:schemeClr val="tx1">
                  <a:lumMod val="85000"/>
                  <a:lumOff val="15000"/>
                </a:schemeClr>
              </a:solidFill>
              <a:effectLst/>
              <a:latin typeface="思源黑体 CN Normal" panose="020B0400000000000000" pitchFamily="34" charset="-122"/>
              <a:ea typeface="思源黑体 CN Normal" panose="020B0400000000000000" pitchFamily="34" charset="-122"/>
            </a:endParaRPr>
          </a:p>
          <a:p>
            <a:pPr algn="l">
              <a:defRPr>
                <a:latin typeface="思源黑体 CN Normal" panose="020B0400000000000000" pitchFamily="34" charset="-122"/>
                <a:ea typeface="思源黑体 CN Normal" panose="020B0400000000000000" pitchFamily="34" charset="-122"/>
              </a:defRPr>
            </a:pPr>
            <a:r>
              <a:rPr lang="zh-CN" altLang="zh-CN" sz="1000" b="0" i="0" baseline="0">
                <a:solidFill>
                  <a:schemeClr val="bg1">
                    <a:lumMod val="50000"/>
                  </a:schemeClr>
                </a:solidFill>
                <a:effectLst/>
                <a:latin typeface="思源黑体 CN Normal" panose="020B0400000000000000" pitchFamily="34" charset="-122"/>
                <a:ea typeface="思源黑体 CN Normal" panose="020B0400000000000000" pitchFamily="34" charset="-122"/>
              </a:rPr>
              <a:t>美国联邦财政收入</a:t>
            </a:r>
            <a:r>
              <a:rPr lang="en-US" altLang="zh-CN" sz="1000" b="0" i="0" baseline="0">
                <a:solidFill>
                  <a:schemeClr val="bg1">
                    <a:lumMod val="50000"/>
                  </a:schemeClr>
                </a:solidFill>
                <a:effectLst/>
                <a:latin typeface="思源黑体 CN Normal" panose="020B0400000000000000" pitchFamily="34" charset="-122"/>
                <a:ea typeface="思源黑体 CN Normal" panose="020B0400000000000000" pitchFamily="34" charset="-122"/>
              </a:rPr>
              <a:t>VS.</a:t>
            </a:r>
            <a:r>
              <a:rPr lang="zh-CN" altLang="zh-CN" sz="1000" b="0" i="0" baseline="0">
                <a:solidFill>
                  <a:schemeClr val="bg1">
                    <a:lumMod val="50000"/>
                  </a:schemeClr>
                </a:solidFill>
                <a:effectLst/>
                <a:latin typeface="思源黑体 CN Normal" panose="020B0400000000000000" pitchFamily="34" charset="-122"/>
                <a:ea typeface="思源黑体 CN Normal" panose="020B0400000000000000" pitchFamily="34" charset="-122"/>
              </a:rPr>
              <a:t>支出，</a:t>
            </a:r>
            <a:r>
              <a:rPr lang="en-US" altLang="zh-CN" sz="1000" b="0" i="0" baseline="0">
                <a:solidFill>
                  <a:schemeClr val="bg1">
                    <a:lumMod val="50000"/>
                  </a:schemeClr>
                </a:solidFill>
                <a:effectLst/>
                <a:latin typeface="思源黑体 CN Normal" panose="020B0400000000000000" pitchFamily="34" charset="-122"/>
                <a:ea typeface="思源黑体 CN Normal" panose="020B0400000000000000" pitchFamily="34" charset="-122"/>
              </a:rPr>
              <a:t>1972-2011</a:t>
            </a:r>
            <a:r>
              <a:rPr lang="zh-CN" altLang="zh-CN" sz="1000" b="0" i="0" baseline="0">
                <a:solidFill>
                  <a:schemeClr val="bg1">
                    <a:lumMod val="50000"/>
                  </a:schemeClr>
                </a:solidFill>
                <a:effectLst/>
                <a:latin typeface="思源黑体 CN Normal" panose="020B0400000000000000" pitchFamily="34" charset="-122"/>
                <a:ea typeface="思源黑体 CN Normal" panose="020B0400000000000000" pitchFamily="34" charset="-122"/>
              </a:rPr>
              <a:t>年，十亿美元</a:t>
            </a:r>
            <a:endParaRPr lang="zh-CN" altLang="zh-CN" sz="800">
              <a:solidFill>
                <a:schemeClr val="bg1">
                  <a:lumMod val="50000"/>
                </a:schemeClr>
              </a:solidFill>
              <a:effectLst/>
              <a:latin typeface="思源黑体 CN Normal" panose="020B0400000000000000" pitchFamily="34" charset="-122"/>
              <a:ea typeface="思源黑体 CN Normal" panose="020B0400000000000000" pitchFamily="34" charset="-122"/>
            </a:endParaRPr>
          </a:p>
        </c:rich>
      </c:tx>
      <c:layout>
        <c:manualLayout>
          <c:xMode val="edge"/>
          <c:yMode val="edge"/>
          <c:x val="2.1510279965004375E-2"/>
          <c:y val="2.506265664160400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l">
            <a:defRPr sz="1400" b="0" i="0" u="none" strike="noStrike" kern="1200" spc="0" baseline="0">
              <a:solidFill>
                <a:schemeClr val="tx1">
                  <a:lumMod val="85000"/>
                  <a:lumOff val="15000"/>
                </a:schemeClr>
              </a:solidFill>
              <a:latin typeface="思源黑体 CN Normal" panose="020B0400000000000000" pitchFamily="34" charset="-122"/>
              <a:ea typeface="思源黑体 CN Normal" panose="020B0400000000000000" pitchFamily="34" charset="-122"/>
              <a:cs typeface="+mn-cs"/>
            </a:defRPr>
          </a:pPr>
          <a:endParaRPr lang="zh-CN"/>
        </a:p>
      </c:txPr>
    </c:title>
    <c:autoTitleDeleted val="0"/>
    <c:plotArea>
      <c:layout>
        <c:manualLayout>
          <c:layoutTarget val="inner"/>
          <c:xMode val="edge"/>
          <c:yMode val="edge"/>
          <c:x val="5.089348206474191E-2"/>
          <c:y val="0.18537603852150061"/>
          <c:w val="0.85024843248760573"/>
          <c:h val="0.69915181654924718"/>
        </c:manualLayout>
      </c:layout>
      <c:areaChart>
        <c:grouping val="stacked"/>
        <c:varyColors val="0"/>
        <c:ser>
          <c:idx val="2"/>
          <c:order val="2"/>
          <c:tx>
            <c:strRef>
              <c:f>图3!$E$3</c:f>
              <c:strCache>
                <c:ptCount val="1"/>
                <c:pt idx="0">
                  <c:v>占位</c:v>
                </c:pt>
              </c:strCache>
            </c:strRef>
          </c:tx>
          <c:spPr>
            <a:noFill/>
            <a:ln>
              <a:noFill/>
            </a:ln>
            <a:effectLst/>
          </c:spPr>
          <c:cat>
            <c:numRef>
              <c:f>图3!$B$4:$B$43</c:f>
              <c:numCache>
                <c:formatCode>General</c:formatCode>
                <c:ptCount val="40"/>
                <c:pt idx="0">
                  <c:v>1972</c:v>
                </c:pt>
                <c:pt idx="8">
                  <c:v>1980</c:v>
                </c:pt>
                <c:pt idx="18">
                  <c:v>1990</c:v>
                </c:pt>
                <c:pt idx="28">
                  <c:v>2000</c:v>
                </c:pt>
                <c:pt idx="38">
                  <c:v>2010</c:v>
                </c:pt>
              </c:numCache>
            </c:numRef>
          </c:cat>
          <c:val>
            <c:numRef>
              <c:f>图3!$E$4:$E$43</c:f>
              <c:numCache>
                <c:formatCode>_ * #,##0.0_ ;_ * \-#,##0.0_ ;_ * "-"??_ ;_ @_ </c:formatCode>
                <c:ptCount val="40"/>
                <c:pt idx="0">
                  <c:v>207.3</c:v>
                </c:pt>
                <c:pt idx="1">
                  <c:v>230.8</c:v>
                </c:pt>
                <c:pt idx="2">
                  <c:v>263.2</c:v>
                </c:pt>
                <c:pt idx="3">
                  <c:v>279.10000000000002</c:v>
                </c:pt>
                <c:pt idx="4">
                  <c:v>298.10000000000002</c:v>
                </c:pt>
                <c:pt idx="5">
                  <c:v>355.6</c:v>
                </c:pt>
                <c:pt idx="6">
                  <c:v>399.6</c:v>
                </c:pt>
                <c:pt idx="7">
                  <c:v>463.3</c:v>
                </c:pt>
                <c:pt idx="8">
                  <c:v>517.1</c:v>
                </c:pt>
                <c:pt idx="9">
                  <c:v>599.29999999999995</c:v>
                </c:pt>
                <c:pt idx="10">
                  <c:v>617.79999999999995</c:v>
                </c:pt>
                <c:pt idx="11">
                  <c:v>600.6</c:v>
                </c:pt>
                <c:pt idx="12">
                  <c:v>666.4</c:v>
                </c:pt>
                <c:pt idx="13">
                  <c:v>734</c:v>
                </c:pt>
                <c:pt idx="14">
                  <c:v>769.2</c:v>
                </c:pt>
                <c:pt idx="15">
                  <c:v>854.3</c:v>
                </c:pt>
                <c:pt idx="16">
                  <c:v>909.2</c:v>
                </c:pt>
                <c:pt idx="17">
                  <c:v>991.1</c:v>
                </c:pt>
                <c:pt idx="18">
                  <c:v>1032</c:v>
                </c:pt>
                <c:pt idx="19">
                  <c:v>1055</c:v>
                </c:pt>
                <c:pt idx="20">
                  <c:v>1091.2</c:v>
                </c:pt>
                <c:pt idx="21">
                  <c:v>1154.3</c:v>
                </c:pt>
                <c:pt idx="22">
                  <c:v>1258.5999999999999</c:v>
                </c:pt>
                <c:pt idx="23">
                  <c:v>1351.8</c:v>
                </c:pt>
                <c:pt idx="24">
                  <c:v>1453.1</c:v>
                </c:pt>
                <c:pt idx="25">
                  <c:v>1579.2</c:v>
                </c:pt>
                <c:pt idx="26">
                  <c:v>1652.5</c:v>
                </c:pt>
                <c:pt idx="27">
                  <c:v>1701.8</c:v>
                </c:pt>
                <c:pt idx="28">
                  <c:v>1789</c:v>
                </c:pt>
                <c:pt idx="29">
                  <c:v>1862.8</c:v>
                </c:pt>
                <c:pt idx="30">
                  <c:v>1853.1</c:v>
                </c:pt>
                <c:pt idx="31">
                  <c:v>1782.3</c:v>
                </c:pt>
                <c:pt idx="32">
                  <c:v>1880.1</c:v>
                </c:pt>
                <c:pt idx="33">
                  <c:v>2153.6</c:v>
                </c:pt>
                <c:pt idx="34">
                  <c:v>2406.9</c:v>
                </c:pt>
                <c:pt idx="35">
                  <c:v>2568</c:v>
                </c:pt>
                <c:pt idx="36">
                  <c:v>2524</c:v>
                </c:pt>
                <c:pt idx="37">
                  <c:v>2105</c:v>
                </c:pt>
                <c:pt idx="38">
                  <c:v>2162.6999999999998</c:v>
                </c:pt>
                <c:pt idx="39">
                  <c:v>2302.5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D20-478B-8406-4C4E5A89E59C}"/>
            </c:ext>
          </c:extLst>
        </c:ser>
        <c:ser>
          <c:idx val="3"/>
          <c:order val="3"/>
          <c:tx>
            <c:strRef>
              <c:f>图3!$F$3</c:f>
              <c:strCache>
                <c:ptCount val="1"/>
                <c:pt idx="0">
                  <c:v>盈余</c:v>
                </c:pt>
              </c:strCache>
            </c:strRef>
          </c:tx>
          <c:spPr>
            <a:solidFill>
              <a:srgbClr val="00B0F0"/>
            </a:solidFill>
            <a:ln>
              <a:noFill/>
            </a:ln>
            <a:effectLst/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85000"/>
                        <a:lumOff val="15000"/>
                      </a:schemeClr>
                    </a:solidFill>
                    <a:latin typeface="ITC Officina Sans Std Book" panose="020B0506040203020204" pitchFamily="34" charset="0"/>
                    <a:ea typeface="+mn-ea"/>
                    <a:cs typeface="+mn-cs"/>
                  </a:defRPr>
                </a:pPr>
                <a:endParaRPr lang="zh-CN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图3!$B$4:$B$43</c:f>
              <c:numCache>
                <c:formatCode>General</c:formatCode>
                <c:ptCount val="40"/>
                <c:pt idx="0">
                  <c:v>1972</c:v>
                </c:pt>
                <c:pt idx="8">
                  <c:v>1980</c:v>
                </c:pt>
                <c:pt idx="18">
                  <c:v>1990</c:v>
                </c:pt>
                <c:pt idx="28">
                  <c:v>2000</c:v>
                </c:pt>
                <c:pt idx="38">
                  <c:v>2010</c:v>
                </c:pt>
              </c:numCache>
            </c:numRef>
          </c:cat>
          <c:val>
            <c:numRef>
              <c:f>图3!$F$4:$F$43</c:f>
              <c:numCache>
                <c:formatCode>General</c:formatCode>
                <c:ptCount val="40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69.200000000000045</c:v>
                </c:pt>
                <c:pt idx="27">
                  <c:v>125.70000000000005</c:v>
                </c:pt>
                <c:pt idx="28">
                  <c:v>236.20000000000005</c:v>
                </c:pt>
                <c:pt idx="29">
                  <c:v>128.29999999999995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D20-478B-8406-4C4E5A89E59C}"/>
            </c:ext>
          </c:extLst>
        </c:ser>
        <c:ser>
          <c:idx val="4"/>
          <c:order val="4"/>
          <c:tx>
            <c:strRef>
              <c:f>图3!$G$3</c:f>
              <c:strCache>
                <c:ptCount val="1"/>
                <c:pt idx="0">
                  <c:v>赤字</c:v>
                </c:pt>
              </c:strCache>
            </c:strRef>
          </c:tx>
          <c:spPr>
            <a:solidFill>
              <a:schemeClr val="accent2">
                <a:lumMod val="75000"/>
                <a:alpha val="50000"/>
              </a:schemeClr>
            </a:solidFill>
            <a:ln>
              <a:noFill/>
            </a:ln>
            <a:effectLst/>
          </c:spPr>
          <c:cat>
            <c:numRef>
              <c:f>图3!$B$4:$B$43</c:f>
              <c:numCache>
                <c:formatCode>General</c:formatCode>
                <c:ptCount val="40"/>
                <c:pt idx="0">
                  <c:v>1972</c:v>
                </c:pt>
                <c:pt idx="8">
                  <c:v>1980</c:v>
                </c:pt>
                <c:pt idx="18">
                  <c:v>1990</c:v>
                </c:pt>
                <c:pt idx="28">
                  <c:v>2000</c:v>
                </c:pt>
                <c:pt idx="38">
                  <c:v>2010</c:v>
                </c:pt>
              </c:numCache>
            </c:numRef>
          </c:cat>
          <c:val>
            <c:numRef>
              <c:f>图3!$G$4:$G$43</c:f>
              <c:numCache>
                <c:formatCode>General</c:formatCode>
                <c:ptCount val="40"/>
                <c:pt idx="0">
                  <c:v>23.399999999999977</c:v>
                </c:pt>
                <c:pt idx="1">
                  <c:v>14.899999999999977</c:v>
                </c:pt>
                <c:pt idx="2">
                  <c:v>6.1999999999999886</c:v>
                </c:pt>
                <c:pt idx="3">
                  <c:v>53.199999999999989</c:v>
                </c:pt>
                <c:pt idx="4">
                  <c:v>73.699999999999989</c:v>
                </c:pt>
                <c:pt idx="5">
                  <c:v>53.599999999999966</c:v>
                </c:pt>
                <c:pt idx="6">
                  <c:v>59.099999999999966</c:v>
                </c:pt>
                <c:pt idx="7">
                  <c:v>40.699999999999989</c:v>
                </c:pt>
                <c:pt idx="8">
                  <c:v>73.799999999999955</c:v>
                </c:pt>
                <c:pt idx="9">
                  <c:v>78.900000000000091</c:v>
                </c:pt>
                <c:pt idx="10">
                  <c:v>127.90000000000009</c:v>
                </c:pt>
                <c:pt idx="11">
                  <c:v>207.79999999999995</c:v>
                </c:pt>
                <c:pt idx="12">
                  <c:v>185.39999999999998</c:v>
                </c:pt>
                <c:pt idx="13">
                  <c:v>212.29999999999995</c:v>
                </c:pt>
                <c:pt idx="14">
                  <c:v>221.19999999999993</c:v>
                </c:pt>
                <c:pt idx="15">
                  <c:v>149.70000000000005</c:v>
                </c:pt>
                <c:pt idx="16">
                  <c:v>155.20000000000005</c:v>
                </c:pt>
                <c:pt idx="17">
                  <c:v>152.60000000000002</c:v>
                </c:pt>
                <c:pt idx="18">
                  <c:v>221</c:v>
                </c:pt>
                <c:pt idx="19">
                  <c:v>269.20000000000005</c:v>
                </c:pt>
                <c:pt idx="20">
                  <c:v>290.29999999999995</c:v>
                </c:pt>
                <c:pt idx="21">
                  <c:v>255.10000000000014</c:v>
                </c:pt>
                <c:pt idx="22">
                  <c:v>203.20000000000005</c:v>
                </c:pt>
                <c:pt idx="23">
                  <c:v>163.90000000000009</c:v>
                </c:pt>
                <c:pt idx="24">
                  <c:v>107.40000000000009</c:v>
                </c:pt>
                <c:pt idx="25">
                  <c:v>21.899999999999864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157.80000000000018</c:v>
                </c:pt>
                <c:pt idx="31">
                  <c:v>377.60000000000014</c:v>
                </c:pt>
                <c:pt idx="32">
                  <c:v>412.70000000000027</c:v>
                </c:pt>
                <c:pt idx="33">
                  <c:v>318.40000000000009</c:v>
                </c:pt>
                <c:pt idx="34">
                  <c:v>248.19999999999982</c:v>
                </c:pt>
                <c:pt idx="35">
                  <c:v>160.69999999999982</c:v>
                </c:pt>
                <c:pt idx="36">
                  <c:v>458.5</c:v>
                </c:pt>
                <c:pt idx="37">
                  <c:v>1412.6999999999998</c:v>
                </c:pt>
                <c:pt idx="38">
                  <c:v>1293.5</c:v>
                </c:pt>
                <c:pt idx="39">
                  <c:v>1295.5999999999999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D20-478B-8406-4C4E5A89E5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3022976"/>
        <c:axId val="693023632"/>
      </c:areaChart>
      <c:lineChart>
        <c:grouping val="standard"/>
        <c:varyColors val="0"/>
        <c:ser>
          <c:idx val="0"/>
          <c:order val="0"/>
          <c:tx>
            <c:strRef>
              <c:f>图3!$C$3</c:f>
              <c:strCache>
                <c:ptCount val="1"/>
                <c:pt idx="0">
                  <c:v>财政收入</c:v>
                </c:pt>
              </c:strCache>
            </c:strRef>
          </c:tx>
          <c:spPr>
            <a:ln w="31750" cap="rnd">
              <a:solidFill>
                <a:schemeClr val="tx2"/>
              </a:solidFill>
              <a:round/>
            </a:ln>
            <a:effectLst/>
          </c:spPr>
          <c:marker>
            <c:symbol val="none"/>
          </c:marker>
          <c:dLbls>
            <c:dLbl>
              <c:idx val="2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tx1">
                          <a:lumMod val="85000"/>
                          <a:lumOff val="15000"/>
                        </a:schemeClr>
                      </a:solidFill>
                      <a:latin typeface="Vrinda" panose="020B0502040204020203" pitchFamily="34" charset="0"/>
                      <a:ea typeface="+mn-ea"/>
                      <a:cs typeface="Vrinda" panose="020B0502040204020203" pitchFamily="34" charset="0"/>
                    </a:defRPr>
                  </a:pPr>
                  <a:endParaRPr lang="zh-CN"/>
                </a:p>
              </c:txPr>
              <c:dLblPos val="b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8D20-478B-8406-4C4E5A89E59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85000"/>
                        <a:lumOff val="15000"/>
                      </a:schemeClr>
                    </a:solidFill>
                    <a:latin typeface="ITC Officina Sans Std Book" panose="020B0506040203020204" pitchFamily="34" charset="0"/>
                    <a:ea typeface="+mn-ea"/>
                    <a:cs typeface="+mn-cs"/>
                  </a:defRPr>
                </a:pPr>
                <a:endParaRPr lang="zh-CN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图3!$B$4:$B$43</c:f>
              <c:numCache>
                <c:formatCode>General</c:formatCode>
                <c:ptCount val="40"/>
                <c:pt idx="0">
                  <c:v>1972</c:v>
                </c:pt>
                <c:pt idx="8">
                  <c:v>1980</c:v>
                </c:pt>
                <c:pt idx="18">
                  <c:v>1990</c:v>
                </c:pt>
                <c:pt idx="28">
                  <c:v>2000</c:v>
                </c:pt>
                <c:pt idx="38">
                  <c:v>2010</c:v>
                </c:pt>
              </c:numCache>
            </c:numRef>
          </c:cat>
          <c:val>
            <c:numRef>
              <c:f>图3!$C$4:$C$43</c:f>
              <c:numCache>
                <c:formatCode>_ * #,##0.0_ ;_ * \-#,##0.0_ ;_ * "-"??_ ;_ @_ </c:formatCode>
                <c:ptCount val="40"/>
                <c:pt idx="0">
                  <c:v>207.3</c:v>
                </c:pt>
                <c:pt idx="1">
                  <c:v>230.8</c:v>
                </c:pt>
                <c:pt idx="2">
                  <c:v>263.2</c:v>
                </c:pt>
                <c:pt idx="3">
                  <c:v>279.10000000000002</c:v>
                </c:pt>
                <c:pt idx="4">
                  <c:v>298.10000000000002</c:v>
                </c:pt>
                <c:pt idx="5">
                  <c:v>355.6</c:v>
                </c:pt>
                <c:pt idx="6">
                  <c:v>399.6</c:v>
                </c:pt>
                <c:pt idx="7">
                  <c:v>463.3</c:v>
                </c:pt>
                <c:pt idx="8">
                  <c:v>517.1</c:v>
                </c:pt>
                <c:pt idx="9">
                  <c:v>599.29999999999995</c:v>
                </c:pt>
                <c:pt idx="10">
                  <c:v>617.79999999999995</c:v>
                </c:pt>
                <c:pt idx="11">
                  <c:v>600.6</c:v>
                </c:pt>
                <c:pt idx="12">
                  <c:v>666.4</c:v>
                </c:pt>
                <c:pt idx="13">
                  <c:v>734</c:v>
                </c:pt>
                <c:pt idx="14">
                  <c:v>769.2</c:v>
                </c:pt>
                <c:pt idx="15">
                  <c:v>854.3</c:v>
                </c:pt>
                <c:pt idx="16">
                  <c:v>909.2</c:v>
                </c:pt>
                <c:pt idx="17">
                  <c:v>991.1</c:v>
                </c:pt>
                <c:pt idx="18">
                  <c:v>1032</c:v>
                </c:pt>
                <c:pt idx="19">
                  <c:v>1055</c:v>
                </c:pt>
                <c:pt idx="20">
                  <c:v>1091.2</c:v>
                </c:pt>
                <c:pt idx="21">
                  <c:v>1154.3</c:v>
                </c:pt>
                <c:pt idx="22">
                  <c:v>1258.5999999999999</c:v>
                </c:pt>
                <c:pt idx="23">
                  <c:v>1351.8</c:v>
                </c:pt>
                <c:pt idx="24">
                  <c:v>1453.1</c:v>
                </c:pt>
                <c:pt idx="25">
                  <c:v>1579.2</c:v>
                </c:pt>
                <c:pt idx="26">
                  <c:v>1721.7</c:v>
                </c:pt>
                <c:pt idx="27">
                  <c:v>1827.5</c:v>
                </c:pt>
                <c:pt idx="28">
                  <c:v>2025.2</c:v>
                </c:pt>
                <c:pt idx="29">
                  <c:v>1991.1</c:v>
                </c:pt>
                <c:pt idx="30">
                  <c:v>1853.1</c:v>
                </c:pt>
                <c:pt idx="31">
                  <c:v>1782.3</c:v>
                </c:pt>
                <c:pt idx="32">
                  <c:v>1880.1</c:v>
                </c:pt>
                <c:pt idx="33">
                  <c:v>2153.6</c:v>
                </c:pt>
                <c:pt idx="34">
                  <c:v>2406.9</c:v>
                </c:pt>
                <c:pt idx="35">
                  <c:v>2568</c:v>
                </c:pt>
                <c:pt idx="36">
                  <c:v>2524</c:v>
                </c:pt>
                <c:pt idx="37">
                  <c:v>2105</c:v>
                </c:pt>
                <c:pt idx="38">
                  <c:v>2162.6999999999998</c:v>
                </c:pt>
                <c:pt idx="39">
                  <c:v>2302.5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D20-478B-8406-4C4E5A89E59C}"/>
            </c:ext>
          </c:extLst>
        </c:ser>
        <c:ser>
          <c:idx val="1"/>
          <c:order val="1"/>
          <c:tx>
            <c:strRef>
              <c:f>图3!$D$3</c:f>
              <c:strCache>
                <c:ptCount val="1"/>
                <c:pt idx="0">
                  <c:v>财政支出</c:v>
                </c:pt>
              </c:strCache>
            </c:strRef>
          </c:tx>
          <c:spPr>
            <a:ln w="31750" cap="rnd">
              <a:solidFill>
                <a:schemeClr val="bg2">
                  <a:lumMod val="50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dLbls>
            <c:dLbl>
              <c:idx val="2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tx1">
                          <a:lumMod val="85000"/>
                          <a:lumOff val="15000"/>
                        </a:schemeClr>
                      </a:solidFill>
                      <a:latin typeface="Vrinda" panose="020B0502040204020203" pitchFamily="34" charset="0"/>
                      <a:ea typeface="+mn-ea"/>
                      <a:cs typeface="Vrinda" panose="020B0502040204020203" pitchFamily="34" charset="0"/>
                    </a:defRPr>
                  </a:pPr>
                  <a:endParaRPr lang="zh-CN"/>
                </a:p>
              </c:txPr>
              <c:dLblPos val="t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8D20-478B-8406-4C4E5A89E59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85000"/>
                        <a:lumOff val="15000"/>
                      </a:schemeClr>
                    </a:solidFill>
                    <a:latin typeface="Vrinda" panose="020B0502040204020203" pitchFamily="34" charset="0"/>
                    <a:ea typeface="+mn-ea"/>
                    <a:cs typeface="Vrinda" panose="020B0502040204020203" pitchFamily="34" charset="0"/>
                  </a:defRPr>
                </a:pPr>
                <a:endParaRPr lang="zh-CN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图3!$B$4:$B$43</c:f>
              <c:numCache>
                <c:formatCode>General</c:formatCode>
                <c:ptCount val="40"/>
                <c:pt idx="0">
                  <c:v>1972</c:v>
                </c:pt>
                <c:pt idx="8">
                  <c:v>1980</c:v>
                </c:pt>
                <c:pt idx="18">
                  <c:v>1990</c:v>
                </c:pt>
                <c:pt idx="28">
                  <c:v>2000</c:v>
                </c:pt>
                <c:pt idx="38">
                  <c:v>2010</c:v>
                </c:pt>
              </c:numCache>
            </c:numRef>
          </c:cat>
          <c:val>
            <c:numRef>
              <c:f>图3!$D$4:$D$43</c:f>
              <c:numCache>
                <c:formatCode>_ * #,##0.0_ ;_ * \-#,##0.0_ ;_ * "-"??_ ;_ @_ </c:formatCode>
                <c:ptCount val="40"/>
                <c:pt idx="0">
                  <c:v>230.7</c:v>
                </c:pt>
                <c:pt idx="1">
                  <c:v>245.7</c:v>
                </c:pt>
                <c:pt idx="2">
                  <c:v>269.39999999999998</c:v>
                </c:pt>
                <c:pt idx="3">
                  <c:v>332.3</c:v>
                </c:pt>
                <c:pt idx="4">
                  <c:v>371.8</c:v>
                </c:pt>
                <c:pt idx="5">
                  <c:v>409.2</c:v>
                </c:pt>
                <c:pt idx="6">
                  <c:v>458.7</c:v>
                </c:pt>
                <c:pt idx="7">
                  <c:v>504</c:v>
                </c:pt>
                <c:pt idx="8">
                  <c:v>590.9</c:v>
                </c:pt>
                <c:pt idx="9">
                  <c:v>678.2</c:v>
                </c:pt>
                <c:pt idx="10">
                  <c:v>745.7</c:v>
                </c:pt>
                <c:pt idx="11">
                  <c:v>808.4</c:v>
                </c:pt>
                <c:pt idx="12">
                  <c:v>851.8</c:v>
                </c:pt>
                <c:pt idx="13">
                  <c:v>946.3</c:v>
                </c:pt>
                <c:pt idx="14">
                  <c:v>990.4</c:v>
                </c:pt>
                <c:pt idx="15">
                  <c:v>1004</c:v>
                </c:pt>
                <c:pt idx="16">
                  <c:v>1064.4000000000001</c:v>
                </c:pt>
                <c:pt idx="17">
                  <c:v>1143.7</c:v>
                </c:pt>
                <c:pt idx="18">
                  <c:v>1253</c:v>
                </c:pt>
                <c:pt idx="19">
                  <c:v>1324.2</c:v>
                </c:pt>
                <c:pt idx="20">
                  <c:v>1381.5</c:v>
                </c:pt>
                <c:pt idx="21">
                  <c:v>1409.4</c:v>
                </c:pt>
                <c:pt idx="22">
                  <c:v>1461.8</c:v>
                </c:pt>
                <c:pt idx="23">
                  <c:v>1515.7</c:v>
                </c:pt>
                <c:pt idx="24">
                  <c:v>1560.5</c:v>
                </c:pt>
                <c:pt idx="25">
                  <c:v>1601.1</c:v>
                </c:pt>
                <c:pt idx="26">
                  <c:v>1652.5</c:v>
                </c:pt>
                <c:pt idx="27">
                  <c:v>1701.8</c:v>
                </c:pt>
                <c:pt idx="28">
                  <c:v>1789</c:v>
                </c:pt>
                <c:pt idx="29">
                  <c:v>1862.8</c:v>
                </c:pt>
                <c:pt idx="30">
                  <c:v>2010.9</c:v>
                </c:pt>
                <c:pt idx="31">
                  <c:v>2159.9</c:v>
                </c:pt>
                <c:pt idx="32">
                  <c:v>2292.8000000000002</c:v>
                </c:pt>
                <c:pt idx="33">
                  <c:v>2472</c:v>
                </c:pt>
                <c:pt idx="34">
                  <c:v>2655.1</c:v>
                </c:pt>
                <c:pt idx="35">
                  <c:v>2728.7</c:v>
                </c:pt>
                <c:pt idx="36">
                  <c:v>2982.5</c:v>
                </c:pt>
                <c:pt idx="37">
                  <c:v>3517.7</c:v>
                </c:pt>
                <c:pt idx="38">
                  <c:v>3456.2</c:v>
                </c:pt>
                <c:pt idx="39">
                  <c:v>3598.1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D20-478B-8406-4C4E5A89E5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93022976"/>
        <c:axId val="693023632"/>
      </c:lineChart>
      <c:catAx>
        <c:axId val="693022976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noFill/>
          <a:ln w="6350" cap="flat" cmpd="sng" algn="ctr">
            <a:solidFill>
              <a:schemeClr val="bg1">
                <a:lumMod val="6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85000"/>
                    <a:lumOff val="15000"/>
                  </a:schemeClr>
                </a:solidFill>
                <a:latin typeface="ITC Officina Sans Std Book" panose="020B0506040203020204" pitchFamily="34" charset="0"/>
                <a:ea typeface="+mn-ea"/>
                <a:cs typeface="+mn-cs"/>
              </a:defRPr>
            </a:pPr>
            <a:endParaRPr lang="zh-CN"/>
          </a:p>
        </c:txPr>
        <c:crossAx val="693023632"/>
        <c:crosses val="autoZero"/>
        <c:auto val="1"/>
        <c:lblAlgn val="ctr"/>
        <c:lblOffset val="100"/>
        <c:noMultiLvlLbl val="0"/>
      </c:catAx>
      <c:valAx>
        <c:axId val="693023632"/>
        <c:scaling>
          <c:orientation val="minMax"/>
        </c:scaling>
        <c:delete val="0"/>
        <c:axPos val="r"/>
        <c:majorGridlines>
          <c:spPr>
            <a:ln w="12700" cap="flat" cmpd="sng" algn="ctr">
              <a:solidFill>
                <a:schemeClr val="bg1">
                  <a:lumMod val="85000"/>
                </a:schemeClr>
              </a:solidFill>
              <a:round/>
            </a:ln>
            <a:effectLst/>
          </c:spPr>
        </c:majorGridlines>
        <c:numFmt formatCode="#,##0_);[Red]\(#,##0\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85000"/>
                    <a:lumOff val="15000"/>
                  </a:schemeClr>
                </a:solidFill>
                <a:latin typeface="ITC Officina Sans Std Book" panose="020B0506040203020204" pitchFamily="34" charset="0"/>
                <a:ea typeface="+mn-ea"/>
                <a:cs typeface="+mn-cs"/>
              </a:defRPr>
            </a:pPr>
            <a:endParaRPr lang="zh-CN"/>
          </a:p>
        </c:txPr>
        <c:crossAx val="693022976"/>
        <c:crosses val="max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delete val="1"/>
      </c:legendEntry>
      <c:legendEntry>
        <c:idx val="3"/>
        <c:delete val="1"/>
      </c:legendEntry>
      <c:legendEntry>
        <c:idx val="4"/>
        <c:delete val="1"/>
      </c:legendEntry>
      <c:layout>
        <c:manualLayout>
          <c:xMode val="edge"/>
          <c:yMode val="edge"/>
          <c:x val="3.91460702828813E-2"/>
          <c:y val="0.12773192824581137"/>
          <c:w val="0.18831620005832606"/>
          <c:h val="5.059301797801590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>
                  <a:lumMod val="85000"/>
                  <a:lumOff val="15000"/>
                </a:schemeClr>
              </a:solidFill>
              <a:latin typeface="思源黑体 CN Normal" panose="020B0400000000000000" pitchFamily="34" charset="-122"/>
              <a:ea typeface="思源黑体 CN Normal" panose="020B0400000000000000" pitchFamily="34" charset="-122"/>
              <a:cs typeface="Vrinda" panose="020B0502040204020203" pitchFamily="34" charset="0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2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>
              <a:lumMod val="85000"/>
              <a:lumOff val="15000"/>
            </a:schemeClr>
          </a:solidFill>
          <a:latin typeface="ITC Officina Sans Std Book" panose="020B0506040203020204" pitchFamily="34" charset="0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l">
              <a:defRPr sz="1200" b="0" i="0" u="none" strike="noStrike" kern="1200" spc="0" baseline="0">
                <a:solidFill>
                  <a:schemeClr val="tx1">
                    <a:lumMod val="85000"/>
                    <a:lumOff val="15000"/>
                  </a:schemeClr>
                </a:solidFill>
                <a:latin typeface="黑体" panose="02010609060101010101" pitchFamily="49" charset="-122"/>
                <a:ea typeface="黑体" panose="02010609060101010101" pitchFamily="49" charset="-122"/>
                <a:cs typeface="+mn-cs"/>
              </a:defRPr>
            </a:pPr>
            <a:r>
              <a:rPr lang="zh-CN" altLang="en-US" sz="1200">
                <a:latin typeface="黑体" panose="02010609060101010101" pitchFamily="49" charset="-122"/>
                <a:ea typeface="黑体" panose="02010609060101010101" pitchFamily="49" charset="-122"/>
              </a:rPr>
              <a:t>世界范围内疟疾新增病例预测</a:t>
            </a:r>
            <a:endParaRPr lang="en-US" altLang="zh-CN" sz="1200">
              <a:latin typeface="黑体" panose="02010609060101010101" pitchFamily="49" charset="-122"/>
              <a:ea typeface="黑体" panose="02010609060101010101" pitchFamily="49" charset="-122"/>
            </a:endParaRPr>
          </a:p>
          <a:p>
            <a:pPr algn="l">
              <a:defRPr sz="1200">
                <a:latin typeface="黑体" panose="02010609060101010101" pitchFamily="49" charset="-122"/>
                <a:ea typeface="黑体" panose="02010609060101010101" pitchFamily="49" charset="-122"/>
              </a:defRPr>
            </a:pPr>
            <a:r>
              <a:rPr lang="zh-CN" altLang="en-US" sz="1000">
                <a:solidFill>
                  <a:schemeClr val="bg1">
                    <a:lumMod val="50000"/>
                  </a:schemeClr>
                </a:solidFill>
                <a:latin typeface="黑体" panose="02010609060101010101" pitchFamily="49" charset="-122"/>
                <a:ea typeface="黑体" panose="02010609060101010101" pitchFamily="49" charset="-122"/>
              </a:rPr>
              <a:t>每千人新增病例数</a:t>
            </a:r>
            <a:endParaRPr lang="zh-CN" sz="900">
              <a:solidFill>
                <a:schemeClr val="bg1">
                  <a:lumMod val="50000"/>
                </a:schemeClr>
              </a:solidFill>
              <a:latin typeface="黑体" panose="02010609060101010101" pitchFamily="49" charset="-122"/>
              <a:ea typeface="黑体" panose="02010609060101010101" pitchFamily="49" charset="-122"/>
            </a:endParaRPr>
          </a:p>
        </c:rich>
      </c:tx>
      <c:layout>
        <c:manualLayout>
          <c:xMode val="edge"/>
          <c:yMode val="edge"/>
          <c:x val="3.7037037037037035E-2"/>
          <c:y val="3.723094822571262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l">
            <a:defRPr sz="1200" b="0" i="0" u="none" strike="noStrike" kern="1200" spc="0" baseline="0">
              <a:solidFill>
                <a:schemeClr val="tx1">
                  <a:lumMod val="85000"/>
                  <a:lumOff val="15000"/>
                </a:schemeClr>
              </a:solidFill>
              <a:latin typeface="黑体" panose="02010609060101010101" pitchFamily="49" charset="-122"/>
              <a:ea typeface="黑体" panose="02010609060101010101" pitchFamily="49" charset="-122"/>
              <a:cs typeface="+mn-cs"/>
            </a:defRPr>
          </a:pPr>
          <a:endParaRPr lang="zh-CN"/>
        </a:p>
      </c:txPr>
    </c:title>
    <c:autoTitleDeleted val="0"/>
    <c:plotArea>
      <c:layout>
        <c:manualLayout>
          <c:layoutTarget val="inner"/>
          <c:xMode val="edge"/>
          <c:yMode val="edge"/>
          <c:x val="5.2828396450443696E-2"/>
          <c:y val="0.12780049212369629"/>
          <c:w val="0.86497000374953137"/>
          <c:h val="0.78284136841940799"/>
        </c:manualLayout>
      </c:layout>
      <c:barChart>
        <c:barDir val="col"/>
        <c:grouping val="clustered"/>
        <c:varyColors val="0"/>
        <c:ser>
          <c:idx val="4"/>
          <c:order val="4"/>
          <c:tx>
            <c:strRef>
              <c:f>图4!$G$3</c:f>
              <c:strCache>
                <c:ptCount val="1"/>
                <c:pt idx="0">
                  <c:v>helper</c:v>
                </c:pt>
              </c:strCache>
            </c:strRef>
          </c:tx>
          <c:spPr>
            <a:solidFill>
              <a:schemeClr val="bg1">
                <a:lumMod val="85000"/>
                <a:alpha val="50000"/>
              </a:schemeClr>
            </a:solidFill>
            <a:ln>
              <a:noFill/>
            </a:ln>
            <a:effectLst/>
          </c:spPr>
          <c:invertIfNegative val="0"/>
          <c:val>
            <c:numRef>
              <c:f>图4!$G$4:$G$48</c:f>
              <c:numCache>
                <c:formatCode>General</c:formatCode>
                <c:ptCount val="45"/>
                <c:pt idx="29" formatCode="0.0">
                  <c:v>40</c:v>
                </c:pt>
                <c:pt idx="30" formatCode="0.0">
                  <c:v>40</c:v>
                </c:pt>
                <c:pt idx="31" formatCode="0.0">
                  <c:v>40</c:v>
                </c:pt>
                <c:pt idx="32" formatCode="0.0">
                  <c:v>40</c:v>
                </c:pt>
                <c:pt idx="33" formatCode="0.0">
                  <c:v>40</c:v>
                </c:pt>
                <c:pt idx="34" formatCode="0.0">
                  <c:v>40</c:v>
                </c:pt>
                <c:pt idx="35" formatCode="0.0">
                  <c:v>40</c:v>
                </c:pt>
                <c:pt idx="36" formatCode="0.0">
                  <c:v>40</c:v>
                </c:pt>
                <c:pt idx="37" formatCode="0.0">
                  <c:v>40</c:v>
                </c:pt>
                <c:pt idx="38" formatCode="0.0">
                  <c:v>40</c:v>
                </c:pt>
                <c:pt idx="39" formatCode="0.0">
                  <c:v>40</c:v>
                </c:pt>
                <c:pt idx="40" formatCode="0.0">
                  <c:v>40</c:v>
                </c:pt>
                <c:pt idx="41" formatCode="0.0">
                  <c:v>40</c:v>
                </c:pt>
                <c:pt idx="42" formatCode="0.0">
                  <c:v>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199-470A-B2C9-3889A66B7A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794660208"/>
        <c:axId val="794660536"/>
      </c:barChart>
      <c:lineChart>
        <c:grouping val="standard"/>
        <c:varyColors val="0"/>
        <c:ser>
          <c:idx val="0"/>
          <c:order val="0"/>
          <c:tx>
            <c:strRef>
              <c:f>图4!$C$3</c:f>
              <c:strCache>
                <c:ptCount val="1"/>
                <c:pt idx="0">
                  <c:v>历史数据</c:v>
                </c:pt>
              </c:strCache>
            </c:strRef>
          </c:tx>
          <c:spPr>
            <a:ln w="38100" cap="rnd">
              <a:solidFill>
                <a:schemeClr val="tx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图4!$B$4:$B$48</c:f>
              <c:strCache>
                <c:ptCount val="43"/>
                <c:pt idx="2">
                  <c:v>1990</c:v>
                </c:pt>
                <c:pt idx="12">
                  <c:v>2000</c:v>
                </c:pt>
                <c:pt idx="22">
                  <c:v>10</c:v>
                </c:pt>
                <c:pt idx="32">
                  <c:v>20</c:v>
                </c:pt>
                <c:pt idx="42">
                  <c:v>30</c:v>
                </c:pt>
              </c:strCache>
            </c:strRef>
          </c:cat>
          <c:val>
            <c:numRef>
              <c:f>图4!$C$4:$C$48</c:f>
              <c:numCache>
                <c:formatCode>General</c:formatCode>
                <c:ptCount val="45"/>
                <c:pt idx="2">
                  <c:v>30.8</c:v>
                </c:pt>
                <c:pt idx="3" formatCode="0.0">
                  <c:v>30.994878128797392</c:v>
                </c:pt>
                <c:pt idx="4" formatCode="0.0">
                  <c:v>31.593468474042375</c:v>
                </c:pt>
                <c:pt idx="5" formatCode="0.0">
                  <c:v>32.144534276814312</c:v>
                </c:pt>
                <c:pt idx="6" formatCode="0.0">
                  <c:v>32.749151773837518</c:v>
                </c:pt>
                <c:pt idx="7" formatCode="0.0">
                  <c:v>33.351024079486976</c:v>
                </c:pt>
                <c:pt idx="8" formatCode="0.0">
                  <c:v>33.546968934134043</c:v>
                </c:pt>
                <c:pt idx="9" formatCode="0.0">
                  <c:v>34.136514584654677</c:v>
                </c:pt>
                <c:pt idx="10" formatCode="0.0">
                  <c:v>34.38054910634839</c:v>
                </c:pt>
                <c:pt idx="11" formatCode="0.0">
                  <c:v>34.384649894723978</c:v>
                </c:pt>
                <c:pt idx="12" formatCode="0.0">
                  <c:v>34.447349803916175</c:v>
                </c:pt>
                <c:pt idx="13" formatCode="0.0">
                  <c:v>34.87390519255176</c:v>
                </c:pt>
                <c:pt idx="14" formatCode="0.0">
                  <c:v>35.303874260383587</c:v>
                </c:pt>
                <c:pt idx="15" formatCode="0.0">
                  <c:v>35.880140566917262</c:v>
                </c:pt>
                <c:pt idx="16" formatCode="0.0">
                  <c:v>36.226819523399726</c:v>
                </c:pt>
                <c:pt idx="17" formatCode="0.0">
                  <c:v>35.386045802322833</c:v>
                </c:pt>
                <c:pt idx="18" formatCode="0.0">
                  <c:v>34.542867537380999</c:v>
                </c:pt>
                <c:pt idx="19" formatCode="0.0">
                  <c:v>33.637924636008002</c:v>
                </c:pt>
                <c:pt idx="20" formatCode="0.0">
                  <c:v>33.15636081334857</c:v>
                </c:pt>
                <c:pt idx="21" formatCode="0.0">
                  <c:v>32.189255317227293</c:v>
                </c:pt>
                <c:pt idx="22" formatCode="0.0">
                  <c:v>31.975941891821144</c:v>
                </c:pt>
                <c:pt idx="23" formatCode="0.0">
                  <c:v>31.848292001577285</c:v>
                </c:pt>
                <c:pt idx="24" formatCode="0.0">
                  <c:v>31.576439421826592</c:v>
                </c:pt>
                <c:pt idx="25" formatCode="0.0">
                  <c:v>30.602191951156151</c:v>
                </c:pt>
                <c:pt idx="26" formatCode="0.0">
                  <c:v>29.618021010001062</c:v>
                </c:pt>
                <c:pt idx="27" formatCode="0.0">
                  <c:v>29.074346123345741</c:v>
                </c:pt>
                <c:pt idx="28" formatCode="0.0">
                  <c:v>28.612203580861166</c:v>
                </c:pt>
                <c:pt idx="29">
                  <c:v>28.6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199-470A-B2C9-3889A66B7AFC}"/>
            </c:ext>
          </c:extLst>
        </c:ser>
        <c:ser>
          <c:idx val="1"/>
          <c:order val="1"/>
          <c:tx>
            <c:strRef>
              <c:f>图4!$D$3</c:f>
              <c:strCache>
                <c:ptCount val="1"/>
                <c:pt idx="0">
                  <c:v>当前预测</c:v>
                </c:pt>
              </c:strCache>
            </c:strRef>
          </c:tx>
          <c:spPr>
            <a:ln w="38100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图4!$B$4:$B$48</c:f>
              <c:strCache>
                <c:ptCount val="43"/>
                <c:pt idx="2">
                  <c:v>1990</c:v>
                </c:pt>
                <c:pt idx="12">
                  <c:v>2000</c:v>
                </c:pt>
                <c:pt idx="22">
                  <c:v>10</c:v>
                </c:pt>
                <c:pt idx="32">
                  <c:v>20</c:v>
                </c:pt>
                <c:pt idx="42">
                  <c:v>30</c:v>
                </c:pt>
              </c:strCache>
            </c:strRef>
          </c:cat>
          <c:val>
            <c:numRef>
              <c:f>图4!$D$4:$D$48</c:f>
              <c:numCache>
                <c:formatCode>General</c:formatCode>
                <c:ptCount val="45"/>
                <c:pt idx="29" formatCode="0.0">
                  <c:v>28.565779385553629</c:v>
                </c:pt>
                <c:pt idx="30" formatCode="0.0">
                  <c:v>28.490453070048293</c:v>
                </c:pt>
                <c:pt idx="31" formatCode="0.0">
                  <c:v>28.443284431768138</c:v>
                </c:pt>
                <c:pt idx="32" formatCode="0.0">
                  <c:v>28.423374017186283</c:v>
                </c:pt>
                <c:pt idx="33" formatCode="0.0">
                  <c:v>28.366653934519256</c:v>
                </c:pt>
                <c:pt idx="34" formatCode="0.0">
                  <c:v>28.332517585645768</c:v>
                </c:pt>
                <c:pt idx="35" formatCode="0.0">
                  <c:v>28.293698186900468</c:v>
                </c:pt>
                <c:pt idx="36" formatCode="0.0">
                  <c:v>28.196671500019242</c:v>
                </c:pt>
                <c:pt idx="37" formatCode="0.0">
                  <c:v>28.183108862379907</c:v>
                </c:pt>
                <c:pt idx="38" formatCode="0.0">
                  <c:v>28.087242213708716</c:v>
                </c:pt>
                <c:pt idx="39" formatCode="0.0">
                  <c:v>27.995998958170322</c:v>
                </c:pt>
                <c:pt idx="40" formatCode="0.0">
                  <c:v>27.922620773174106</c:v>
                </c:pt>
                <c:pt idx="41" formatCode="0.0">
                  <c:v>27.880796940834429</c:v>
                </c:pt>
                <c:pt idx="42" formatCode="0.0">
                  <c:v>27.782888610952078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199-470A-B2C9-3889A66B7AFC}"/>
            </c:ext>
          </c:extLst>
        </c:ser>
        <c:ser>
          <c:idx val="2"/>
          <c:order val="2"/>
          <c:tx>
            <c:strRef>
              <c:f>图4!$E$3</c:f>
              <c:strCache>
                <c:ptCount val="1"/>
                <c:pt idx="0">
                  <c:v>乐观预测</c:v>
                </c:pt>
              </c:strCache>
            </c:strRef>
          </c:tx>
          <c:spPr>
            <a:ln w="38100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cat>
            <c:strRef>
              <c:f>图4!$B$4:$B$48</c:f>
              <c:strCache>
                <c:ptCount val="43"/>
                <c:pt idx="2">
                  <c:v>1990</c:v>
                </c:pt>
                <c:pt idx="12">
                  <c:v>2000</c:v>
                </c:pt>
                <c:pt idx="22">
                  <c:v>10</c:v>
                </c:pt>
                <c:pt idx="32">
                  <c:v>20</c:v>
                </c:pt>
                <c:pt idx="42">
                  <c:v>30</c:v>
                </c:pt>
              </c:strCache>
            </c:strRef>
          </c:cat>
          <c:val>
            <c:numRef>
              <c:f>图4!$E$4:$E$48</c:f>
              <c:numCache>
                <c:formatCode>General</c:formatCode>
                <c:ptCount val="45"/>
                <c:pt idx="29" formatCode="0.0">
                  <c:v>28.6</c:v>
                </c:pt>
                <c:pt idx="30" formatCode="0.0">
                  <c:v>26.676276648655886</c:v>
                </c:pt>
                <c:pt idx="31" formatCode="0.0">
                  <c:v>26.116377638534193</c:v>
                </c:pt>
                <c:pt idx="32" formatCode="0.0">
                  <c:v>23.329456589229981</c:v>
                </c:pt>
                <c:pt idx="33" formatCode="0.0">
                  <c:v>21.498386211450303</c:v>
                </c:pt>
                <c:pt idx="34" formatCode="0.0">
                  <c:v>19.852993297447266</c:v>
                </c:pt>
                <c:pt idx="35" formatCode="0.0">
                  <c:v>19.216462226984177</c:v>
                </c:pt>
                <c:pt idx="36" formatCode="0.0">
                  <c:v>18.677779398772472</c:v>
                </c:pt>
                <c:pt idx="37" formatCode="0.0">
                  <c:v>17.080259827971808</c:v>
                </c:pt>
                <c:pt idx="38" formatCode="0.0">
                  <c:v>14.879677300696216</c:v>
                </c:pt>
                <c:pt idx="39" formatCode="0.0">
                  <c:v>14.567569037708147</c:v>
                </c:pt>
                <c:pt idx="40" formatCode="0.0">
                  <c:v>13.373065660273976</c:v>
                </c:pt>
                <c:pt idx="41" formatCode="0.0">
                  <c:v>12.135391442238046</c:v>
                </c:pt>
                <c:pt idx="42" formatCode="0.0">
                  <c:v>11.124147010537014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199-470A-B2C9-3889A66B7AFC}"/>
            </c:ext>
          </c:extLst>
        </c:ser>
        <c:ser>
          <c:idx val="3"/>
          <c:order val="3"/>
          <c:tx>
            <c:strRef>
              <c:f>图4!$F$3</c:f>
              <c:strCache>
                <c:ptCount val="1"/>
                <c:pt idx="0">
                  <c:v>悲观预测</c:v>
                </c:pt>
              </c:strCache>
            </c:strRef>
          </c:tx>
          <c:spPr>
            <a:ln w="3810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dLbl>
              <c:idx val="36"/>
              <c:layout>
                <c:manualLayout>
                  <c:x val="-7.3584760238303543E-2"/>
                  <c:y val="-2.9889379010869715E-2"/>
                </c:manualLayout>
              </c:layout>
              <c:tx>
                <c:rich>
                  <a:bodyPr/>
                  <a:lstStyle/>
                  <a:p>
                    <a:r>
                      <a:rPr lang="en-US" altLang="zh-CN" sz="1000" i="1">
                        <a:solidFill>
                          <a:schemeClr val="tx1">
                            <a:lumMod val="95000"/>
                            <a:lumOff val="5000"/>
                          </a:schemeClr>
                        </a:solidFill>
                        <a:latin typeface="ITC Officina Sans Std Book" panose="020B0506040203020204" pitchFamily="34" charset="0"/>
                      </a:rPr>
                      <a:t>F'CAST</a:t>
                    </a:r>
                  </a:p>
                </c:rich>
              </c:tx>
              <c:dLblPos val="r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5199-470A-B2C9-3889A66B7AF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85000"/>
                        <a:lumOff val="15000"/>
                      </a:schemeClr>
                    </a:solidFill>
                    <a:latin typeface="ITC Officina Sans Std Book" panose="020B0506040203020204" pitchFamily="34" charset="0"/>
                    <a:ea typeface="+mn-ea"/>
                    <a:cs typeface="+mn-cs"/>
                  </a:defRPr>
                </a:pPr>
                <a:endParaRPr lang="zh-CN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图4!$B$4:$B$48</c:f>
              <c:strCache>
                <c:ptCount val="43"/>
                <c:pt idx="2">
                  <c:v>1990</c:v>
                </c:pt>
                <c:pt idx="12">
                  <c:v>2000</c:v>
                </c:pt>
                <c:pt idx="22">
                  <c:v>10</c:v>
                </c:pt>
                <c:pt idx="32">
                  <c:v>20</c:v>
                </c:pt>
                <c:pt idx="42">
                  <c:v>30</c:v>
                </c:pt>
              </c:strCache>
            </c:strRef>
          </c:cat>
          <c:val>
            <c:numRef>
              <c:f>图4!$F$4:$F$48</c:f>
              <c:numCache>
                <c:formatCode>General</c:formatCode>
                <c:ptCount val="45"/>
                <c:pt idx="29" formatCode="0.0">
                  <c:v>28.612203580861166</c:v>
                </c:pt>
                <c:pt idx="30" formatCode="0.0">
                  <c:v>29.309123925398165</c:v>
                </c:pt>
                <c:pt idx="31" formatCode="0.0">
                  <c:v>29.602781717283928</c:v>
                </c:pt>
                <c:pt idx="32" formatCode="0.0">
                  <c:v>30.856017566651786</c:v>
                </c:pt>
                <c:pt idx="33" formatCode="0.0">
                  <c:v>32.806589436687439</c:v>
                </c:pt>
                <c:pt idx="34" formatCode="0.0">
                  <c:v>33.795182942433719</c:v>
                </c:pt>
                <c:pt idx="35" formatCode="0.0">
                  <c:v>34.369217994929265</c:v>
                </c:pt>
                <c:pt idx="36" formatCode="0.0">
                  <c:v>34.414048124229872</c:v>
                </c:pt>
                <c:pt idx="37" formatCode="0.0">
                  <c:v>35.237439048465397</c:v>
                </c:pt>
                <c:pt idx="38" formatCode="0.0">
                  <c:v>35.555802280548789</c:v>
                </c:pt>
                <c:pt idx="39" formatCode="0.0">
                  <c:v>36.214813237127146</c:v>
                </c:pt>
                <c:pt idx="40" formatCode="0.0">
                  <c:v>38.178752742198405</c:v>
                </c:pt>
                <c:pt idx="41" formatCode="0.0">
                  <c:v>39.767269676793227</c:v>
                </c:pt>
                <c:pt idx="42" formatCode="0.0">
                  <c:v>40.468740844186705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199-470A-B2C9-3889A66B7A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94660208"/>
        <c:axId val="794660536"/>
      </c:lineChart>
      <c:catAx>
        <c:axId val="794660208"/>
        <c:scaling>
          <c:orientation val="minMax"/>
        </c:scaling>
        <c:delete val="0"/>
        <c:axPos val="b"/>
        <c:numFmt formatCode="General" sourceLinked="1"/>
        <c:majorTickMark val="out"/>
        <c:minorTickMark val="out"/>
        <c:tickLblPos val="nextTo"/>
        <c:spPr>
          <a:noFill/>
          <a:ln w="9525" cap="flat" cmpd="sng" algn="ctr">
            <a:solidFill>
              <a:schemeClr val="bg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50" b="0" i="0" u="none" strike="noStrike" kern="1200" baseline="0">
                <a:solidFill>
                  <a:schemeClr val="tx1">
                    <a:lumMod val="85000"/>
                    <a:lumOff val="15000"/>
                  </a:schemeClr>
                </a:solidFill>
                <a:latin typeface="ITC Officina Sans Std Book" panose="020B0506040203020204" pitchFamily="34" charset="0"/>
                <a:ea typeface="+mn-ea"/>
                <a:cs typeface="+mn-cs"/>
              </a:defRPr>
            </a:pPr>
            <a:endParaRPr lang="zh-CN"/>
          </a:p>
        </c:txPr>
        <c:crossAx val="794660536"/>
        <c:crosses val="autoZero"/>
        <c:auto val="1"/>
        <c:lblAlgn val="ctr"/>
        <c:lblOffset val="100"/>
        <c:noMultiLvlLbl val="0"/>
      </c:catAx>
      <c:valAx>
        <c:axId val="794660536"/>
        <c:scaling>
          <c:orientation val="minMax"/>
          <c:max val="45"/>
          <c:min val="0"/>
        </c:scaling>
        <c:delete val="0"/>
        <c:axPos val="r"/>
        <c:majorGridlines>
          <c:spPr>
            <a:ln w="12700" cap="flat" cmpd="sng" algn="ctr">
              <a:solidFill>
                <a:schemeClr val="bg1">
                  <a:lumMod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85000"/>
                    <a:lumOff val="15000"/>
                  </a:schemeClr>
                </a:solidFill>
                <a:latin typeface="ITC Officina Sans Std Book" panose="020B0506040203020204" pitchFamily="34" charset="0"/>
                <a:ea typeface="+mn-ea"/>
                <a:cs typeface="+mn-cs"/>
              </a:defRPr>
            </a:pPr>
            <a:endParaRPr lang="zh-CN"/>
          </a:p>
        </c:txPr>
        <c:crossAx val="794660208"/>
        <c:crosses val="max"/>
        <c:crossBetween val="between"/>
        <c:majorUnit val="10"/>
      </c:valAx>
      <c:spPr>
        <a:noFill/>
        <a:ln>
          <a:noFill/>
        </a:ln>
        <a:effectLst/>
      </c:spPr>
    </c:plotArea>
    <c:legend>
      <c:legendPos val="t"/>
      <c:legendEntry>
        <c:idx val="0"/>
        <c:delete val="1"/>
      </c:legendEntry>
      <c:legendEntry>
        <c:idx val="1"/>
        <c:delete val="1"/>
      </c:legendEntry>
      <c:layout>
        <c:manualLayout>
          <c:xMode val="edge"/>
          <c:yMode val="edge"/>
          <c:x val="0.36772486772486773"/>
          <c:y val="0.13320855580329838"/>
          <c:w val="0.5714285714285714"/>
          <c:h val="4.991145740290316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85000"/>
                  <a:lumOff val="15000"/>
                </a:schemeClr>
              </a:solidFill>
              <a:latin typeface="Nyala" panose="02000504070300020003" pitchFamily="2" charset="0"/>
              <a:ea typeface="Verdana" panose="020B0604030504040204" pitchFamily="34" charset="0"/>
              <a:cs typeface="Vrinda" panose="020B0502040204020203" pitchFamily="34" charset="0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2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>
              <a:lumMod val="85000"/>
              <a:lumOff val="15000"/>
            </a:schemeClr>
          </a:solidFill>
          <a:latin typeface="ITC Officina Sans Std Book" panose="020B0506040203020204" pitchFamily="34" charset="0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l">
              <a:defRPr sz="1400" b="0" i="0" u="none" strike="noStrike" kern="1200" spc="0" baseline="0">
                <a:solidFill>
                  <a:schemeClr val="tx1">
                    <a:lumMod val="85000"/>
                    <a:lumOff val="15000"/>
                  </a:schemeClr>
                </a:solidFill>
                <a:latin typeface="ITC Officina Sans Std Book" panose="020B0506040203020204" pitchFamily="34" charset="0"/>
                <a:ea typeface="黑体" panose="02010609060101010101" pitchFamily="49" charset="-122"/>
                <a:cs typeface="+mn-cs"/>
              </a:defRPr>
            </a:pPr>
            <a:r>
              <a:rPr lang="zh-CN" altLang="en-US" sz="1200">
                <a:solidFill>
                  <a:schemeClr val="tx1">
                    <a:lumMod val="95000"/>
                    <a:lumOff val="5000"/>
                  </a:schemeClr>
                </a:solidFill>
              </a:rPr>
              <a:t>冬天来了！</a:t>
            </a:r>
            <a:endParaRPr lang="en-US" altLang="zh-CN" sz="1200">
              <a:solidFill>
                <a:schemeClr val="tx1">
                  <a:lumMod val="95000"/>
                  <a:lumOff val="5000"/>
                </a:schemeClr>
              </a:solidFill>
            </a:endParaRPr>
          </a:p>
          <a:p>
            <a:pPr algn="l">
              <a:defRPr/>
            </a:pPr>
            <a:r>
              <a:rPr lang="en-US" altLang="zh-CN" sz="1000"/>
              <a:t>2001</a:t>
            </a:r>
            <a:r>
              <a:rPr lang="zh-CN" altLang="en-US" sz="1000"/>
              <a:t>年以来走国进出口及净出口同比增幅</a:t>
            </a:r>
            <a:endParaRPr lang="zh-CN" sz="1000"/>
          </a:p>
        </c:rich>
      </c:tx>
      <c:layout>
        <c:manualLayout>
          <c:xMode val="edge"/>
          <c:yMode val="edge"/>
          <c:x val="1.5174978127734034E-2"/>
          <c:y val="3.264280584984388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l">
            <a:defRPr sz="1400" b="0" i="0" u="none" strike="noStrike" kern="1200" spc="0" baseline="0">
              <a:solidFill>
                <a:schemeClr val="tx1">
                  <a:lumMod val="85000"/>
                  <a:lumOff val="15000"/>
                </a:schemeClr>
              </a:solidFill>
              <a:latin typeface="ITC Officina Sans Std Book" panose="020B0506040203020204" pitchFamily="34" charset="0"/>
              <a:ea typeface="黑体" panose="02010609060101010101" pitchFamily="49" charset="-122"/>
              <a:cs typeface="+mn-cs"/>
            </a:defRPr>
          </a:pPr>
          <a:endParaRPr lang="zh-CN"/>
        </a:p>
      </c:txPr>
    </c:title>
    <c:autoTitleDeleted val="0"/>
    <c:plotArea>
      <c:layout>
        <c:manualLayout>
          <c:layoutTarget val="inner"/>
          <c:xMode val="edge"/>
          <c:yMode val="edge"/>
          <c:x val="0.10885583746476132"/>
          <c:y val="0.17065919882572894"/>
          <c:w val="0.80264362787984833"/>
          <c:h val="0.68401724394279229"/>
        </c:manualLayout>
      </c:layout>
      <c:lineChart>
        <c:grouping val="standard"/>
        <c:varyColors val="0"/>
        <c:ser>
          <c:idx val="1"/>
          <c:order val="0"/>
          <c:tx>
            <c:strRef>
              <c:f>图5!$C$5</c:f>
              <c:strCache>
                <c:ptCount val="1"/>
                <c:pt idx="0">
                  <c:v>净出口</c:v>
                </c:pt>
              </c:strCache>
            </c:strRef>
          </c:tx>
          <c:spPr>
            <a:ln w="38100" cap="rnd">
              <a:solidFill>
                <a:schemeClr val="accent3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dPt>
            <c:idx val="16"/>
            <c:marker>
              <c:symbol val="circle"/>
              <c:size val="7"/>
              <c:spPr>
                <a:solidFill>
                  <a:schemeClr val="accent3">
                    <a:lumMod val="75000"/>
                  </a:schemeClr>
                </a:solidFill>
                <a:ln w="9525">
                  <a:solidFill>
                    <a:schemeClr val="accent3">
                      <a:lumMod val="75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4-A849-442E-8DCA-1D866294A806}"/>
              </c:ext>
            </c:extLst>
          </c:dPt>
          <c:dLbls>
            <c:dLbl>
              <c:idx val="16"/>
              <c:layout>
                <c:manualLayout>
                  <c:x val="-5.0505050505050509E-3"/>
                  <c:y val="0"/>
                </c:manualLayout>
              </c:layout>
              <c:dLblPos val="r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A849-442E-8DCA-1D866294A80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85000"/>
                        <a:lumOff val="15000"/>
                      </a:schemeClr>
                    </a:solidFill>
                    <a:latin typeface="+mn-lt"/>
                    <a:ea typeface="黑体" panose="02010609060101010101" pitchFamily="49" charset="-122"/>
                    <a:cs typeface="+mn-cs"/>
                  </a:defRPr>
                </a:pPr>
                <a:endParaRPr lang="zh-CN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图5!$B$6:$B$22</c:f>
              <c:strCache>
                <c:ptCount val="17"/>
                <c:pt idx="0">
                  <c:v>2001</c:v>
                </c:pt>
                <c:pt idx="1">
                  <c:v>02</c:v>
                </c:pt>
                <c:pt idx="2">
                  <c:v>03</c:v>
                </c:pt>
                <c:pt idx="3">
                  <c:v>04</c:v>
                </c:pt>
                <c:pt idx="4">
                  <c:v>05</c:v>
                </c:pt>
                <c:pt idx="5">
                  <c:v>06</c:v>
                </c:pt>
                <c:pt idx="6">
                  <c:v>07</c:v>
                </c:pt>
                <c:pt idx="7">
                  <c:v>08</c:v>
                </c:pt>
                <c:pt idx="8">
                  <c:v>09</c:v>
                </c:pt>
                <c:pt idx="9">
                  <c:v>2010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2017.1-8</c:v>
                </c:pt>
              </c:strCache>
            </c:strRef>
          </c:cat>
          <c:val>
            <c:numRef>
              <c:f>图5!$C$6:$C$22</c:f>
              <c:numCache>
                <c:formatCode>0.0%</c:formatCode>
                <c:ptCount val="17"/>
                <c:pt idx="0">
                  <c:v>-6.6000000000000003E-2</c:v>
                </c:pt>
                <c:pt idx="1">
                  <c:v>0.35099999999999998</c:v>
                </c:pt>
                <c:pt idx="2">
                  <c:v>-0.161</c:v>
                </c:pt>
                <c:pt idx="3">
                  <c:v>0.25900000000000001</c:v>
                </c:pt>
                <c:pt idx="4">
                  <c:v>0.88800000000000001</c:v>
                </c:pt>
                <c:pt idx="5">
                  <c:v>0.74</c:v>
                </c:pt>
                <c:pt idx="6">
                  <c:v>0.48899999999999999</c:v>
                </c:pt>
                <c:pt idx="7">
                  <c:v>0.128</c:v>
                </c:pt>
                <c:pt idx="8">
                  <c:v>-0.34399999999999997</c:v>
                </c:pt>
                <c:pt idx="9">
                  <c:v>-7.2999999999999995E-2</c:v>
                </c:pt>
                <c:pt idx="10">
                  <c:v>-0.14699999999999999</c:v>
                </c:pt>
                <c:pt idx="11">
                  <c:v>0.48699999999999999</c:v>
                </c:pt>
                <c:pt idx="12">
                  <c:v>0.125</c:v>
                </c:pt>
                <c:pt idx="13">
                  <c:v>0.47899999999999998</c:v>
                </c:pt>
                <c:pt idx="14">
                  <c:v>0.55000000000000004</c:v>
                </c:pt>
                <c:pt idx="15">
                  <c:v>-0.14099999999999999</c:v>
                </c:pt>
                <c:pt idx="16">
                  <c:v>-0.23499999999999999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849-442E-8DCA-1D866294A806}"/>
            </c:ext>
          </c:extLst>
        </c:ser>
        <c:ser>
          <c:idx val="0"/>
          <c:order val="1"/>
          <c:tx>
            <c:strRef>
              <c:f>图5!$D$5</c:f>
              <c:strCache>
                <c:ptCount val="1"/>
                <c:pt idx="0">
                  <c:v>出口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Pt>
            <c:idx val="16"/>
            <c:marker>
              <c:symbol val="circle"/>
              <c:size val="7"/>
              <c:spPr>
                <a:solidFill>
                  <a:schemeClr val="accent2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6-A849-442E-8DCA-1D866294A806}"/>
              </c:ext>
            </c:extLst>
          </c:dPt>
          <c:dLbls>
            <c:dLbl>
              <c:idx val="16"/>
              <c:layout>
                <c:manualLayout>
                  <c:x val="-3.3670033670034905E-3"/>
                  <c:y val="-7.5329551961178191E-3"/>
                </c:manualLayout>
              </c:layout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A849-442E-8DCA-1D866294A80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95000"/>
                        <a:lumOff val="5000"/>
                      </a:schemeClr>
                    </a:solidFill>
                    <a:latin typeface="黑体" panose="02010609060101010101" pitchFamily="49" charset="-122"/>
                    <a:ea typeface="黑体" panose="02010609060101010101" pitchFamily="49" charset="-122"/>
                    <a:cs typeface="+mn-cs"/>
                  </a:defRPr>
                </a:pPr>
                <a:endParaRPr lang="zh-CN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图5!$B$6:$B$22</c:f>
              <c:strCache>
                <c:ptCount val="17"/>
                <c:pt idx="0">
                  <c:v>2001</c:v>
                </c:pt>
                <c:pt idx="1">
                  <c:v>02</c:v>
                </c:pt>
                <c:pt idx="2">
                  <c:v>03</c:v>
                </c:pt>
                <c:pt idx="3">
                  <c:v>04</c:v>
                </c:pt>
                <c:pt idx="4">
                  <c:v>05</c:v>
                </c:pt>
                <c:pt idx="5">
                  <c:v>06</c:v>
                </c:pt>
                <c:pt idx="6">
                  <c:v>07</c:v>
                </c:pt>
                <c:pt idx="7">
                  <c:v>08</c:v>
                </c:pt>
                <c:pt idx="8">
                  <c:v>09</c:v>
                </c:pt>
                <c:pt idx="9">
                  <c:v>2010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2017.1-8</c:v>
                </c:pt>
              </c:strCache>
            </c:strRef>
          </c:cat>
          <c:val>
            <c:numRef>
              <c:f>图5!$D$6:$D$22</c:f>
              <c:numCache>
                <c:formatCode>0.0%</c:formatCode>
                <c:ptCount val="17"/>
                <c:pt idx="0">
                  <c:v>6.8000000000000005E-2</c:v>
                </c:pt>
                <c:pt idx="1">
                  <c:v>0.224</c:v>
                </c:pt>
                <c:pt idx="2">
                  <c:v>0.34599999999999997</c:v>
                </c:pt>
                <c:pt idx="3">
                  <c:v>0.35399999999999998</c:v>
                </c:pt>
                <c:pt idx="4">
                  <c:v>0.28399999999999997</c:v>
                </c:pt>
                <c:pt idx="5">
                  <c:v>0.27200000000000002</c:v>
                </c:pt>
                <c:pt idx="6">
                  <c:v>0.26</c:v>
                </c:pt>
                <c:pt idx="7">
                  <c:v>0.17199999999999999</c:v>
                </c:pt>
                <c:pt idx="8">
                  <c:v>-0.16</c:v>
                </c:pt>
                <c:pt idx="9">
                  <c:v>0.313</c:v>
                </c:pt>
                <c:pt idx="10">
                  <c:v>0.20300000000000001</c:v>
                </c:pt>
                <c:pt idx="11">
                  <c:v>7.9000000000000001E-2</c:v>
                </c:pt>
                <c:pt idx="12">
                  <c:v>7.8E-2</c:v>
                </c:pt>
                <c:pt idx="13">
                  <c:v>0.06</c:v>
                </c:pt>
                <c:pt idx="14">
                  <c:v>-2.9000000000000001E-2</c:v>
                </c:pt>
                <c:pt idx="15">
                  <c:v>-7.6999999999999999E-2</c:v>
                </c:pt>
                <c:pt idx="16">
                  <c:v>5.5E-2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849-442E-8DCA-1D866294A806}"/>
            </c:ext>
          </c:extLst>
        </c:ser>
        <c:ser>
          <c:idx val="2"/>
          <c:order val="2"/>
          <c:tx>
            <c:strRef>
              <c:f>图5!$E$5</c:f>
              <c:strCache>
                <c:ptCount val="1"/>
                <c:pt idx="0">
                  <c:v>进口</c:v>
                </c:pt>
              </c:strCache>
            </c:strRef>
          </c:tx>
          <c:spPr>
            <a:ln w="28575" cap="rnd">
              <a:solidFill>
                <a:schemeClr val="tx2"/>
              </a:solidFill>
              <a:round/>
            </a:ln>
            <a:effectLst/>
          </c:spPr>
          <c:marker>
            <c:symbol val="none"/>
          </c:marker>
          <c:dPt>
            <c:idx val="16"/>
            <c:marker>
              <c:symbol val="circle"/>
              <c:size val="7"/>
              <c:spPr>
                <a:solidFill>
                  <a:schemeClr val="tx2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7-A849-442E-8DCA-1D866294A806}"/>
              </c:ext>
            </c:extLst>
          </c:dPt>
          <c:dLbls>
            <c:dLbl>
              <c:idx val="16"/>
              <c:layout>
                <c:manualLayout>
                  <c:x val="-3.2828282828282949E-2"/>
                  <c:y val="-3.640928344790284E-2"/>
                </c:manualLayout>
              </c:layout>
              <c:dLblPos val="r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A849-442E-8DCA-1D866294A80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85000"/>
                        <a:lumOff val="15000"/>
                      </a:schemeClr>
                    </a:solidFill>
                    <a:latin typeface="黑体" panose="02010609060101010101" pitchFamily="49" charset="-122"/>
                    <a:ea typeface="黑体" panose="02010609060101010101" pitchFamily="49" charset="-122"/>
                    <a:cs typeface="+mn-cs"/>
                  </a:defRPr>
                </a:pPr>
                <a:endParaRPr lang="zh-CN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图5!$B$6:$B$22</c:f>
              <c:strCache>
                <c:ptCount val="17"/>
                <c:pt idx="0">
                  <c:v>2001</c:v>
                </c:pt>
                <c:pt idx="1">
                  <c:v>02</c:v>
                </c:pt>
                <c:pt idx="2">
                  <c:v>03</c:v>
                </c:pt>
                <c:pt idx="3">
                  <c:v>04</c:v>
                </c:pt>
                <c:pt idx="4">
                  <c:v>05</c:v>
                </c:pt>
                <c:pt idx="5">
                  <c:v>06</c:v>
                </c:pt>
                <c:pt idx="6">
                  <c:v>07</c:v>
                </c:pt>
                <c:pt idx="7">
                  <c:v>08</c:v>
                </c:pt>
                <c:pt idx="8">
                  <c:v>09</c:v>
                </c:pt>
                <c:pt idx="9">
                  <c:v>2010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2017.1-8</c:v>
                </c:pt>
              </c:strCache>
            </c:strRef>
          </c:cat>
          <c:val>
            <c:numRef>
              <c:f>图5!$E$6:$E$22</c:f>
              <c:numCache>
                <c:formatCode>0.0%</c:formatCode>
                <c:ptCount val="17"/>
                <c:pt idx="0">
                  <c:v>8.2000000000000003E-2</c:v>
                </c:pt>
                <c:pt idx="1">
                  <c:v>0.21199999999999999</c:v>
                </c:pt>
                <c:pt idx="2">
                  <c:v>0.39800000000000002</c:v>
                </c:pt>
                <c:pt idx="3">
                  <c:v>0.35899999999999999</c:v>
                </c:pt>
                <c:pt idx="4">
                  <c:v>0.17599999999999999</c:v>
                </c:pt>
                <c:pt idx="5">
                  <c:v>0.19900000000000001</c:v>
                </c:pt>
                <c:pt idx="6">
                  <c:v>0.20799999999999999</c:v>
                </c:pt>
                <c:pt idx="7">
                  <c:v>0.184</c:v>
                </c:pt>
                <c:pt idx="8">
                  <c:v>-0.112</c:v>
                </c:pt>
                <c:pt idx="9">
                  <c:v>0.38800000000000001</c:v>
                </c:pt>
                <c:pt idx="10">
                  <c:v>0.249</c:v>
                </c:pt>
                <c:pt idx="11">
                  <c:v>4.2999999999999997E-2</c:v>
                </c:pt>
                <c:pt idx="12">
                  <c:v>7.1999999999999995E-2</c:v>
                </c:pt>
                <c:pt idx="13">
                  <c:v>5.0000000000000001E-3</c:v>
                </c:pt>
                <c:pt idx="14">
                  <c:v>-0.14299999999999999</c:v>
                </c:pt>
                <c:pt idx="15">
                  <c:v>-5.5E-2</c:v>
                </c:pt>
                <c:pt idx="16">
                  <c:v>0.13300000000000001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849-442E-8DCA-1D866294A8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72816784"/>
        <c:axId val="772817112"/>
      </c:lineChart>
      <c:catAx>
        <c:axId val="7728167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12700" cap="flat" cmpd="sng" algn="ctr">
            <a:solidFill>
              <a:schemeClr val="tx1">
                <a:lumMod val="50000"/>
                <a:lumOff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85000"/>
                    <a:lumOff val="15000"/>
                  </a:schemeClr>
                </a:solidFill>
                <a:latin typeface="ITC Officina Sans Std Book" panose="020B0506040203020204" pitchFamily="34" charset="0"/>
                <a:ea typeface="黑体" panose="02010609060101010101" pitchFamily="49" charset="-122"/>
                <a:cs typeface="+mn-cs"/>
              </a:defRPr>
            </a:pPr>
            <a:endParaRPr lang="zh-CN"/>
          </a:p>
        </c:txPr>
        <c:crossAx val="772817112"/>
        <c:crosses val="autoZero"/>
        <c:auto val="1"/>
        <c:lblAlgn val="ctr"/>
        <c:lblOffset val="100"/>
        <c:noMultiLvlLbl val="0"/>
      </c:catAx>
      <c:valAx>
        <c:axId val="772817112"/>
        <c:scaling>
          <c:orientation val="minMax"/>
          <c:max val="1"/>
          <c:min val="-1"/>
        </c:scaling>
        <c:delete val="0"/>
        <c:axPos val="l"/>
        <c:majorGridlines>
          <c:spPr>
            <a:ln w="12700" cap="flat" cmpd="sng" algn="ctr">
              <a:solidFill>
                <a:schemeClr val="bg1">
                  <a:lumMod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85000"/>
                    <a:lumOff val="15000"/>
                  </a:schemeClr>
                </a:solidFill>
                <a:latin typeface="ITC Officina Sans Std Book" panose="020B0506040203020204" pitchFamily="34" charset="0"/>
                <a:ea typeface="黑体" panose="02010609060101010101" pitchFamily="49" charset="-122"/>
                <a:cs typeface="+mn-cs"/>
              </a:defRPr>
            </a:pPr>
            <a:endParaRPr lang="zh-CN"/>
          </a:p>
        </c:txPr>
        <c:crossAx val="7728167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2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>
              <a:lumMod val="85000"/>
              <a:lumOff val="15000"/>
            </a:schemeClr>
          </a:solidFill>
          <a:latin typeface="ITC Officina Sans Std Book" panose="020B0506040203020204" pitchFamily="34" charset="0"/>
          <a:ea typeface="黑体" panose="02010609060101010101" pitchFamily="49" charset="-122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7</xdr:row>
      <xdr:rowOff>0</xdr:rowOff>
    </xdr:from>
    <xdr:to>
      <xdr:col>12</xdr:col>
      <xdr:colOff>0</xdr:colOff>
      <xdr:row>32</xdr:row>
      <xdr:rowOff>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57379019-D4BC-402E-B669-3CEF9B7CBD2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209550</xdr:colOff>
      <xdr:row>29</xdr:row>
      <xdr:rowOff>123825</xdr:rowOff>
    </xdr:from>
    <xdr:to>
      <xdr:col>10</xdr:col>
      <xdr:colOff>571500</xdr:colOff>
      <xdr:row>30</xdr:row>
      <xdr:rowOff>76200</xdr:rowOff>
    </xdr:to>
    <xdr:sp macro="" textlink="">
      <xdr:nvSpPr>
        <xdr:cNvPr id="3" name="矩形: 圆角 2">
          <a:extLst>
            <a:ext uri="{FF2B5EF4-FFF2-40B4-BE49-F238E27FC236}">
              <a16:creationId xmlns:a16="http://schemas.microsoft.com/office/drawing/2014/main" id="{28AFEDA0-4CDE-4069-9867-DC6AFA284EEE}"/>
            </a:ext>
          </a:extLst>
        </xdr:cNvPr>
        <xdr:cNvSpPr/>
      </xdr:nvSpPr>
      <xdr:spPr>
        <a:xfrm>
          <a:off x="6391275" y="5372100"/>
          <a:ext cx="1047750" cy="133350"/>
        </a:xfrm>
        <a:prstGeom prst="roundRect">
          <a:avLst/>
        </a:prstGeom>
        <a:solidFill>
          <a:schemeClr val="bg2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 editAs="oneCell">
    <xdr:from>
      <xdr:col>11</xdr:col>
      <xdr:colOff>76199</xdr:colOff>
      <xdr:row>28</xdr:row>
      <xdr:rowOff>114301</xdr:rowOff>
    </xdr:from>
    <xdr:to>
      <xdr:col>11</xdr:col>
      <xdr:colOff>380999</xdr:colOff>
      <xdr:row>30</xdr:row>
      <xdr:rowOff>9526</xdr:rowOff>
    </xdr:to>
    <xdr:pic>
      <xdr:nvPicPr>
        <xdr:cNvPr id="12" name="图片 11">
          <a:extLst>
            <a:ext uri="{FF2B5EF4-FFF2-40B4-BE49-F238E27FC236}">
              <a16:creationId xmlns:a16="http://schemas.microsoft.com/office/drawing/2014/main" id="{8554FDAA-8E29-4F7F-9AE8-4CC4DA7013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2525157">
          <a:off x="7686674" y="5181601"/>
          <a:ext cx="3048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7</xdr:col>
      <xdr:colOff>400049</xdr:colOff>
      <xdr:row>15</xdr:row>
      <xdr:rowOff>0</xdr:rowOff>
    </xdr:from>
    <xdr:to>
      <xdr:col>7</xdr:col>
      <xdr:colOff>472049</xdr:colOff>
      <xdr:row>23</xdr:row>
      <xdr:rowOff>165000</xdr:rowOff>
    </xdr:to>
    <xdr:sp macro="" textlink="">
      <xdr:nvSpPr>
        <xdr:cNvPr id="13" name="箭头: 上 12">
          <a:extLst>
            <a:ext uri="{FF2B5EF4-FFF2-40B4-BE49-F238E27FC236}">
              <a16:creationId xmlns:a16="http://schemas.microsoft.com/office/drawing/2014/main" id="{111323ED-2C4D-4EF3-B592-9AD014BCF449}"/>
            </a:ext>
          </a:extLst>
        </xdr:cNvPr>
        <xdr:cNvSpPr/>
      </xdr:nvSpPr>
      <xdr:spPr>
        <a:xfrm>
          <a:off x="5238749" y="2714625"/>
          <a:ext cx="72000" cy="1612800"/>
        </a:xfrm>
        <a:prstGeom prst="upArrow">
          <a:avLst/>
        </a:prstGeom>
        <a:solidFill>
          <a:srgbClr val="00B0F0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>
            <a:ln>
              <a:noFill/>
            </a:ln>
            <a:solidFill>
              <a:schemeClr val="bg2"/>
            </a:solidFill>
          </a:endParaRPr>
        </a:p>
      </xdr:txBody>
    </xdr:sp>
    <xdr:clientData/>
  </xdr:twoCellAnchor>
  <xdr:twoCellAnchor>
    <xdr:from>
      <xdr:col>8</xdr:col>
      <xdr:colOff>600074</xdr:colOff>
      <xdr:row>14</xdr:row>
      <xdr:rowOff>171450</xdr:rowOff>
    </xdr:from>
    <xdr:to>
      <xdr:col>8</xdr:col>
      <xdr:colOff>672074</xdr:colOff>
      <xdr:row>17</xdr:row>
      <xdr:rowOff>168525</xdr:rowOff>
    </xdr:to>
    <xdr:sp macro="" textlink="">
      <xdr:nvSpPr>
        <xdr:cNvPr id="14" name="箭头: 下 13">
          <a:extLst>
            <a:ext uri="{FF2B5EF4-FFF2-40B4-BE49-F238E27FC236}">
              <a16:creationId xmlns:a16="http://schemas.microsoft.com/office/drawing/2014/main" id="{E7D64560-968F-4234-8EA5-0765537F5A67}"/>
            </a:ext>
          </a:extLst>
        </xdr:cNvPr>
        <xdr:cNvSpPr/>
      </xdr:nvSpPr>
      <xdr:spPr>
        <a:xfrm>
          <a:off x="6134099" y="2705100"/>
          <a:ext cx="72000" cy="540000"/>
        </a:xfrm>
        <a:prstGeom prst="downArrow">
          <a:avLst/>
        </a:prstGeom>
        <a:solidFill>
          <a:schemeClr val="bg2">
            <a:lumMod val="50000"/>
          </a:schemeClr>
        </a:solidFill>
        <a:ln>
          <a:noFill/>
        </a:ln>
        <a:effectLst>
          <a:outerShdw blurRad="76200" dist="12700" dir="2700000" sy="-23000" kx="-800400" algn="bl" rotWithShape="0">
            <a:prstClr val="black">
              <a:alpha val="2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666750</xdr:colOff>
      <xdr:row>2</xdr:row>
      <xdr:rowOff>152399</xdr:rowOff>
    </xdr:from>
    <xdr:to>
      <xdr:col>14</xdr:col>
      <xdr:colOff>0</xdr:colOff>
      <xdr:row>28</xdr:row>
      <xdr:rowOff>180974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FE7E2C92-8863-4950-AFB0-6F00E4A85DF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66674</xdr:colOff>
      <xdr:row>27</xdr:row>
      <xdr:rowOff>66675</xdr:rowOff>
    </xdr:from>
    <xdr:to>
      <xdr:col>9</xdr:col>
      <xdr:colOff>19049</xdr:colOff>
      <xdr:row>28</xdr:row>
      <xdr:rowOff>85725</xdr:rowOff>
    </xdr:to>
    <xdr:sp macro="" textlink="">
      <xdr:nvSpPr>
        <xdr:cNvPr id="4" name="矩形: 圆角 3">
          <a:extLst>
            <a:ext uri="{FF2B5EF4-FFF2-40B4-BE49-F238E27FC236}">
              <a16:creationId xmlns:a16="http://schemas.microsoft.com/office/drawing/2014/main" id="{347728FA-9491-4F3F-9233-B167057F1B3B}"/>
            </a:ext>
          </a:extLst>
        </xdr:cNvPr>
        <xdr:cNvSpPr/>
      </xdr:nvSpPr>
      <xdr:spPr>
        <a:xfrm>
          <a:off x="4019549" y="4953000"/>
          <a:ext cx="2009775" cy="200025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zh-CN" altLang="en-US" sz="900">
              <a:solidFill>
                <a:schemeClr val="tx1">
                  <a:lumMod val="85000"/>
                  <a:lumOff val="15000"/>
                </a:schemeClr>
              </a:solidFill>
              <a:latin typeface="华文细黑" panose="02010600040101010101" pitchFamily="2" charset="-122"/>
              <a:ea typeface="华文细黑" panose="02010600040101010101" pitchFamily="2" charset="-122"/>
            </a:rPr>
            <a:t>资料来源：美国国会预算管理局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3</xdr:row>
      <xdr:rowOff>0</xdr:rowOff>
    </xdr:from>
    <xdr:to>
      <xdr:col>16</xdr:col>
      <xdr:colOff>0</xdr:colOff>
      <xdr:row>31</xdr:row>
      <xdr:rowOff>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3A1ED8E7-CFA7-49AC-A8F8-FF5C5CF5DDC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57150</xdr:colOff>
      <xdr:row>29</xdr:row>
      <xdr:rowOff>104775</xdr:rowOff>
    </xdr:from>
    <xdr:to>
      <xdr:col>11</xdr:col>
      <xdr:colOff>638175</xdr:colOff>
      <xdr:row>30</xdr:row>
      <xdr:rowOff>104775</xdr:rowOff>
    </xdr:to>
    <xdr:sp macro="" textlink="">
      <xdr:nvSpPr>
        <xdr:cNvPr id="3" name="矩形: 圆角 2">
          <a:extLst>
            <a:ext uri="{FF2B5EF4-FFF2-40B4-BE49-F238E27FC236}">
              <a16:creationId xmlns:a16="http://schemas.microsoft.com/office/drawing/2014/main" id="{E00626B3-4BCB-422C-9646-068A4F0B25FC}"/>
            </a:ext>
          </a:extLst>
        </xdr:cNvPr>
        <xdr:cNvSpPr/>
      </xdr:nvSpPr>
      <xdr:spPr>
        <a:xfrm>
          <a:off x="5476875" y="5353050"/>
          <a:ext cx="2638425" cy="180975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zh-CN" altLang="en-US" sz="900">
              <a:solidFill>
                <a:schemeClr val="tx1">
                  <a:lumMod val="85000"/>
                  <a:lumOff val="15000"/>
                </a:schemeClr>
              </a:solidFill>
              <a:latin typeface="华文细黑" panose="02010600040101010101" pitchFamily="2" charset="-122"/>
              <a:ea typeface="华文细黑" panose="02010600040101010101" pitchFamily="2" charset="-122"/>
            </a:rPr>
            <a:t>数据来源：美国国会预算管理局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3</xdr:row>
      <xdr:rowOff>0</xdr:rowOff>
    </xdr:from>
    <xdr:to>
      <xdr:col>15</xdr:col>
      <xdr:colOff>0</xdr:colOff>
      <xdr:row>31</xdr:row>
      <xdr:rowOff>0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12AA3793-523E-47E0-B5A9-7172F7CE2D1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5</xdr:row>
      <xdr:rowOff>9524</xdr:rowOff>
    </xdr:from>
    <xdr:to>
      <xdr:col>14</xdr:col>
      <xdr:colOff>0</xdr:colOff>
      <xdr:row>33</xdr:row>
      <xdr:rowOff>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C7088FBC-2FCA-4F95-94E9-68346C66D47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38100</xdr:colOff>
      <xdr:row>31</xdr:row>
      <xdr:rowOff>57149</xdr:rowOff>
    </xdr:from>
    <xdr:to>
      <xdr:col>8</xdr:col>
      <xdr:colOff>609600</xdr:colOff>
      <xdr:row>32</xdr:row>
      <xdr:rowOff>114299</xdr:rowOff>
    </xdr:to>
    <xdr:sp macro="" textlink="">
      <xdr:nvSpPr>
        <xdr:cNvPr id="3" name="矩形 2">
          <a:extLst>
            <a:ext uri="{FF2B5EF4-FFF2-40B4-BE49-F238E27FC236}">
              <a16:creationId xmlns:a16="http://schemas.microsoft.com/office/drawing/2014/main" id="{BE63FFA9-130E-4877-AE77-7697773D3231}"/>
            </a:ext>
          </a:extLst>
        </xdr:cNvPr>
        <xdr:cNvSpPr/>
      </xdr:nvSpPr>
      <xdr:spPr>
        <a:xfrm>
          <a:off x="3819525" y="5667374"/>
          <a:ext cx="1943100" cy="2381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zh-CN" altLang="en-US" sz="900">
              <a:solidFill>
                <a:schemeClr val="tx1">
                  <a:lumMod val="85000"/>
                  <a:lumOff val="15000"/>
                </a:schemeClr>
              </a:solidFill>
              <a:latin typeface="黑体" panose="02010609060101010101" pitchFamily="49" charset="-122"/>
              <a:ea typeface="黑体" panose="02010609060101010101" pitchFamily="49" charset="-122"/>
            </a:rPr>
            <a:t>数据来源：老蛮评论微信公众号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ExcelPro_FT_鳍色">
      <a:dk1>
        <a:sysClr val="windowText" lastClr="000000"/>
      </a:dk1>
      <a:lt1>
        <a:sysClr val="window" lastClr="FFFFFF"/>
      </a:lt1>
      <a:dk2>
        <a:srgbClr val="69A2AB"/>
      </a:dk2>
      <a:lt2>
        <a:srgbClr val="FEF1E0"/>
      </a:lt2>
      <a:accent1>
        <a:srgbClr val="BB6E82"/>
      </a:accent1>
      <a:accent2>
        <a:srgbClr val="EBAFAF"/>
      </a:accent2>
      <a:accent3>
        <a:srgbClr val="D66B6A"/>
      </a:accent3>
      <a:accent4>
        <a:srgbClr val="D8A79B"/>
      </a:accent4>
      <a:accent5>
        <a:srgbClr val="B07979"/>
      </a:accent5>
      <a:accent6>
        <a:srgbClr val="CCC2C2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DA7FF2-3BB8-4CDE-9824-A5E5D8003EE0}">
  <sheetPr codeName="Sheet1"/>
  <dimension ref="B2:V385"/>
  <sheetViews>
    <sheetView showGridLines="0" workbookViewId="0"/>
  </sheetViews>
  <sheetFormatPr defaultColWidth="9" defaultRowHeight="13.2" x14ac:dyDescent="0.25"/>
  <cols>
    <col min="1" max="1" width="4.21875" style="13" customWidth="1"/>
    <col min="2" max="2" width="9.77734375" style="11" bestFit="1" customWidth="1"/>
    <col min="3" max="3" width="13.109375" style="12" bestFit="1" customWidth="1"/>
    <col min="4" max="4" width="9" style="13"/>
    <col min="5" max="6" width="9.109375" style="12" customWidth="1"/>
    <col min="7" max="10" width="9.109375" style="13" customWidth="1"/>
    <col min="11" max="16384" width="9" style="13"/>
  </cols>
  <sheetData>
    <row r="2" spans="2:22" x14ac:dyDescent="0.25">
      <c r="B2" s="11" t="s">
        <v>4</v>
      </c>
      <c r="E2" s="12" t="s">
        <v>5</v>
      </c>
      <c r="G2" s="12" t="s">
        <v>6</v>
      </c>
      <c r="H2" s="12"/>
      <c r="I2" s="12" t="s">
        <v>7</v>
      </c>
      <c r="J2" s="12"/>
      <c r="K2" s="12"/>
      <c r="L2" s="12"/>
      <c r="M2" s="12"/>
      <c r="N2" s="12"/>
      <c r="O2" s="12"/>
      <c r="P2" s="12"/>
      <c r="Q2" s="12"/>
      <c r="R2" s="12"/>
      <c r="S2" s="12"/>
    </row>
    <row r="3" spans="2:22" x14ac:dyDescent="0.25">
      <c r="B3" s="11" t="s">
        <v>0</v>
      </c>
      <c r="C3" s="12" t="s">
        <v>1</v>
      </c>
      <c r="E3" s="12" t="s">
        <v>2</v>
      </c>
      <c r="F3" s="12" t="s">
        <v>3</v>
      </c>
      <c r="G3" s="12" t="s">
        <v>2</v>
      </c>
      <c r="H3" s="12" t="s">
        <v>3</v>
      </c>
      <c r="I3" s="12" t="s">
        <v>2</v>
      </c>
      <c r="J3" s="12" t="s">
        <v>3</v>
      </c>
      <c r="K3" s="12"/>
      <c r="L3" s="12"/>
      <c r="M3" s="12"/>
      <c r="N3" s="12"/>
      <c r="O3" s="12"/>
      <c r="P3" s="12"/>
      <c r="Q3" s="12"/>
      <c r="R3" s="12"/>
      <c r="S3" s="12"/>
    </row>
    <row r="4" spans="2:22" x14ac:dyDescent="0.25">
      <c r="B4" s="11">
        <v>42736</v>
      </c>
      <c r="C4" s="14">
        <v>2.9030500000000004E-2</v>
      </c>
      <c r="D4" s="14">
        <v>3.5915000000000002E-2</v>
      </c>
      <c r="E4" s="12">
        <v>0</v>
      </c>
      <c r="F4" s="15">
        <v>2.9030500000000004E-2</v>
      </c>
      <c r="G4" s="12">
        <v>78</v>
      </c>
      <c r="H4" s="15">
        <v>4.4186666666666666E-2</v>
      </c>
      <c r="I4" s="12">
        <v>110</v>
      </c>
      <c r="J4" s="14">
        <v>3.9003999999999997E-2</v>
      </c>
      <c r="K4" s="12"/>
      <c r="L4" s="12"/>
      <c r="M4" s="12"/>
      <c r="N4" s="12"/>
      <c r="O4" s="12"/>
      <c r="P4" s="12"/>
      <c r="Q4" s="12"/>
      <c r="R4" s="12"/>
      <c r="S4" s="12"/>
      <c r="U4" s="12"/>
      <c r="V4" s="15"/>
    </row>
    <row r="5" spans="2:22" x14ac:dyDescent="0.25">
      <c r="B5" s="11">
        <v>42737</v>
      </c>
      <c r="C5" s="14">
        <v>3.7078833333333332E-2</v>
      </c>
      <c r="D5" s="14">
        <v>3.7910166666666661E-2</v>
      </c>
      <c r="E5" s="12">
        <v>77</v>
      </c>
      <c r="F5" s="15">
        <v>2.9030500000000004E-2</v>
      </c>
      <c r="G5" s="12">
        <v>110</v>
      </c>
      <c r="H5" s="15">
        <v>4.4186666666666666E-2</v>
      </c>
      <c r="I5" s="12">
        <v>160</v>
      </c>
      <c r="J5" s="15">
        <v>0.05</v>
      </c>
      <c r="K5" s="12"/>
      <c r="L5" s="12"/>
      <c r="M5" s="12"/>
      <c r="N5" s="12"/>
      <c r="O5" s="12"/>
      <c r="P5" s="12"/>
      <c r="Q5" s="12"/>
      <c r="R5" s="12"/>
      <c r="S5" s="12"/>
      <c r="U5" s="12"/>
      <c r="V5" s="15"/>
    </row>
    <row r="6" spans="2:22" x14ac:dyDescent="0.25">
      <c r="B6" s="11">
        <v>42742</v>
      </c>
      <c r="C6" s="14">
        <v>3.6013333333333328E-2</v>
      </c>
      <c r="D6" s="14">
        <v>3.9341000000000001E-2</v>
      </c>
      <c r="E6" s="13"/>
      <c r="F6" s="13"/>
      <c r="G6" s="12"/>
      <c r="H6" s="12"/>
      <c r="I6" s="12">
        <v>135</v>
      </c>
      <c r="J6" s="14">
        <f>(J5-J4)/2+J4</f>
        <v>4.4502E-2</v>
      </c>
      <c r="K6" s="12"/>
      <c r="L6" s="12"/>
      <c r="M6" s="12"/>
      <c r="N6" s="12"/>
      <c r="O6" s="12"/>
      <c r="P6" s="12"/>
      <c r="Q6" s="12"/>
      <c r="R6" s="12"/>
      <c r="S6" s="12"/>
      <c r="U6" s="12"/>
      <c r="V6" s="15"/>
    </row>
    <row r="7" spans="2:22" x14ac:dyDescent="0.25">
      <c r="B7" s="11">
        <v>42743</v>
      </c>
      <c r="C7" s="14">
        <v>3.6329799999999995E-2</v>
      </c>
      <c r="D7" s="14">
        <v>3.8393333333333335E-2</v>
      </c>
      <c r="E7" s="13"/>
      <c r="F7" s="13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U7" s="12"/>
      <c r="V7" s="15"/>
    </row>
    <row r="8" spans="2:22" x14ac:dyDescent="0.25">
      <c r="B8" s="11">
        <v>42744</v>
      </c>
      <c r="C8" s="14">
        <v>3.6656500000000002E-2</v>
      </c>
      <c r="D8" s="14">
        <v>3.4769799999999997E-2</v>
      </c>
      <c r="E8" s="13"/>
      <c r="F8" s="13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U8" s="12"/>
      <c r="V8" s="14"/>
    </row>
    <row r="9" spans="2:22" x14ac:dyDescent="0.25">
      <c r="B9" s="11">
        <v>42749</v>
      </c>
      <c r="C9" s="14">
        <v>3.7696E-2</v>
      </c>
      <c r="D9" s="14">
        <v>3.8781857142857146E-2</v>
      </c>
      <c r="E9" s="13"/>
      <c r="F9" s="13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U9" s="12"/>
      <c r="V9" s="15"/>
    </row>
    <row r="10" spans="2:22" x14ac:dyDescent="0.25">
      <c r="B10" s="11">
        <v>42750</v>
      </c>
      <c r="C10" s="14">
        <v>3.6046666666666664E-2</v>
      </c>
      <c r="D10" s="14">
        <v>4.0190999999999998E-2</v>
      </c>
    </row>
    <row r="11" spans="2:22" x14ac:dyDescent="0.25">
      <c r="B11" s="11">
        <v>42751</v>
      </c>
      <c r="C11" s="14">
        <v>3.8103499999999998E-2</v>
      </c>
      <c r="D11" s="14">
        <v>4.0730000000000002E-2</v>
      </c>
    </row>
    <row r="12" spans="2:22" x14ac:dyDescent="0.25">
      <c r="B12" s="11">
        <v>42755</v>
      </c>
      <c r="C12" s="14">
        <v>3.5251999999999999E-2</v>
      </c>
      <c r="D12" s="14">
        <v>3.6700249999999997E-2</v>
      </c>
    </row>
    <row r="13" spans="2:22" x14ac:dyDescent="0.25">
      <c r="B13" s="11">
        <v>42769</v>
      </c>
      <c r="C13" s="14">
        <v>3.9376799999999997E-2</v>
      </c>
    </row>
    <row r="14" spans="2:22" x14ac:dyDescent="0.25">
      <c r="B14" s="11">
        <v>42770</v>
      </c>
      <c r="C14" s="14">
        <v>3.8468999999999996E-2</v>
      </c>
    </row>
    <row r="15" spans="2:22" x14ac:dyDescent="0.25">
      <c r="B15" s="11">
        <v>42772</v>
      </c>
      <c r="C15" s="14">
        <v>3.9378857142857139E-2</v>
      </c>
    </row>
    <row r="16" spans="2:22" x14ac:dyDescent="0.25">
      <c r="B16" s="11">
        <v>42777</v>
      </c>
      <c r="C16" s="14">
        <v>3.9846000000000006E-2</v>
      </c>
    </row>
    <row r="17" spans="2:3" x14ac:dyDescent="0.25">
      <c r="B17" s="11">
        <v>42778</v>
      </c>
      <c r="C17" s="14">
        <v>3.0293E-2</v>
      </c>
    </row>
    <row r="18" spans="2:3" x14ac:dyDescent="0.25">
      <c r="B18" s="11">
        <v>42779</v>
      </c>
      <c r="C18" s="14">
        <v>3.8292714285714284E-2</v>
      </c>
    </row>
    <row r="19" spans="2:3" x14ac:dyDescent="0.25">
      <c r="B19" s="11">
        <v>42784</v>
      </c>
      <c r="C19" s="14">
        <v>3.9065500000000003E-2</v>
      </c>
    </row>
    <row r="20" spans="2:3" x14ac:dyDescent="0.25">
      <c r="B20" s="11">
        <v>42785</v>
      </c>
      <c r="C20" s="14">
        <v>3.5915000000000002E-2</v>
      </c>
    </row>
    <row r="21" spans="2:3" x14ac:dyDescent="0.25">
      <c r="B21" s="11">
        <v>42786</v>
      </c>
      <c r="C21" s="14">
        <v>3.7910166666666661E-2</v>
      </c>
    </row>
    <row r="22" spans="2:3" x14ac:dyDescent="0.25">
      <c r="B22" s="11">
        <v>42790</v>
      </c>
      <c r="C22" s="14">
        <v>3.9341000000000001E-2</v>
      </c>
    </row>
    <row r="23" spans="2:3" x14ac:dyDescent="0.25">
      <c r="B23" s="11">
        <v>42791</v>
      </c>
      <c r="C23" s="14">
        <v>3.8393333333333335E-2</v>
      </c>
    </row>
    <row r="24" spans="2:3" x14ac:dyDescent="0.25">
      <c r="B24" s="11">
        <v>42792</v>
      </c>
      <c r="C24" s="14">
        <v>3.4769799999999997E-2</v>
      </c>
    </row>
    <row r="25" spans="2:3" x14ac:dyDescent="0.25">
      <c r="B25" s="11">
        <v>42793</v>
      </c>
      <c r="C25" s="14">
        <v>3.8781857142857146E-2</v>
      </c>
    </row>
    <row r="26" spans="2:3" x14ac:dyDescent="0.25">
      <c r="B26" s="11">
        <v>42797</v>
      </c>
      <c r="C26" s="14">
        <v>4.0190999999999998E-2</v>
      </c>
    </row>
    <row r="27" spans="2:3" x14ac:dyDescent="0.25">
      <c r="B27" s="11">
        <v>42798</v>
      </c>
      <c r="C27" s="14">
        <v>4.0730000000000002E-2</v>
      </c>
    </row>
    <row r="28" spans="2:3" x14ac:dyDescent="0.25">
      <c r="B28" s="11">
        <v>42799</v>
      </c>
      <c r="C28" s="14">
        <v>3.6700249999999997E-2</v>
      </c>
    </row>
    <row r="29" spans="2:3" x14ac:dyDescent="0.25">
      <c r="B29" s="11">
        <v>42800</v>
      </c>
      <c r="C29" s="14">
        <v>3.9629833333333336E-2</v>
      </c>
    </row>
    <row r="30" spans="2:3" x14ac:dyDescent="0.25">
      <c r="B30" s="11">
        <v>42804</v>
      </c>
      <c r="C30" s="14">
        <v>4.1177499999999999E-2</v>
      </c>
    </row>
    <row r="31" spans="2:3" x14ac:dyDescent="0.25">
      <c r="B31" s="11">
        <v>42805</v>
      </c>
      <c r="C31" s="14">
        <v>3.8684249999999996E-2</v>
      </c>
    </row>
    <row r="32" spans="2:3" x14ac:dyDescent="0.25">
      <c r="B32" s="11">
        <v>42806</v>
      </c>
      <c r="C32" s="14">
        <v>3.9399666666666666E-2</v>
      </c>
    </row>
    <row r="33" spans="2:3" x14ac:dyDescent="0.25">
      <c r="B33" s="11">
        <v>42807</v>
      </c>
      <c r="C33" s="14">
        <v>3.7188499999999999E-2</v>
      </c>
    </row>
    <row r="34" spans="2:3" x14ac:dyDescent="0.25">
      <c r="B34" s="11">
        <v>42811</v>
      </c>
      <c r="C34" s="14">
        <v>4.1951333333333334E-2</v>
      </c>
    </row>
    <row r="35" spans="2:3" x14ac:dyDescent="0.25">
      <c r="B35" s="11">
        <v>42812</v>
      </c>
      <c r="C35" s="14">
        <v>3.9211000000000003E-2</v>
      </c>
    </row>
    <row r="36" spans="2:3" x14ac:dyDescent="0.25">
      <c r="B36" s="11">
        <v>42813</v>
      </c>
      <c r="C36" s="14">
        <v>3.7190500000000001E-2</v>
      </c>
    </row>
    <row r="37" spans="2:3" x14ac:dyDescent="0.25">
      <c r="B37" s="11">
        <v>42814</v>
      </c>
      <c r="C37" s="14">
        <v>4.0839999999999994E-2</v>
      </c>
    </row>
    <row r="38" spans="2:3" x14ac:dyDescent="0.25">
      <c r="B38" s="11">
        <v>42818</v>
      </c>
      <c r="C38" s="14">
        <v>4.0172666666666669E-2</v>
      </c>
    </row>
    <row r="39" spans="2:3" x14ac:dyDescent="0.25">
      <c r="B39" s="11">
        <v>42819</v>
      </c>
      <c r="C39" s="14">
        <v>3.7780500000000002E-2</v>
      </c>
    </row>
    <row r="40" spans="2:3" x14ac:dyDescent="0.25">
      <c r="B40" s="11">
        <v>42821</v>
      </c>
      <c r="C40" s="14">
        <v>4.0267999999999998E-2</v>
      </c>
    </row>
    <row r="41" spans="2:3" x14ac:dyDescent="0.25">
      <c r="B41" s="11">
        <v>42827</v>
      </c>
      <c r="C41" s="14">
        <v>3.5936599999999999E-2</v>
      </c>
    </row>
    <row r="42" spans="2:3" x14ac:dyDescent="0.25">
      <c r="B42" s="11">
        <v>42828</v>
      </c>
      <c r="C42" s="14">
        <v>3.7689E-2</v>
      </c>
    </row>
    <row r="43" spans="2:3" x14ac:dyDescent="0.25">
      <c r="B43" s="11">
        <v>42829</v>
      </c>
      <c r="C43" s="14">
        <v>4.07135E-2</v>
      </c>
    </row>
    <row r="44" spans="2:3" x14ac:dyDescent="0.25">
      <c r="B44" s="11">
        <v>42832</v>
      </c>
      <c r="C44" s="14">
        <v>4.1214666666666663E-2</v>
      </c>
    </row>
    <row r="45" spans="2:3" x14ac:dyDescent="0.25">
      <c r="B45" s="11">
        <v>42833</v>
      </c>
      <c r="C45" s="14">
        <v>3.7704999999999995E-2</v>
      </c>
    </row>
    <row r="46" spans="2:3" x14ac:dyDescent="0.25">
      <c r="B46" s="11">
        <v>42834</v>
      </c>
      <c r="C46" s="14">
        <v>3.9154000000000001E-2</v>
      </c>
    </row>
    <row r="47" spans="2:3" x14ac:dyDescent="0.25">
      <c r="B47" s="11">
        <v>42835</v>
      </c>
      <c r="C47" s="14">
        <v>4.072775E-2</v>
      </c>
    </row>
    <row r="48" spans="2:3" x14ac:dyDescent="0.25">
      <c r="B48" s="11">
        <v>42839</v>
      </c>
      <c r="C48" s="14">
        <v>4.3208500000000004E-2</v>
      </c>
    </row>
    <row r="49" spans="2:3" x14ac:dyDescent="0.25">
      <c r="B49" s="11">
        <v>42840</v>
      </c>
      <c r="C49" s="14">
        <v>3.9710333333333334E-2</v>
      </c>
    </row>
    <row r="50" spans="2:3" x14ac:dyDescent="0.25">
      <c r="B50" s="11">
        <v>42841</v>
      </c>
      <c r="C50" s="14">
        <v>3.8489500000000003E-2</v>
      </c>
    </row>
    <row r="51" spans="2:3" x14ac:dyDescent="0.25">
      <c r="B51" s="11">
        <v>42842</v>
      </c>
      <c r="C51" s="14">
        <v>4.0982600000000001E-2</v>
      </c>
    </row>
    <row r="52" spans="2:3" x14ac:dyDescent="0.25">
      <c r="B52" s="11">
        <v>42843</v>
      </c>
      <c r="C52" s="14">
        <v>3.8948999999999998E-2</v>
      </c>
    </row>
    <row r="53" spans="2:3" x14ac:dyDescent="0.25">
      <c r="B53" s="11">
        <v>42846</v>
      </c>
      <c r="C53" s="14">
        <v>4.3027999999999997E-2</v>
      </c>
    </row>
    <row r="54" spans="2:3" x14ac:dyDescent="0.25">
      <c r="B54" s="11">
        <v>42847</v>
      </c>
      <c r="C54" s="14">
        <v>4.1145333333333332E-2</v>
      </c>
    </row>
    <row r="55" spans="2:3" x14ac:dyDescent="0.25">
      <c r="B55" s="11">
        <v>42848</v>
      </c>
      <c r="C55" s="14">
        <v>4.0469666666666668E-2</v>
      </c>
    </row>
    <row r="56" spans="2:3" x14ac:dyDescent="0.25">
      <c r="B56" s="11">
        <v>42849</v>
      </c>
      <c r="C56" s="14">
        <v>3.9168000000000001E-2</v>
      </c>
    </row>
    <row r="57" spans="2:3" x14ac:dyDescent="0.25">
      <c r="B57" s="11">
        <v>42855</v>
      </c>
      <c r="C57" s="14">
        <v>4.1345E-2</v>
      </c>
    </row>
    <row r="58" spans="2:3" x14ac:dyDescent="0.25">
      <c r="B58" s="11">
        <v>42856</v>
      </c>
      <c r="C58" s="14">
        <v>4.193266666666666E-2</v>
      </c>
    </row>
    <row r="59" spans="2:3" x14ac:dyDescent="0.25">
      <c r="B59" s="11">
        <v>42860</v>
      </c>
      <c r="C59" s="14">
        <v>4.4186666666666666E-2</v>
      </c>
    </row>
    <row r="60" spans="2:3" x14ac:dyDescent="0.25">
      <c r="B60" s="11">
        <v>42861</v>
      </c>
      <c r="C60" s="14">
        <v>4.1262333333333324E-2</v>
      </c>
    </row>
    <row r="61" spans="2:3" x14ac:dyDescent="0.25">
      <c r="B61" s="11">
        <v>42862</v>
      </c>
      <c r="C61" s="14">
        <v>4.1793500000000004E-2</v>
      </c>
    </row>
    <row r="62" spans="2:3" x14ac:dyDescent="0.25">
      <c r="B62" s="11">
        <v>42863</v>
      </c>
      <c r="C62" s="14">
        <v>4.2740333333333325E-2</v>
      </c>
    </row>
    <row r="63" spans="2:3" x14ac:dyDescent="0.25">
      <c r="B63" s="11">
        <v>42868</v>
      </c>
      <c r="C63" s="14">
        <v>4.1624666666666664E-2</v>
      </c>
    </row>
    <row r="64" spans="2:3" x14ac:dyDescent="0.25">
      <c r="B64" s="11">
        <v>42869</v>
      </c>
      <c r="C64" s="14">
        <v>4.0834999999999996E-2</v>
      </c>
    </row>
    <row r="65" spans="2:3" x14ac:dyDescent="0.25">
      <c r="B65" s="11">
        <v>42870</v>
      </c>
      <c r="C65" s="14">
        <v>4.2953400000000003E-2</v>
      </c>
    </row>
    <row r="66" spans="2:3" x14ac:dyDescent="0.25">
      <c r="B66" s="11">
        <v>42875</v>
      </c>
      <c r="C66" s="14">
        <v>3.9620000000000002E-2</v>
      </c>
    </row>
    <row r="67" spans="2:3" x14ac:dyDescent="0.25">
      <c r="B67" s="11">
        <v>42876</v>
      </c>
      <c r="C67" s="14">
        <v>4.3143750000000002E-2</v>
      </c>
    </row>
    <row r="68" spans="2:3" x14ac:dyDescent="0.25">
      <c r="B68" s="11">
        <v>42877</v>
      </c>
      <c r="C68" s="14">
        <v>4.2745166666666667E-2</v>
      </c>
    </row>
    <row r="69" spans="2:3" x14ac:dyDescent="0.25">
      <c r="B69" s="11">
        <v>42883</v>
      </c>
      <c r="C69" s="14">
        <v>4.3064999999999999E-2</v>
      </c>
    </row>
    <row r="70" spans="2:3" x14ac:dyDescent="0.25">
      <c r="B70" s="11">
        <v>42884</v>
      </c>
      <c r="C70" s="14">
        <v>4.3343333333333331E-2</v>
      </c>
    </row>
    <row r="71" spans="2:3" x14ac:dyDescent="0.25">
      <c r="B71" s="11">
        <v>42889</v>
      </c>
      <c r="C71" s="14">
        <v>4.3156666666666663E-2</v>
      </c>
    </row>
    <row r="72" spans="2:3" x14ac:dyDescent="0.25">
      <c r="B72" s="11">
        <v>42890</v>
      </c>
      <c r="C72" s="14">
        <v>4.1153833333333327E-2</v>
      </c>
    </row>
    <row r="73" spans="2:3" x14ac:dyDescent="0.25">
      <c r="B73" s="11">
        <v>42891</v>
      </c>
      <c r="C73" s="14">
        <v>4.3079800000000008E-2</v>
      </c>
    </row>
    <row r="74" spans="2:3" x14ac:dyDescent="0.25">
      <c r="B74" s="11">
        <v>42896</v>
      </c>
      <c r="C74" s="14">
        <v>4.1127333333333335E-2</v>
      </c>
    </row>
    <row r="75" spans="2:3" x14ac:dyDescent="0.25">
      <c r="B75" s="11">
        <v>42897</v>
      </c>
      <c r="C75" s="14">
        <v>4.0980800000000005E-2</v>
      </c>
    </row>
    <row r="76" spans="2:3" x14ac:dyDescent="0.25">
      <c r="B76" s="11">
        <v>42898</v>
      </c>
      <c r="C76" s="14">
        <v>4.2121000000000006E-2</v>
      </c>
    </row>
    <row r="77" spans="2:3" x14ac:dyDescent="0.25">
      <c r="B77" s="11">
        <v>42899</v>
      </c>
      <c r="C77" s="14">
        <v>3.9763E-2</v>
      </c>
    </row>
    <row r="78" spans="2:3" x14ac:dyDescent="0.25">
      <c r="B78" s="11">
        <v>42903</v>
      </c>
      <c r="C78" s="14">
        <v>4.0322250000000004E-2</v>
      </c>
    </row>
    <row r="79" spans="2:3" x14ac:dyDescent="0.25">
      <c r="B79" s="11">
        <v>42904</v>
      </c>
      <c r="C79" s="14">
        <v>4.1359750000000001E-2</v>
      </c>
    </row>
    <row r="80" spans="2:3" x14ac:dyDescent="0.25">
      <c r="B80" s="11">
        <v>42905</v>
      </c>
      <c r="C80" s="14">
        <v>4.1452333333333334E-2</v>
      </c>
    </row>
    <row r="81" spans="2:3" x14ac:dyDescent="0.25">
      <c r="B81" s="11">
        <v>42910</v>
      </c>
      <c r="C81" s="14">
        <v>4.0557666666666672E-2</v>
      </c>
    </row>
    <row r="82" spans="2:3" x14ac:dyDescent="0.25">
      <c r="B82" s="11">
        <v>42911</v>
      </c>
      <c r="C82" s="14">
        <v>3.4348999999999998E-2</v>
      </c>
    </row>
    <row r="83" spans="2:3" x14ac:dyDescent="0.25">
      <c r="B83" s="11">
        <v>42912</v>
      </c>
      <c r="C83" s="14">
        <v>3.9003999999999997E-2</v>
      </c>
    </row>
    <row r="84" spans="2:3" x14ac:dyDescent="0.25">
      <c r="B84" s="11">
        <v>42913</v>
      </c>
      <c r="C84" s="14"/>
    </row>
    <row r="85" spans="2:3" x14ac:dyDescent="0.25">
      <c r="B85" s="11">
        <v>42914</v>
      </c>
      <c r="C85" s="14"/>
    </row>
    <row r="86" spans="2:3" x14ac:dyDescent="0.25">
      <c r="B86" s="11">
        <v>42915</v>
      </c>
      <c r="C86" s="14"/>
    </row>
    <row r="87" spans="2:3" x14ac:dyDescent="0.25">
      <c r="B87" s="11">
        <v>42916</v>
      </c>
      <c r="C87" s="14"/>
    </row>
    <row r="88" spans="2:3" x14ac:dyDescent="0.25">
      <c r="B88" s="11">
        <v>42920</v>
      </c>
      <c r="C88" s="14"/>
    </row>
    <row r="89" spans="2:3" x14ac:dyDescent="0.25">
      <c r="B89" s="11">
        <v>42921</v>
      </c>
      <c r="C89" s="14"/>
    </row>
    <row r="90" spans="2:3" x14ac:dyDescent="0.25">
      <c r="B90" s="11">
        <v>42922</v>
      </c>
      <c r="C90" s="14"/>
    </row>
    <row r="91" spans="2:3" x14ac:dyDescent="0.25">
      <c r="B91" s="11">
        <v>42923</v>
      </c>
      <c r="C91" s="14"/>
    </row>
    <row r="92" spans="2:3" x14ac:dyDescent="0.25">
      <c r="B92" s="11">
        <v>42924</v>
      </c>
      <c r="C92" s="14"/>
    </row>
    <row r="93" spans="2:3" x14ac:dyDescent="0.25">
      <c r="B93" s="11">
        <v>42925</v>
      </c>
      <c r="C93" s="14"/>
    </row>
    <row r="94" spans="2:3" x14ac:dyDescent="0.25">
      <c r="B94" s="11">
        <v>42926</v>
      </c>
      <c r="C94" s="14"/>
    </row>
    <row r="95" spans="2:3" x14ac:dyDescent="0.25">
      <c r="B95" s="11">
        <v>42927</v>
      </c>
      <c r="C95" s="14"/>
    </row>
    <row r="96" spans="2:3" x14ac:dyDescent="0.25">
      <c r="B96" s="11">
        <v>42928</v>
      </c>
      <c r="C96" s="14"/>
    </row>
    <row r="97" spans="2:3" x14ac:dyDescent="0.25">
      <c r="B97" s="11">
        <v>42929</v>
      </c>
      <c r="C97" s="14"/>
    </row>
    <row r="98" spans="2:3" x14ac:dyDescent="0.25">
      <c r="B98" s="11">
        <v>42930</v>
      </c>
      <c r="C98" s="14"/>
    </row>
    <row r="99" spans="2:3" x14ac:dyDescent="0.25">
      <c r="B99" s="11">
        <v>42931</v>
      </c>
      <c r="C99" s="14"/>
    </row>
    <row r="100" spans="2:3" x14ac:dyDescent="0.25">
      <c r="B100" s="11">
        <v>42932</v>
      </c>
      <c r="C100" s="14"/>
    </row>
    <row r="101" spans="2:3" x14ac:dyDescent="0.25">
      <c r="B101" s="11">
        <v>42933</v>
      </c>
      <c r="C101" s="14"/>
    </row>
    <row r="102" spans="2:3" x14ac:dyDescent="0.25">
      <c r="B102" s="11">
        <v>42934</v>
      </c>
      <c r="C102" s="14"/>
    </row>
    <row r="103" spans="2:3" x14ac:dyDescent="0.25">
      <c r="B103" s="11">
        <v>42935</v>
      </c>
      <c r="C103" s="14"/>
    </row>
    <row r="104" spans="2:3" x14ac:dyDescent="0.25">
      <c r="B104" s="11">
        <v>42936</v>
      </c>
      <c r="C104" s="14"/>
    </row>
    <row r="105" spans="2:3" x14ac:dyDescent="0.25">
      <c r="B105" s="11">
        <v>42937</v>
      </c>
      <c r="C105" s="14"/>
    </row>
    <row r="106" spans="2:3" x14ac:dyDescent="0.25">
      <c r="B106" s="11">
        <v>42938</v>
      </c>
      <c r="C106" s="14"/>
    </row>
    <row r="107" spans="2:3" x14ac:dyDescent="0.25">
      <c r="B107" s="11">
        <v>42939</v>
      </c>
      <c r="C107" s="14"/>
    </row>
    <row r="108" spans="2:3" x14ac:dyDescent="0.25">
      <c r="B108" s="11">
        <v>42940</v>
      </c>
      <c r="C108" s="14"/>
    </row>
    <row r="109" spans="2:3" x14ac:dyDescent="0.25">
      <c r="B109" s="11">
        <v>42941</v>
      </c>
      <c r="C109" s="14"/>
    </row>
    <row r="110" spans="2:3" x14ac:dyDescent="0.25">
      <c r="B110" s="11">
        <v>42942</v>
      </c>
      <c r="C110" s="14"/>
    </row>
    <row r="111" spans="2:3" x14ac:dyDescent="0.25">
      <c r="B111" s="11">
        <v>42943</v>
      </c>
      <c r="C111" s="14"/>
    </row>
    <row r="112" spans="2:3" x14ac:dyDescent="0.25">
      <c r="B112" s="11">
        <v>42944</v>
      </c>
      <c r="C112" s="14"/>
    </row>
    <row r="113" spans="2:3" x14ac:dyDescent="0.25">
      <c r="B113" s="11">
        <v>42945</v>
      </c>
      <c r="C113" s="14"/>
    </row>
    <row r="114" spans="2:3" x14ac:dyDescent="0.25">
      <c r="B114" s="11">
        <v>42946</v>
      </c>
      <c r="C114" s="14"/>
    </row>
    <row r="115" spans="2:3" x14ac:dyDescent="0.25">
      <c r="B115" s="11">
        <v>42947</v>
      </c>
      <c r="C115" s="14"/>
    </row>
    <row r="116" spans="2:3" x14ac:dyDescent="0.25">
      <c r="B116" s="11">
        <v>42948</v>
      </c>
      <c r="C116" s="14"/>
    </row>
    <row r="117" spans="2:3" x14ac:dyDescent="0.25">
      <c r="B117" s="11">
        <v>42949</v>
      </c>
      <c r="C117" s="14"/>
    </row>
    <row r="118" spans="2:3" x14ac:dyDescent="0.25">
      <c r="B118" s="11">
        <v>42950</v>
      </c>
      <c r="C118" s="14"/>
    </row>
    <row r="119" spans="2:3" x14ac:dyDescent="0.25">
      <c r="B119" s="11">
        <v>42951</v>
      </c>
      <c r="C119" s="14"/>
    </row>
    <row r="120" spans="2:3" x14ac:dyDescent="0.25">
      <c r="B120" s="11">
        <v>42952</v>
      </c>
      <c r="C120" s="14"/>
    </row>
    <row r="121" spans="2:3" x14ac:dyDescent="0.25">
      <c r="B121" s="11">
        <v>42953</v>
      </c>
      <c r="C121" s="14"/>
    </row>
    <row r="122" spans="2:3" x14ac:dyDescent="0.25">
      <c r="B122" s="11">
        <v>42954</v>
      </c>
      <c r="C122" s="14"/>
    </row>
    <row r="123" spans="2:3" x14ac:dyDescent="0.25">
      <c r="B123" s="11">
        <v>42955</v>
      </c>
      <c r="C123" s="14"/>
    </row>
    <row r="124" spans="2:3" x14ac:dyDescent="0.25">
      <c r="B124" s="11">
        <v>42956</v>
      </c>
      <c r="C124" s="14"/>
    </row>
    <row r="125" spans="2:3" x14ac:dyDescent="0.25">
      <c r="B125" s="11">
        <v>42957</v>
      </c>
      <c r="C125" s="14"/>
    </row>
    <row r="126" spans="2:3" x14ac:dyDescent="0.25">
      <c r="B126" s="11">
        <v>42958</v>
      </c>
      <c r="C126" s="14"/>
    </row>
    <row r="127" spans="2:3" x14ac:dyDescent="0.25">
      <c r="B127" s="11">
        <v>42959</v>
      </c>
      <c r="C127" s="14"/>
    </row>
    <row r="128" spans="2:3" x14ac:dyDescent="0.25">
      <c r="B128" s="11">
        <v>42960</v>
      </c>
      <c r="C128" s="14"/>
    </row>
    <row r="129" spans="2:3" x14ac:dyDescent="0.25">
      <c r="B129" s="11">
        <v>42961</v>
      </c>
      <c r="C129" s="14"/>
    </row>
    <row r="130" spans="2:3" x14ac:dyDescent="0.25">
      <c r="B130" s="11">
        <v>42962</v>
      </c>
      <c r="C130" s="14"/>
    </row>
    <row r="131" spans="2:3" x14ac:dyDescent="0.25">
      <c r="B131" s="11">
        <v>42963</v>
      </c>
      <c r="C131" s="14"/>
    </row>
    <row r="132" spans="2:3" x14ac:dyDescent="0.25">
      <c r="B132" s="11">
        <v>42964</v>
      </c>
      <c r="C132" s="14"/>
    </row>
    <row r="133" spans="2:3" x14ac:dyDescent="0.25">
      <c r="B133" s="11">
        <v>42965</v>
      </c>
      <c r="C133" s="14"/>
    </row>
    <row r="134" spans="2:3" x14ac:dyDescent="0.25">
      <c r="B134" s="11">
        <v>42966</v>
      </c>
      <c r="C134" s="14"/>
    </row>
    <row r="135" spans="2:3" x14ac:dyDescent="0.25">
      <c r="B135" s="11">
        <v>42967</v>
      </c>
      <c r="C135" s="14"/>
    </row>
    <row r="136" spans="2:3" x14ac:dyDescent="0.25">
      <c r="B136" s="11">
        <v>42968</v>
      </c>
      <c r="C136" s="14"/>
    </row>
    <row r="137" spans="2:3" x14ac:dyDescent="0.25">
      <c r="B137" s="11">
        <v>42969</v>
      </c>
      <c r="C137" s="14"/>
    </row>
    <row r="138" spans="2:3" x14ac:dyDescent="0.25">
      <c r="B138" s="11">
        <v>42970</v>
      </c>
      <c r="C138" s="14"/>
    </row>
    <row r="139" spans="2:3" x14ac:dyDescent="0.25">
      <c r="B139" s="11">
        <v>42971</v>
      </c>
      <c r="C139" s="14"/>
    </row>
    <row r="140" spans="2:3" x14ac:dyDescent="0.25">
      <c r="B140" s="11">
        <v>42972</v>
      </c>
      <c r="C140" s="14"/>
    </row>
    <row r="141" spans="2:3" x14ac:dyDescent="0.25">
      <c r="B141" s="11">
        <v>42973</v>
      </c>
      <c r="C141" s="14"/>
    </row>
    <row r="142" spans="2:3" x14ac:dyDescent="0.25">
      <c r="B142" s="11">
        <v>42974</v>
      </c>
      <c r="C142" s="14"/>
    </row>
    <row r="143" spans="2:3" x14ac:dyDescent="0.25">
      <c r="B143" s="11">
        <v>42975</v>
      </c>
      <c r="C143" s="14"/>
    </row>
    <row r="144" spans="2:3" x14ac:dyDescent="0.25">
      <c r="B144" s="11">
        <v>42976</v>
      </c>
      <c r="C144" s="14"/>
    </row>
    <row r="145" spans="2:3" x14ac:dyDescent="0.25">
      <c r="B145" s="11">
        <v>42977</v>
      </c>
      <c r="C145" s="14"/>
    </row>
    <row r="146" spans="2:3" x14ac:dyDescent="0.25">
      <c r="B146" s="11">
        <v>42978</v>
      </c>
      <c r="C146" s="14"/>
    </row>
    <row r="147" spans="2:3" x14ac:dyDescent="0.25">
      <c r="B147" s="11">
        <v>42979</v>
      </c>
      <c r="C147" s="14"/>
    </row>
    <row r="148" spans="2:3" x14ac:dyDescent="0.25">
      <c r="B148" s="11">
        <v>42980</v>
      </c>
      <c r="C148" s="14"/>
    </row>
    <row r="149" spans="2:3" x14ac:dyDescent="0.25">
      <c r="B149" s="11">
        <v>42981</v>
      </c>
      <c r="C149" s="14"/>
    </row>
    <row r="150" spans="2:3" x14ac:dyDescent="0.25">
      <c r="B150" s="11">
        <v>42982</v>
      </c>
      <c r="C150" s="14"/>
    </row>
    <row r="151" spans="2:3" x14ac:dyDescent="0.25">
      <c r="B151" s="11">
        <v>42983</v>
      </c>
      <c r="C151" s="14"/>
    </row>
    <row r="152" spans="2:3" x14ac:dyDescent="0.25">
      <c r="B152" s="11">
        <v>42984</v>
      </c>
      <c r="C152" s="14"/>
    </row>
    <row r="153" spans="2:3" x14ac:dyDescent="0.25">
      <c r="B153" s="11">
        <v>42985</v>
      </c>
      <c r="C153" s="14"/>
    </row>
    <row r="154" spans="2:3" x14ac:dyDescent="0.25">
      <c r="B154" s="11">
        <v>42986</v>
      </c>
      <c r="C154" s="14"/>
    </row>
    <row r="155" spans="2:3" x14ac:dyDescent="0.25">
      <c r="B155" s="11">
        <v>42987</v>
      </c>
      <c r="C155" s="14"/>
    </row>
    <row r="156" spans="2:3" x14ac:dyDescent="0.25">
      <c r="B156" s="11">
        <v>42988</v>
      </c>
      <c r="C156" s="14"/>
    </row>
    <row r="157" spans="2:3" x14ac:dyDescent="0.25">
      <c r="B157" s="11">
        <v>42989</v>
      </c>
      <c r="C157" s="14"/>
    </row>
    <row r="158" spans="2:3" x14ac:dyDescent="0.25">
      <c r="B158" s="11">
        <v>42990</v>
      </c>
      <c r="C158" s="14"/>
    </row>
    <row r="159" spans="2:3" x14ac:dyDescent="0.25">
      <c r="B159" s="11">
        <v>42991</v>
      </c>
      <c r="C159" s="14"/>
    </row>
    <row r="160" spans="2:3" x14ac:dyDescent="0.25">
      <c r="B160" s="11">
        <v>42992</v>
      </c>
      <c r="C160" s="14"/>
    </row>
    <row r="161" spans="2:3" x14ac:dyDescent="0.25">
      <c r="B161" s="11">
        <v>42993</v>
      </c>
      <c r="C161" s="14"/>
    </row>
    <row r="162" spans="2:3" x14ac:dyDescent="0.25">
      <c r="B162" s="11">
        <v>42994</v>
      </c>
      <c r="C162" s="14"/>
    </row>
    <row r="163" spans="2:3" x14ac:dyDescent="0.25">
      <c r="B163" s="11">
        <v>42995</v>
      </c>
      <c r="C163" s="14"/>
    </row>
    <row r="164" spans="2:3" x14ac:dyDescent="0.25">
      <c r="C164" s="14"/>
    </row>
    <row r="165" spans="2:3" x14ac:dyDescent="0.25">
      <c r="C165" s="14"/>
    </row>
    <row r="166" spans="2:3" x14ac:dyDescent="0.25">
      <c r="C166" s="14"/>
    </row>
    <row r="167" spans="2:3" x14ac:dyDescent="0.25">
      <c r="C167" s="14"/>
    </row>
    <row r="168" spans="2:3" x14ac:dyDescent="0.25">
      <c r="C168" s="14"/>
    </row>
    <row r="169" spans="2:3" x14ac:dyDescent="0.25">
      <c r="C169" s="14"/>
    </row>
    <row r="170" spans="2:3" x14ac:dyDescent="0.25">
      <c r="C170" s="14"/>
    </row>
    <row r="171" spans="2:3" x14ac:dyDescent="0.25">
      <c r="C171" s="14"/>
    </row>
    <row r="172" spans="2:3" x14ac:dyDescent="0.25">
      <c r="C172" s="14"/>
    </row>
    <row r="173" spans="2:3" x14ac:dyDescent="0.25">
      <c r="C173" s="14"/>
    </row>
    <row r="174" spans="2:3" x14ac:dyDescent="0.25">
      <c r="C174" s="14"/>
    </row>
    <row r="175" spans="2:3" x14ac:dyDescent="0.25">
      <c r="C175" s="14"/>
    </row>
    <row r="176" spans="2:3" x14ac:dyDescent="0.25">
      <c r="C176" s="14"/>
    </row>
    <row r="177" spans="3:3" x14ac:dyDescent="0.25">
      <c r="C177" s="14"/>
    </row>
    <row r="178" spans="3:3" x14ac:dyDescent="0.25">
      <c r="C178" s="14"/>
    </row>
    <row r="179" spans="3:3" x14ac:dyDescent="0.25">
      <c r="C179" s="14"/>
    </row>
    <row r="180" spans="3:3" x14ac:dyDescent="0.25">
      <c r="C180" s="14"/>
    </row>
    <row r="181" spans="3:3" x14ac:dyDescent="0.25">
      <c r="C181" s="14"/>
    </row>
    <row r="182" spans="3:3" x14ac:dyDescent="0.25">
      <c r="C182" s="14"/>
    </row>
    <row r="183" spans="3:3" x14ac:dyDescent="0.25">
      <c r="C183" s="14"/>
    </row>
    <row r="184" spans="3:3" x14ac:dyDescent="0.25">
      <c r="C184" s="14"/>
    </row>
    <row r="185" spans="3:3" x14ac:dyDescent="0.25">
      <c r="C185" s="14"/>
    </row>
    <row r="186" spans="3:3" x14ac:dyDescent="0.25">
      <c r="C186" s="14"/>
    </row>
    <row r="187" spans="3:3" x14ac:dyDescent="0.25">
      <c r="C187" s="14"/>
    </row>
    <row r="188" spans="3:3" x14ac:dyDescent="0.25">
      <c r="C188" s="14"/>
    </row>
    <row r="189" spans="3:3" x14ac:dyDescent="0.25">
      <c r="C189" s="14"/>
    </row>
    <row r="190" spans="3:3" x14ac:dyDescent="0.25">
      <c r="C190" s="14"/>
    </row>
    <row r="191" spans="3:3" x14ac:dyDescent="0.25">
      <c r="C191" s="14"/>
    </row>
    <row r="192" spans="3:3" x14ac:dyDescent="0.25">
      <c r="C192" s="14"/>
    </row>
    <row r="193" spans="3:3" x14ac:dyDescent="0.25">
      <c r="C193" s="14"/>
    </row>
    <row r="194" spans="3:3" x14ac:dyDescent="0.25">
      <c r="C194" s="14"/>
    </row>
    <row r="195" spans="3:3" x14ac:dyDescent="0.25">
      <c r="C195" s="14"/>
    </row>
    <row r="196" spans="3:3" x14ac:dyDescent="0.25">
      <c r="C196" s="14"/>
    </row>
    <row r="197" spans="3:3" x14ac:dyDescent="0.25">
      <c r="C197" s="14"/>
    </row>
    <row r="198" spans="3:3" x14ac:dyDescent="0.25">
      <c r="C198" s="14"/>
    </row>
    <row r="199" spans="3:3" x14ac:dyDescent="0.25">
      <c r="C199" s="14"/>
    </row>
    <row r="200" spans="3:3" x14ac:dyDescent="0.25">
      <c r="C200" s="14"/>
    </row>
    <row r="201" spans="3:3" x14ac:dyDescent="0.25">
      <c r="C201" s="14"/>
    </row>
    <row r="202" spans="3:3" x14ac:dyDescent="0.25">
      <c r="C202" s="14"/>
    </row>
    <row r="203" spans="3:3" x14ac:dyDescent="0.25">
      <c r="C203" s="14"/>
    </row>
    <row r="204" spans="3:3" x14ac:dyDescent="0.25">
      <c r="C204" s="14"/>
    </row>
    <row r="205" spans="3:3" x14ac:dyDescent="0.25">
      <c r="C205" s="14"/>
    </row>
    <row r="206" spans="3:3" x14ac:dyDescent="0.25">
      <c r="C206" s="14"/>
    </row>
    <row r="207" spans="3:3" x14ac:dyDescent="0.25">
      <c r="C207" s="14"/>
    </row>
    <row r="208" spans="3:3" x14ac:dyDescent="0.25">
      <c r="C208" s="14"/>
    </row>
    <row r="209" spans="3:3" x14ac:dyDescent="0.25">
      <c r="C209" s="14"/>
    </row>
    <row r="210" spans="3:3" x14ac:dyDescent="0.25">
      <c r="C210" s="14"/>
    </row>
    <row r="211" spans="3:3" x14ac:dyDescent="0.25">
      <c r="C211" s="14"/>
    </row>
    <row r="212" spans="3:3" x14ac:dyDescent="0.25">
      <c r="C212" s="14"/>
    </row>
    <row r="213" spans="3:3" x14ac:dyDescent="0.25">
      <c r="C213" s="14"/>
    </row>
    <row r="214" spans="3:3" x14ac:dyDescent="0.25">
      <c r="C214" s="14"/>
    </row>
    <row r="215" spans="3:3" x14ac:dyDescent="0.25">
      <c r="C215" s="14"/>
    </row>
    <row r="216" spans="3:3" x14ac:dyDescent="0.25">
      <c r="C216" s="14"/>
    </row>
    <row r="217" spans="3:3" x14ac:dyDescent="0.25">
      <c r="C217" s="14"/>
    </row>
    <row r="218" spans="3:3" x14ac:dyDescent="0.25">
      <c r="C218" s="14"/>
    </row>
    <row r="219" spans="3:3" x14ac:dyDescent="0.25">
      <c r="C219" s="14"/>
    </row>
    <row r="220" spans="3:3" x14ac:dyDescent="0.25">
      <c r="C220" s="14"/>
    </row>
    <row r="221" spans="3:3" x14ac:dyDescent="0.25">
      <c r="C221" s="14"/>
    </row>
    <row r="222" spans="3:3" x14ac:dyDescent="0.25">
      <c r="C222" s="14"/>
    </row>
    <row r="223" spans="3:3" x14ac:dyDescent="0.25">
      <c r="C223" s="14"/>
    </row>
    <row r="224" spans="3:3" x14ac:dyDescent="0.25">
      <c r="C224" s="14"/>
    </row>
    <row r="225" spans="3:3" x14ac:dyDescent="0.25">
      <c r="C225" s="14"/>
    </row>
    <row r="226" spans="3:3" x14ac:dyDescent="0.25">
      <c r="C226" s="14"/>
    </row>
    <row r="227" spans="3:3" x14ac:dyDescent="0.25">
      <c r="C227" s="14"/>
    </row>
    <row r="228" spans="3:3" x14ac:dyDescent="0.25">
      <c r="C228" s="14"/>
    </row>
    <row r="229" spans="3:3" x14ac:dyDescent="0.25">
      <c r="C229" s="14"/>
    </row>
    <row r="230" spans="3:3" x14ac:dyDescent="0.25">
      <c r="C230" s="14"/>
    </row>
    <row r="231" spans="3:3" x14ac:dyDescent="0.25">
      <c r="C231" s="14"/>
    </row>
    <row r="232" spans="3:3" x14ac:dyDescent="0.25">
      <c r="C232" s="14"/>
    </row>
    <row r="233" spans="3:3" x14ac:dyDescent="0.25">
      <c r="C233" s="14"/>
    </row>
    <row r="234" spans="3:3" x14ac:dyDescent="0.25">
      <c r="C234" s="14"/>
    </row>
    <row r="235" spans="3:3" x14ac:dyDescent="0.25">
      <c r="C235" s="14"/>
    </row>
    <row r="236" spans="3:3" x14ac:dyDescent="0.25">
      <c r="C236" s="14"/>
    </row>
    <row r="237" spans="3:3" x14ac:dyDescent="0.25">
      <c r="C237" s="14"/>
    </row>
    <row r="238" spans="3:3" x14ac:dyDescent="0.25">
      <c r="C238" s="14"/>
    </row>
    <row r="239" spans="3:3" x14ac:dyDescent="0.25">
      <c r="C239" s="14"/>
    </row>
    <row r="240" spans="3:3" x14ac:dyDescent="0.25">
      <c r="C240" s="14"/>
    </row>
    <row r="241" spans="3:3" x14ac:dyDescent="0.25">
      <c r="C241" s="14"/>
    </row>
    <row r="242" spans="3:3" x14ac:dyDescent="0.25">
      <c r="C242" s="14"/>
    </row>
    <row r="243" spans="3:3" x14ac:dyDescent="0.25">
      <c r="C243" s="14"/>
    </row>
    <row r="244" spans="3:3" x14ac:dyDescent="0.25">
      <c r="C244" s="14"/>
    </row>
    <row r="245" spans="3:3" x14ac:dyDescent="0.25">
      <c r="C245" s="14"/>
    </row>
    <row r="246" spans="3:3" x14ac:dyDescent="0.25">
      <c r="C246" s="14"/>
    </row>
    <row r="247" spans="3:3" x14ac:dyDescent="0.25">
      <c r="C247" s="14"/>
    </row>
    <row r="248" spans="3:3" x14ac:dyDescent="0.25">
      <c r="C248" s="14"/>
    </row>
    <row r="249" spans="3:3" x14ac:dyDescent="0.25">
      <c r="C249" s="14"/>
    </row>
    <row r="250" spans="3:3" x14ac:dyDescent="0.25">
      <c r="C250" s="14"/>
    </row>
    <row r="251" spans="3:3" x14ac:dyDescent="0.25">
      <c r="C251" s="14"/>
    </row>
    <row r="252" spans="3:3" x14ac:dyDescent="0.25">
      <c r="C252" s="14"/>
    </row>
    <row r="253" spans="3:3" x14ac:dyDescent="0.25">
      <c r="C253" s="14"/>
    </row>
    <row r="254" spans="3:3" x14ac:dyDescent="0.25">
      <c r="C254" s="14"/>
    </row>
    <row r="255" spans="3:3" x14ac:dyDescent="0.25">
      <c r="C255" s="14"/>
    </row>
    <row r="256" spans="3:3" x14ac:dyDescent="0.25">
      <c r="C256" s="14"/>
    </row>
    <row r="257" spans="3:3" x14ac:dyDescent="0.25">
      <c r="C257" s="14"/>
    </row>
    <row r="258" spans="3:3" x14ac:dyDescent="0.25">
      <c r="C258" s="14"/>
    </row>
    <row r="259" spans="3:3" x14ac:dyDescent="0.25">
      <c r="C259" s="14"/>
    </row>
    <row r="260" spans="3:3" x14ac:dyDescent="0.25">
      <c r="C260" s="14"/>
    </row>
    <row r="261" spans="3:3" x14ac:dyDescent="0.25">
      <c r="C261" s="14"/>
    </row>
    <row r="262" spans="3:3" x14ac:dyDescent="0.25">
      <c r="C262" s="14"/>
    </row>
    <row r="263" spans="3:3" x14ac:dyDescent="0.25">
      <c r="C263" s="14"/>
    </row>
    <row r="264" spans="3:3" x14ac:dyDescent="0.25">
      <c r="C264" s="14"/>
    </row>
    <row r="265" spans="3:3" x14ac:dyDescent="0.25">
      <c r="C265" s="14"/>
    </row>
    <row r="266" spans="3:3" x14ac:dyDescent="0.25">
      <c r="C266" s="14"/>
    </row>
    <row r="267" spans="3:3" x14ac:dyDescent="0.25">
      <c r="C267" s="14"/>
    </row>
    <row r="268" spans="3:3" x14ac:dyDescent="0.25">
      <c r="C268" s="14"/>
    </row>
    <row r="269" spans="3:3" x14ac:dyDescent="0.25">
      <c r="C269" s="14"/>
    </row>
    <row r="270" spans="3:3" x14ac:dyDescent="0.25">
      <c r="C270" s="14"/>
    </row>
    <row r="271" spans="3:3" x14ac:dyDescent="0.25">
      <c r="C271" s="14"/>
    </row>
    <row r="272" spans="3:3" x14ac:dyDescent="0.25">
      <c r="C272" s="14"/>
    </row>
    <row r="273" spans="3:3" x14ac:dyDescent="0.25">
      <c r="C273" s="14"/>
    </row>
    <row r="274" spans="3:3" x14ac:dyDescent="0.25">
      <c r="C274" s="14"/>
    </row>
    <row r="275" spans="3:3" x14ac:dyDescent="0.25">
      <c r="C275" s="14"/>
    </row>
    <row r="276" spans="3:3" x14ac:dyDescent="0.25">
      <c r="C276" s="14"/>
    </row>
    <row r="277" spans="3:3" x14ac:dyDescent="0.25">
      <c r="C277" s="14"/>
    </row>
    <row r="278" spans="3:3" x14ac:dyDescent="0.25">
      <c r="C278" s="14"/>
    </row>
    <row r="279" spans="3:3" x14ac:dyDescent="0.25">
      <c r="C279" s="14"/>
    </row>
    <row r="280" spans="3:3" x14ac:dyDescent="0.25">
      <c r="C280" s="14"/>
    </row>
    <row r="281" spans="3:3" x14ac:dyDescent="0.25">
      <c r="C281" s="14"/>
    </row>
    <row r="282" spans="3:3" x14ac:dyDescent="0.25">
      <c r="C282" s="14"/>
    </row>
    <row r="283" spans="3:3" x14ac:dyDescent="0.25">
      <c r="C283" s="14"/>
    </row>
    <row r="284" spans="3:3" x14ac:dyDescent="0.25">
      <c r="C284" s="14"/>
    </row>
    <row r="285" spans="3:3" x14ac:dyDescent="0.25">
      <c r="C285" s="14"/>
    </row>
    <row r="286" spans="3:3" x14ac:dyDescent="0.25">
      <c r="C286" s="14"/>
    </row>
    <row r="287" spans="3:3" x14ac:dyDescent="0.25">
      <c r="C287" s="14"/>
    </row>
    <row r="288" spans="3:3" x14ac:dyDescent="0.25">
      <c r="C288" s="14"/>
    </row>
    <row r="289" spans="3:3" x14ac:dyDescent="0.25">
      <c r="C289" s="14"/>
    </row>
    <row r="290" spans="3:3" x14ac:dyDescent="0.25">
      <c r="C290" s="14"/>
    </row>
    <row r="291" spans="3:3" x14ac:dyDescent="0.25">
      <c r="C291" s="14"/>
    </row>
    <row r="292" spans="3:3" x14ac:dyDescent="0.25">
      <c r="C292" s="14"/>
    </row>
    <row r="293" spans="3:3" x14ac:dyDescent="0.25">
      <c r="C293" s="14"/>
    </row>
    <row r="294" spans="3:3" x14ac:dyDescent="0.25">
      <c r="C294" s="14"/>
    </row>
    <row r="295" spans="3:3" x14ac:dyDescent="0.25">
      <c r="C295" s="14"/>
    </row>
    <row r="296" spans="3:3" x14ac:dyDescent="0.25">
      <c r="C296" s="14"/>
    </row>
    <row r="297" spans="3:3" x14ac:dyDescent="0.25">
      <c r="C297" s="14"/>
    </row>
    <row r="298" spans="3:3" x14ac:dyDescent="0.25">
      <c r="C298" s="14"/>
    </row>
    <row r="299" spans="3:3" x14ac:dyDescent="0.25">
      <c r="C299" s="14"/>
    </row>
    <row r="300" spans="3:3" x14ac:dyDescent="0.25">
      <c r="C300" s="14"/>
    </row>
    <row r="301" spans="3:3" x14ac:dyDescent="0.25">
      <c r="C301" s="14"/>
    </row>
    <row r="302" spans="3:3" x14ac:dyDescent="0.25">
      <c r="C302" s="14"/>
    </row>
    <row r="303" spans="3:3" x14ac:dyDescent="0.25">
      <c r="C303" s="14"/>
    </row>
    <row r="304" spans="3:3" x14ac:dyDescent="0.25">
      <c r="C304" s="14"/>
    </row>
    <row r="305" spans="3:3" x14ac:dyDescent="0.25">
      <c r="C305" s="14"/>
    </row>
    <row r="306" spans="3:3" x14ac:dyDescent="0.25">
      <c r="C306" s="14"/>
    </row>
    <row r="307" spans="3:3" x14ac:dyDescent="0.25">
      <c r="C307" s="14"/>
    </row>
    <row r="308" spans="3:3" x14ac:dyDescent="0.25">
      <c r="C308" s="14"/>
    </row>
    <row r="309" spans="3:3" x14ac:dyDescent="0.25">
      <c r="C309" s="14"/>
    </row>
    <row r="310" spans="3:3" x14ac:dyDescent="0.25">
      <c r="C310" s="14"/>
    </row>
    <row r="311" spans="3:3" x14ac:dyDescent="0.25">
      <c r="C311" s="14"/>
    </row>
    <row r="312" spans="3:3" x14ac:dyDescent="0.25">
      <c r="C312" s="14"/>
    </row>
    <row r="313" spans="3:3" x14ac:dyDescent="0.25">
      <c r="C313" s="14"/>
    </row>
    <row r="314" spans="3:3" x14ac:dyDescent="0.25">
      <c r="C314" s="14"/>
    </row>
    <row r="315" spans="3:3" x14ac:dyDescent="0.25">
      <c r="C315" s="14"/>
    </row>
    <row r="316" spans="3:3" x14ac:dyDescent="0.25">
      <c r="C316" s="14"/>
    </row>
    <row r="317" spans="3:3" x14ac:dyDescent="0.25">
      <c r="C317" s="14"/>
    </row>
    <row r="318" spans="3:3" x14ac:dyDescent="0.25">
      <c r="C318" s="14"/>
    </row>
    <row r="319" spans="3:3" x14ac:dyDescent="0.25">
      <c r="C319" s="14"/>
    </row>
    <row r="320" spans="3:3" x14ac:dyDescent="0.25">
      <c r="C320" s="14"/>
    </row>
    <row r="321" spans="3:3" x14ac:dyDescent="0.25">
      <c r="C321" s="14"/>
    </row>
    <row r="322" spans="3:3" x14ac:dyDescent="0.25">
      <c r="C322" s="14"/>
    </row>
    <row r="323" spans="3:3" x14ac:dyDescent="0.25">
      <c r="C323" s="14"/>
    </row>
    <row r="324" spans="3:3" x14ac:dyDescent="0.25">
      <c r="C324" s="14"/>
    </row>
    <row r="325" spans="3:3" x14ac:dyDescent="0.25">
      <c r="C325" s="14"/>
    </row>
    <row r="326" spans="3:3" x14ac:dyDescent="0.25">
      <c r="C326" s="14"/>
    </row>
    <row r="327" spans="3:3" x14ac:dyDescent="0.25">
      <c r="C327" s="14"/>
    </row>
    <row r="328" spans="3:3" x14ac:dyDescent="0.25">
      <c r="C328" s="14"/>
    </row>
    <row r="329" spans="3:3" x14ac:dyDescent="0.25">
      <c r="C329" s="14"/>
    </row>
    <row r="330" spans="3:3" x14ac:dyDescent="0.25">
      <c r="C330" s="14"/>
    </row>
    <row r="331" spans="3:3" x14ac:dyDescent="0.25">
      <c r="C331" s="14"/>
    </row>
    <row r="332" spans="3:3" x14ac:dyDescent="0.25">
      <c r="C332" s="14"/>
    </row>
    <row r="333" spans="3:3" x14ac:dyDescent="0.25">
      <c r="C333" s="14"/>
    </row>
    <row r="334" spans="3:3" x14ac:dyDescent="0.25">
      <c r="C334" s="14"/>
    </row>
    <row r="335" spans="3:3" x14ac:dyDescent="0.25">
      <c r="C335" s="14"/>
    </row>
    <row r="336" spans="3:3" x14ac:dyDescent="0.25">
      <c r="C336" s="14"/>
    </row>
    <row r="337" spans="3:3" x14ac:dyDescent="0.25">
      <c r="C337" s="14"/>
    </row>
    <row r="338" spans="3:3" x14ac:dyDescent="0.25">
      <c r="C338" s="14"/>
    </row>
    <row r="339" spans="3:3" x14ac:dyDescent="0.25">
      <c r="C339" s="14"/>
    </row>
    <row r="340" spans="3:3" x14ac:dyDescent="0.25">
      <c r="C340" s="14"/>
    </row>
    <row r="341" spans="3:3" x14ac:dyDescent="0.25">
      <c r="C341" s="14"/>
    </row>
    <row r="342" spans="3:3" x14ac:dyDescent="0.25">
      <c r="C342" s="14"/>
    </row>
    <row r="343" spans="3:3" x14ac:dyDescent="0.25">
      <c r="C343" s="14"/>
    </row>
    <row r="344" spans="3:3" x14ac:dyDescent="0.25">
      <c r="C344" s="14"/>
    </row>
    <row r="345" spans="3:3" x14ac:dyDescent="0.25">
      <c r="C345" s="14"/>
    </row>
    <row r="346" spans="3:3" x14ac:dyDescent="0.25">
      <c r="C346" s="14"/>
    </row>
    <row r="347" spans="3:3" x14ac:dyDescent="0.25">
      <c r="C347" s="14"/>
    </row>
    <row r="348" spans="3:3" x14ac:dyDescent="0.25">
      <c r="C348" s="14"/>
    </row>
    <row r="349" spans="3:3" x14ac:dyDescent="0.25">
      <c r="C349" s="14"/>
    </row>
    <row r="350" spans="3:3" x14ac:dyDescent="0.25">
      <c r="C350" s="14"/>
    </row>
    <row r="351" spans="3:3" x14ac:dyDescent="0.25">
      <c r="C351" s="14"/>
    </row>
    <row r="352" spans="3:3" x14ac:dyDescent="0.25">
      <c r="C352" s="14"/>
    </row>
    <row r="353" spans="3:3" x14ac:dyDescent="0.25">
      <c r="C353" s="14"/>
    </row>
    <row r="354" spans="3:3" x14ac:dyDescent="0.25">
      <c r="C354" s="14"/>
    </row>
    <row r="355" spans="3:3" x14ac:dyDescent="0.25">
      <c r="C355" s="14"/>
    </row>
    <row r="356" spans="3:3" x14ac:dyDescent="0.25">
      <c r="C356" s="14"/>
    </row>
    <row r="357" spans="3:3" x14ac:dyDescent="0.25">
      <c r="C357" s="14"/>
    </row>
    <row r="358" spans="3:3" x14ac:dyDescent="0.25">
      <c r="C358" s="14"/>
    </row>
    <row r="359" spans="3:3" x14ac:dyDescent="0.25">
      <c r="C359" s="14"/>
    </row>
    <row r="360" spans="3:3" x14ac:dyDescent="0.25">
      <c r="C360" s="14"/>
    </row>
    <row r="361" spans="3:3" x14ac:dyDescent="0.25">
      <c r="C361" s="14"/>
    </row>
    <row r="362" spans="3:3" x14ac:dyDescent="0.25">
      <c r="C362" s="14"/>
    </row>
    <row r="363" spans="3:3" x14ac:dyDescent="0.25">
      <c r="C363" s="14"/>
    </row>
    <row r="364" spans="3:3" x14ac:dyDescent="0.25">
      <c r="C364" s="14"/>
    </row>
    <row r="365" spans="3:3" x14ac:dyDescent="0.25">
      <c r="C365" s="14"/>
    </row>
    <row r="366" spans="3:3" x14ac:dyDescent="0.25">
      <c r="C366" s="14"/>
    </row>
    <row r="367" spans="3:3" x14ac:dyDescent="0.25">
      <c r="C367" s="14"/>
    </row>
    <row r="368" spans="3:3" x14ac:dyDescent="0.25">
      <c r="C368" s="14"/>
    </row>
    <row r="369" spans="3:3" x14ac:dyDescent="0.25">
      <c r="C369" s="14"/>
    </row>
    <row r="370" spans="3:3" x14ac:dyDescent="0.25">
      <c r="C370" s="14"/>
    </row>
    <row r="371" spans="3:3" x14ac:dyDescent="0.25">
      <c r="C371" s="14"/>
    </row>
    <row r="372" spans="3:3" x14ac:dyDescent="0.25">
      <c r="C372" s="14"/>
    </row>
    <row r="373" spans="3:3" x14ac:dyDescent="0.25">
      <c r="C373" s="14"/>
    </row>
    <row r="374" spans="3:3" x14ac:dyDescent="0.25">
      <c r="C374" s="14"/>
    </row>
    <row r="375" spans="3:3" x14ac:dyDescent="0.25">
      <c r="C375" s="14"/>
    </row>
    <row r="376" spans="3:3" x14ac:dyDescent="0.25">
      <c r="C376" s="14"/>
    </row>
    <row r="377" spans="3:3" x14ac:dyDescent="0.25">
      <c r="C377" s="14"/>
    </row>
    <row r="378" spans="3:3" x14ac:dyDescent="0.25">
      <c r="C378" s="14"/>
    </row>
    <row r="379" spans="3:3" x14ac:dyDescent="0.25">
      <c r="C379" s="14"/>
    </row>
    <row r="380" spans="3:3" x14ac:dyDescent="0.25">
      <c r="C380" s="14"/>
    </row>
    <row r="381" spans="3:3" x14ac:dyDescent="0.25">
      <c r="C381" s="14"/>
    </row>
    <row r="382" spans="3:3" x14ac:dyDescent="0.25">
      <c r="C382" s="14"/>
    </row>
    <row r="383" spans="3:3" x14ac:dyDescent="0.25">
      <c r="C383" s="14"/>
    </row>
    <row r="384" spans="3:3" x14ac:dyDescent="0.25">
      <c r="C384" s="14"/>
    </row>
    <row r="385" spans="3:3" x14ac:dyDescent="0.25">
      <c r="C385" s="14"/>
    </row>
  </sheetData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1DF9D2-E991-44F6-A445-C146DFF94FD2}">
  <sheetPr codeName="Sheet2"/>
  <dimension ref="B2:E43"/>
  <sheetViews>
    <sheetView showGridLines="0" workbookViewId="0"/>
  </sheetViews>
  <sheetFormatPr defaultColWidth="9" defaultRowHeight="13.2" x14ac:dyDescent="0.25"/>
  <cols>
    <col min="1" max="1" width="4.6640625" style="1" customWidth="1"/>
    <col min="2" max="2" width="9.33203125" style="1" customWidth="1"/>
    <col min="3" max="5" width="9.6640625" style="1" customWidth="1"/>
    <col min="6" max="16384" width="9" style="1"/>
  </cols>
  <sheetData>
    <row r="2" spans="2:5" x14ac:dyDescent="0.25">
      <c r="B2" s="2" t="s">
        <v>8</v>
      </c>
    </row>
    <row r="3" spans="2:5" x14ac:dyDescent="0.25">
      <c r="B3" s="2" t="s">
        <v>9</v>
      </c>
      <c r="C3" s="3" t="s">
        <v>11</v>
      </c>
      <c r="D3" s="3" t="s">
        <v>12</v>
      </c>
      <c r="E3" s="3" t="s">
        <v>10</v>
      </c>
    </row>
    <row r="4" spans="2:5" x14ac:dyDescent="0.25">
      <c r="B4" s="5"/>
      <c r="C4" s="4">
        <v>207.3</v>
      </c>
      <c r="D4" s="4">
        <v>230.7</v>
      </c>
      <c r="E4" s="4">
        <v>-26.1</v>
      </c>
    </row>
    <row r="5" spans="2:5" x14ac:dyDescent="0.25">
      <c r="B5" s="5"/>
      <c r="C5" s="4">
        <v>230.8</v>
      </c>
      <c r="D5" s="4">
        <v>245.7</v>
      </c>
      <c r="E5" s="4">
        <v>-15.2</v>
      </c>
    </row>
    <row r="6" spans="2:5" x14ac:dyDescent="0.25">
      <c r="B6" s="5"/>
      <c r="C6" s="4">
        <v>263.2</v>
      </c>
      <c r="D6" s="4">
        <v>269.39999999999998</v>
      </c>
      <c r="E6" s="4">
        <v>-7.2</v>
      </c>
    </row>
    <row r="7" spans="2:5" x14ac:dyDescent="0.25">
      <c r="B7" s="5">
        <v>1975</v>
      </c>
      <c r="C7" s="4">
        <v>279.10000000000002</v>
      </c>
      <c r="D7" s="4">
        <v>332.3</v>
      </c>
      <c r="E7" s="4">
        <v>-54.1</v>
      </c>
    </row>
    <row r="8" spans="2:5" x14ac:dyDescent="0.25">
      <c r="B8" s="5"/>
      <c r="C8" s="4">
        <v>298.10000000000002</v>
      </c>
      <c r="D8" s="4">
        <v>371.8</v>
      </c>
      <c r="E8" s="4">
        <v>-69.400000000000006</v>
      </c>
    </row>
    <row r="9" spans="2:5" x14ac:dyDescent="0.25">
      <c r="B9" s="5"/>
      <c r="C9" s="4">
        <v>355.6</v>
      </c>
      <c r="D9" s="4">
        <v>409.2</v>
      </c>
      <c r="E9" s="4">
        <v>-49.9</v>
      </c>
    </row>
    <row r="10" spans="2:5" x14ac:dyDescent="0.25">
      <c r="B10" s="5"/>
      <c r="C10" s="4">
        <v>399.6</v>
      </c>
      <c r="D10" s="4">
        <v>458.7</v>
      </c>
      <c r="E10" s="4">
        <v>-55.4</v>
      </c>
    </row>
    <row r="11" spans="2:5" x14ac:dyDescent="0.25">
      <c r="B11" s="5"/>
      <c r="C11" s="4">
        <v>463.3</v>
      </c>
      <c r="D11" s="4">
        <v>504</v>
      </c>
      <c r="E11" s="4">
        <v>-39.6</v>
      </c>
    </row>
    <row r="12" spans="2:5" x14ac:dyDescent="0.25">
      <c r="B12" s="5">
        <v>1980</v>
      </c>
      <c r="C12" s="4">
        <v>517.1</v>
      </c>
      <c r="D12" s="4">
        <v>590.9</v>
      </c>
      <c r="E12" s="4">
        <v>-73.099999999999994</v>
      </c>
    </row>
    <row r="13" spans="2:5" x14ac:dyDescent="0.25">
      <c r="B13" s="5"/>
      <c r="C13" s="4">
        <v>599.29999999999995</v>
      </c>
      <c r="D13" s="4">
        <v>678.2</v>
      </c>
      <c r="E13" s="4">
        <v>-73.900000000000006</v>
      </c>
    </row>
    <row r="14" spans="2:5" x14ac:dyDescent="0.25">
      <c r="B14" s="5"/>
      <c r="C14" s="4">
        <v>617.79999999999995</v>
      </c>
      <c r="D14" s="4">
        <v>745.7</v>
      </c>
      <c r="E14" s="4">
        <v>-120.6</v>
      </c>
    </row>
    <row r="15" spans="2:5" x14ac:dyDescent="0.25">
      <c r="B15" s="5"/>
      <c r="C15" s="4">
        <v>600.6</v>
      </c>
      <c r="D15" s="4">
        <v>808.4</v>
      </c>
      <c r="E15" s="4">
        <v>-207.7</v>
      </c>
    </row>
    <row r="16" spans="2:5" x14ac:dyDescent="0.25">
      <c r="B16" s="5"/>
      <c r="C16" s="4">
        <v>666.4</v>
      </c>
      <c r="D16" s="4">
        <v>851.8</v>
      </c>
      <c r="E16" s="4">
        <v>-185.3</v>
      </c>
    </row>
    <row r="17" spans="2:5" x14ac:dyDescent="0.25">
      <c r="B17" s="5"/>
      <c r="C17" s="4">
        <v>734</v>
      </c>
      <c r="D17" s="4">
        <v>946.3</v>
      </c>
      <c r="E17" s="4">
        <v>-221.5</v>
      </c>
    </row>
    <row r="18" spans="2:5" x14ac:dyDescent="0.25">
      <c r="B18" s="5"/>
      <c r="C18" s="4">
        <v>769.2</v>
      </c>
      <c r="D18" s="4">
        <v>990.4</v>
      </c>
      <c r="E18" s="4">
        <v>-237.9</v>
      </c>
    </row>
    <row r="19" spans="2:5" x14ac:dyDescent="0.25">
      <c r="B19" s="5"/>
      <c r="C19" s="4">
        <v>854.3</v>
      </c>
      <c r="D19" s="4">
        <v>1004</v>
      </c>
      <c r="E19" s="4">
        <v>-168.4</v>
      </c>
    </row>
    <row r="20" spans="2:5" x14ac:dyDescent="0.25">
      <c r="B20" s="5"/>
      <c r="C20" s="4">
        <v>909.2</v>
      </c>
      <c r="D20" s="4">
        <v>1064.4000000000001</v>
      </c>
      <c r="E20" s="4">
        <v>-192.3</v>
      </c>
    </row>
    <row r="21" spans="2:5" x14ac:dyDescent="0.25">
      <c r="B21" s="5"/>
      <c r="C21" s="4">
        <v>991.1</v>
      </c>
      <c r="D21" s="4">
        <v>1143.7</v>
      </c>
      <c r="E21" s="4">
        <v>-205.4</v>
      </c>
    </row>
    <row r="22" spans="2:5" x14ac:dyDescent="0.25">
      <c r="B22" s="5">
        <v>1990</v>
      </c>
      <c r="C22" s="4">
        <v>1032</v>
      </c>
      <c r="D22" s="4">
        <v>1253</v>
      </c>
      <c r="E22" s="4">
        <v>-277.60000000000002</v>
      </c>
    </row>
    <row r="23" spans="2:5" x14ac:dyDescent="0.25">
      <c r="B23" s="5"/>
      <c r="C23" s="4">
        <v>1055</v>
      </c>
      <c r="D23" s="4">
        <v>1324.2</v>
      </c>
      <c r="E23" s="4">
        <v>-321.39999999999998</v>
      </c>
    </row>
    <row r="24" spans="2:5" x14ac:dyDescent="0.25">
      <c r="B24" s="5"/>
      <c r="C24" s="4">
        <v>1091.2</v>
      </c>
      <c r="D24" s="4">
        <v>1381.5</v>
      </c>
      <c r="E24" s="4">
        <v>-340.4</v>
      </c>
    </row>
    <row r="25" spans="2:5" x14ac:dyDescent="0.25">
      <c r="B25" s="5"/>
      <c r="C25" s="4">
        <v>1154.3</v>
      </c>
      <c r="D25" s="4">
        <v>1409.4</v>
      </c>
      <c r="E25" s="4">
        <v>-300.39999999999998</v>
      </c>
    </row>
    <row r="26" spans="2:5" x14ac:dyDescent="0.25">
      <c r="B26" s="5"/>
      <c r="C26" s="4">
        <v>1258.5999999999999</v>
      </c>
      <c r="D26" s="4">
        <v>1461.8</v>
      </c>
      <c r="E26" s="4">
        <v>-258.8</v>
      </c>
    </row>
    <row r="27" spans="2:5" x14ac:dyDescent="0.25">
      <c r="B27" s="5"/>
      <c r="C27" s="4">
        <v>1351.8</v>
      </c>
      <c r="D27" s="4">
        <v>1515.7</v>
      </c>
      <c r="E27" s="4">
        <v>-226.4</v>
      </c>
    </row>
    <row r="28" spans="2:5" x14ac:dyDescent="0.25">
      <c r="B28" s="5"/>
      <c r="C28" s="4">
        <v>1453.1</v>
      </c>
      <c r="D28" s="4">
        <v>1560.5</v>
      </c>
      <c r="E28" s="4">
        <v>-174</v>
      </c>
    </row>
    <row r="29" spans="2:5" x14ac:dyDescent="0.25">
      <c r="B29" s="5"/>
      <c r="C29" s="4">
        <v>1579.2</v>
      </c>
      <c r="D29" s="4">
        <v>1601.1</v>
      </c>
      <c r="E29" s="4">
        <v>-103.2</v>
      </c>
    </row>
    <row r="30" spans="2:5" x14ac:dyDescent="0.25">
      <c r="B30" s="5"/>
      <c r="C30" s="4">
        <v>1721.7</v>
      </c>
      <c r="D30" s="4">
        <v>1652.5</v>
      </c>
      <c r="E30" s="4">
        <v>-29.9</v>
      </c>
    </row>
    <row r="31" spans="2:5" x14ac:dyDescent="0.25">
      <c r="B31" s="5"/>
      <c r="C31" s="4">
        <v>1827.5</v>
      </c>
      <c r="D31" s="4">
        <v>1701.8</v>
      </c>
      <c r="E31" s="4">
        <v>1.9</v>
      </c>
    </row>
    <row r="32" spans="2:5" x14ac:dyDescent="0.25">
      <c r="B32" s="5">
        <v>2000</v>
      </c>
      <c r="C32" s="4">
        <v>2025.2</v>
      </c>
      <c r="D32" s="4">
        <v>1789</v>
      </c>
      <c r="E32" s="4">
        <v>86.4</v>
      </c>
    </row>
    <row r="33" spans="2:5" x14ac:dyDescent="0.25">
      <c r="B33" s="5"/>
      <c r="C33" s="4">
        <v>1991.1</v>
      </c>
      <c r="D33" s="4">
        <v>1862.8</v>
      </c>
      <c r="E33" s="4">
        <v>-32.4</v>
      </c>
    </row>
    <row r="34" spans="2:5" x14ac:dyDescent="0.25">
      <c r="B34" s="5"/>
      <c r="C34" s="4">
        <v>1853.1</v>
      </c>
      <c r="D34" s="4">
        <v>2010.9</v>
      </c>
      <c r="E34" s="4">
        <v>-317.39999999999998</v>
      </c>
    </row>
    <row r="35" spans="2:5" x14ac:dyDescent="0.25">
      <c r="B35" s="5"/>
      <c r="C35" s="4">
        <v>1782.3</v>
      </c>
      <c r="D35" s="4">
        <v>2159.9</v>
      </c>
      <c r="E35" s="4">
        <v>-538.4</v>
      </c>
    </row>
    <row r="36" spans="2:5" x14ac:dyDescent="0.25">
      <c r="B36" s="5"/>
      <c r="C36" s="4">
        <v>1880.1</v>
      </c>
      <c r="D36" s="4">
        <v>2292.8000000000002</v>
      </c>
      <c r="E36" s="4">
        <v>-568</v>
      </c>
    </row>
    <row r="37" spans="2:5" x14ac:dyDescent="0.25">
      <c r="B37" s="5"/>
      <c r="C37" s="4">
        <v>2153.6</v>
      </c>
      <c r="D37" s="4">
        <v>2472</v>
      </c>
      <c r="E37" s="4">
        <v>-493.6</v>
      </c>
    </row>
    <row r="38" spans="2:5" x14ac:dyDescent="0.25">
      <c r="B38" s="5"/>
      <c r="C38" s="4">
        <v>2406.9</v>
      </c>
      <c r="D38" s="4">
        <v>2655.1</v>
      </c>
      <c r="E38" s="4">
        <v>-434.5</v>
      </c>
    </row>
    <row r="39" spans="2:5" x14ac:dyDescent="0.25">
      <c r="B39" s="5"/>
      <c r="C39" s="4">
        <v>2568</v>
      </c>
      <c r="D39" s="4">
        <v>2728.7</v>
      </c>
      <c r="E39" s="4">
        <v>-342.2</v>
      </c>
    </row>
    <row r="40" spans="2:5" x14ac:dyDescent="0.25">
      <c r="B40" s="5"/>
      <c r="C40" s="4">
        <v>2524</v>
      </c>
      <c r="D40" s="4">
        <v>2982.5</v>
      </c>
      <c r="E40" s="4">
        <v>-641.79999999999995</v>
      </c>
    </row>
    <row r="41" spans="2:5" x14ac:dyDescent="0.25">
      <c r="B41" s="5"/>
      <c r="C41" s="4">
        <v>2105</v>
      </c>
      <c r="D41" s="4">
        <v>3517.7</v>
      </c>
      <c r="E41" s="4">
        <v>-1549.7</v>
      </c>
    </row>
    <row r="42" spans="2:5" x14ac:dyDescent="0.25">
      <c r="B42" s="5">
        <v>2010</v>
      </c>
      <c r="C42" s="4">
        <v>2162.6999999999998</v>
      </c>
      <c r="D42" s="4">
        <v>3456.2</v>
      </c>
      <c r="E42" s="4">
        <v>-1370.5</v>
      </c>
    </row>
    <row r="43" spans="2:5" x14ac:dyDescent="0.25">
      <c r="B43" s="5"/>
      <c r="C43" s="4">
        <v>2302.5</v>
      </c>
      <c r="D43" s="4">
        <v>3598.1</v>
      </c>
      <c r="E43" s="4">
        <v>-1362.8</v>
      </c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482369-5482-44F4-AE1F-19590330EE79}">
  <sheetPr codeName="Sheet3"/>
  <dimension ref="B2:G43"/>
  <sheetViews>
    <sheetView workbookViewId="0">
      <selection activeCell="K20" sqref="K20"/>
    </sheetView>
  </sheetViews>
  <sheetFormatPr defaultColWidth="9" defaultRowHeight="13.2" x14ac:dyDescent="0.25"/>
  <cols>
    <col min="1" max="1" width="4.6640625" style="1" customWidth="1"/>
    <col min="2" max="2" width="9.33203125" style="1" customWidth="1"/>
    <col min="3" max="4" width="9.6640625" style="1" customWidth="1"/>
    <col min="5" max="7" width="9.6640625" style="3" customWidth="1"/>
    <col min="8" max="16384" width="9" style="1"/>
  </cols>
  <sheetData>
    <row r="2" spans="2:7" x14ac:dyDescent="0.25">
      <c r="B2" s="2" t="s">
        <v>8</v>
      </c>
    </row>
    <row r="3" spans="2:7" x14ac:dyDescent="0.25">
      <c r="B3" s="2" t="s">
        <v>9</v>
      </c>
      <c r="C3" s="3" t="s">
        <v>11</v>
      </c>
      <c r="D3" s="3" t="s">
        <v>12</v>
      </c>
      <c r="E3" s="3" t="s">
        <v>13</v>
      </c>
      <c r="F3" s="3" t="s">
        <v>14</v>
      </c>
      <c r="G3" s="3" t="s">
        <v>15</v>
      </c>
    </row>
    <row r="4" spans="2:7" x14ac:dyDescent="0.25">
      <c r="B4" s="5">
        <v>1972</v>
      </c>
      <c r="C4" s="4">
        <v>207.3</v>
      </c>
      <c r="D4" s="4">
        <v>230.7</v>
      </c>
      <c r="E4" s="4">
        <f>MIN(C4:D4)</f>
        <v>207.3</v>
      </c>
      <c r="F4" s="3" t="e">
        <f>IF(C4&gt;D4,C4-D4,NA())</f>
        <v>#N/A</v>
      </c>
      <c r="G4" s="3">
        <f>IF(C4&lt;D4,D4-C4,NA())</f>
        <v>23.399999999999977</v>
      </c>
    </row>
    <row r="5" spans="2:7" x14ac:dyDescent="0.25">
      <c r="B5" s="5"/>
      <c r="C5" s="4">
        <v>230.8</v>
      </c>
      <c r="D5" s="4">
        <v>245.7</v>
      </c>
      <c r="E5" s="4">
        <f t="shared" ref="E5:E43" si="0">MIN(C5:D5)</f>
        <v>230.8</v>
      </c>
      <c r="F5" s="3" t="e">
        <f t="shared" ref="F5:F43" si="1">IF(C5&gt;D5,C5-D5,NA())</f>
        <v>#N/A</v>
      </c>
      <c r="G5" s="3">
        <f t="shared" ref="G5:G43" si="2">IF(C5&lt;D5,D5-C5,NA())</f>
        <v>14.899999999999977</v>
      </c>
    </row>
    <row r="6" spans="2:7" x14ac:dyDescent="0.25">
      <c r="B6" s="5"/>
      <c r="C6" s="4">
        <v>263.2</v>
      </c>
      <c r="D6" s="4">
        <v>269.39999999999998</v>
      </c>
      <c r="E6" s="4">
        <f t="shared" si="0"/>
        <v>263.2</v>
      </c>
      <c r="F6" s="3" t="e">
        <f t="shared" si="1"/>
        <v>#N/A</v>
      </c>
      <c r="G6" s="3">
        <f t="shared" si="2"/>
        <v>6.1999999999999886</v>
      </c>
    </row>
    <row r="7" spans="2:7" x14ac:dyDescent="0.25">
      <c r="B7" s="5"/>
      <c r="C7" s="4">
        <v>279.10000000000002</v>
      </c>
      <c r="D7" s="4">
        <v>332.3</v>
      </c>
      <c r="E7" s="4">
        <f t="shared" si="0"/>
        <v>279.10000000000002</v>
      </c>
      <c r="F7" s="3" t="e">
        <f t="shared" si="1"/>
        <v>#N/A</v>
      </c>
      <c r="G7" s="3">
        <f t="shared" si="2"/>
        <v>53.199999999999989</v>
      </c>
    </row>
    <row r="8" spans="2:7" x14ac:dyDescent="0.25">
      <c r="B8" s="5"/>
      <c r="C8" s="4">
        <v>298.10000000000002</v>
      </c>
      <c r="D8" s="4">
        <v>371.8</v>
      </c>
      <c r="E8" s="4">
        <f t="shared" si="0"/>
        <v>298.10000000000002</v>
      </c>
      <c r="F8" s="3" t="e">
        <f t="shared" si="1"/>
        <v>#N/A</v>
      </c>
      <c r="G8" s="3">
        <f t="shared" si="2"/>
        <v>73.699999999999989</v>
      </c>
    </row>
    <row r="9" spans="2:7" x14ac:dyDescent="0.25">
      <c r="B9" s="5"/>
      <c r="C9" s="4">
        <v>355.6</v>
      </c>
      <c r="D9" s="4">
        <v>409.2</v>
      </c>
      <c r="E9" s="4">
        <f t="shared" si="0"/>
        <v>355.6</v>
      </c>
      <c r="F9" s="3" t="e">
        <f t="shared" si="1"/>
        <v>#N/A</v>
      </c>
      <c r="G9" s="3">
        <f t="shared" si="2"/>
        <v>53.599999999999966</v>
      </c>
    </row>
    <row r="10" spans="2:7" x14ac:dyDescent="0.25">
      <c r="B10" s="5"/>
      <c r="C10" s="4">
        <v>399.6</v>
      </c>
      <c r="D10" s="4">
        <v>458.7</v>
      </c>
      <c r="E10" s="4">
        <f t="shared" si="0"/>
        <v>399.6</v>
      </c>
      <c r="F10" s="3" t="e">
        <f t="shared" si="1"/>
        <v>#N/A</v>
      </c>
      <c r="G10" s="3">
        <f t="shared" si="2"/>
        <v>59.099999999999966</v>
      </c>
    </row>
    <row r="11" spans="2:7" x14ac:dyDescent="0.25">
      <c r="B11" s="5"/>
      <c r="C11" s="4">
        <v>463.3</v>
      </c>
      <c r="D11" s="4">
        <v>504</v>
      </c>
      <c r="E11" s="4">
        <f t="shared" si="0"/>
        <v>463.3</v>
      </c>
      <c r="F11" s="3" t="e">
        <f t="shared" si="1"/>
        <v>#N/A</v>
      </c>
      <c r="G11" s="3">
        <f t="shared" si="2"/>
        <v>40.699999999999989</v>
      </c>
    </row>
    <row r="12" spans="2:7" x14ac:dyDescent="0.25">
      <c r="B12" s="5">
        <v>1980</v>
      </c>
      <c r="C12" s="4">
        <v>517.1</v>
      </c>
      <c r="D12" s="4">
        <v>590.9</v>
      </c>
      <c r="E12" s="4">
        <f t="shared" si="0"/>
        <v>517.1</v>
      </c>
      <c r="F12" s="3" t="e">
        <f t="shared" si="1"/>
        <v>#N/A</v>
      </c>
      <c r="G12" s="3">
        <f t="shared" si="2"/>
        <v>73.799999999999955</v>
      </c>
    </row>
    <row r="13" spans="2:7" x14ac:dyDescent="0.25">
      <c r="B13" s="5"/>
      <c r="C13" s="4">
        <v>599.29999999999995</v>
      </c>
      <c r="D13" s="4">
        <v>678.2</v>
      </c>
      <c r="E13" s="4">
        <f t="shared" si="0"/>
        <v>599.29999999999995</v>
      </c>
      <c r="F13" s="3" t="e">
        <f t="shared" si="1"/>
        <v>#N/A</v>
      </c>
      <c r="G13" s="3">
        <f t="shared" si="2"/>
        <v>78.900000000000091</v>
      </c>
    </row>
    <row r="14" spans="2:7" x14ac:dyDescent="0.25">
      <c r="B14" s="5"/>
      <c r="C14" s="4">
        <v>617.79999999999995</v>
      </c>
      <c r="D14" s="4">
        <v>745.7</v>
      </c>
      <c r="E14" s="4">
        <f t="shared" si="0"/>
        <v>617.79999999999995</v>
      </c>
      <c r="F14" s="3" t="e">
        <f t="shared" si="1"/>
        <v>#N/A</v>
      </c>
      <c r="G14" s="3">
        <f t="shared" si="2"/>
        <v>127.90000000000009</v>
      </c>
    </row>
    <row r="15" spans="2:7" x14ac:dyDescent="0.25">
      <c r="B15" s="5"/>
      <c r="C15" s="4">
        <v>600.6</v>
      </c>
      <c r="D15" s="4">
        <v>808.4</v>
      </c>
      <c r="E15" s="4">
        <f t="shared" si="0"/>
        <v>600.6</v>
      </c>
      <c r="F15" s="3" t="e">
        <f t="shared" si="1"/>
        <v>#N/A</v>
      </c>
      <c r="G15" s="3">
        <f t="shared" si="2"/>
        <v>207.79999999999995</v>
      </c>
    </row>
    <row r="16" spans="2:7" x14ac:dyDescent="0.25">
      <c r="B16" s="5"/>
      <c r="C16" s="4">
        <v>666.4</v>
      </c>
      <c r="D16" s="4">
        <v>851.8</v>
      </c>
      <c r="E16" s="4">
        <f t="shared" si="0"/>
        <v>666.4</v>
      </c>
      <c r="F16" s="3" t="e">
        <f t="shared" si="1"/>
        <v>#N/A</v>
      </c>
      <c r="G16" s="3">
        <f t="shared" si="2"/>
        <v>185.39999999999998</v>
      </c>
    </row>
    <row r="17" spans="2:7" x14ac:dyDescent="0.25">
      <c r="B17" s="5"/>
      <c r="C17" s="4">
        <v>734</v>
      </c>
      <c r="D17" s="4">
        <v>946.3</v>
      </c>
      <c r="E17" s="4">
        <f t="shared" si="0"/>
        <v>734</v>
      </c>
      <c r="F17" s="3" t="e">
        <f t="shared" si="1"/>
        <v>#N/A</v>
      </c>
      <c r="G17" s="3">
        <f t="shared" si="2"/>
        <v>212.29999999999995</v>
      </c>
    </row>
    <row r="18" spans="2:7" x14ac:dyDescent="0.25">
      <c r="B18" s="5"/>
      <c r="C18" s="4">
        <v>769.2</v>
      </c>
      <c r="D18" s="4">
        <v>990.4</v>
      </c>
      <c r="E18" s="4">
        <f t="shared" si="0"/>
        <v>769.2</v>
      </c>
      <c r="F18" s="3" t="e">
        <f t="shared" si="1"/>
        <v>#N/A</v>
      </c>
      <c r="G18" s="3">
        <f t="shared" si="2"/>
        <v>221.19999999999993</v>
      </c>
    </row>
    <row r="19" spans="2:7" x14ac:dyDescent="0.25">
      <c r="B19" s="5"/>
      <c r="C19" s="4">
        <v>854.3</v>
      </c>
      <c r="D19" s="4">
        <v>1004</v>
      </c>
      <c r="E19" s="4">
        <f t="shared" si="0"/>
        <v>854.3</v>
      </c>
      <c r="F19" s="3" t="e">
        <f t="shared" si="1"/>
        <v>#N/A</v>
      </c>
      <c r="G19" s="3">
        <f t="shared" si="2"/>
        <v>149.70000000000005</v>
      </c>
    </row>
    <row r="20" spans="2:7" x14ac:dyDescent="0.25">
      <c r="B20" s="5"/>
      <c r="C20" s="4">
        <v>909.2</v>
      </c>
      <c r="D20" s="4">
        <v>1064.4000000000001</v>
      </c>
      <c r="E20" s="4">
        <f t="shared" si="0"/>
        <v>909.2</v>
      </c>
      <c r="F20" s="3" t="e">
        <f t="shared" si="1"/>
        <v>#N/A</v>
      </c>
      <c r="G20" s="3">
        <f t="shared" si="2"/>
        <v>155.20000000000005</v>
      </c>
    </row>
    <row r="21" spans="2:7" x14ac:dyDescent="0.25">
      <c r="B21" s="5"/>
      <c r="C21" s="4">
        <v>991.1</v>
      </c>
      <c r="D21" s="4">
        <v>1143.7</v>
      </c>
      <c r="E21" s="4">
        <f t="shared" si="0"/>
        <v>991.1</v>
      </c>
      <c r="F21" s="3" t="e">
        <f t="shared" si="1"/>
        <v>#N/A</v>
      </c>
      <c r="G21" s="3">
        <f t="shared" si="2"/>
        <v>152.60000000000002</v>
      </c>
    </row>
    <row r="22" spans="2:7" x14ac:dyDescent="0.25">
      <c r="B22" s="5">
        <v>1990</v>
      </c>
      <c r="C22" s="4">
        <v>1032</v>
      </c>
      <c r="D22" s="4">
        <v>1253</v>
      </c>
      <c r="E22" s="4">
        <f t="shared" si="0"/>
        <v>1032</v>
      </c>
      <c r="F22" s="3" t="e">
        <f t="shared" si="1"/>
        <v>#N/A</v>
      </c>
      <c r="G22" s="3">
        <f t="shared" si="2"/>
        <v>221</v>
      </c>
    </row>
    <row r="23" spans="2:7" x14ac:dyDescent="0.25">
      <c r="B23" s="5"/>
      <c r="C23" s="4">
        <v>1055</v>
      </c>
      <c r="D23" s="4">
        <v>1324.2</v>
      </c>
      <c r="E23" s="4">
        <f t="shared" si="0"/>
        <v>1055</v>
      </c>
      <c r="F23" s="3" t="e">
        <f t="shared" si="1"/>
        <v>#N/A</v>
      </c>
      <c r="G23" s="3">
        <f t="shared" si="2"/>
        <v>269.20000000000005</v>
      </c>
    </row>
    <row r="24" spans="2:7" x14ac:dyDescent="0.25">
      <c r="B24" s="5"/>
      <c r="C24" s="4">
        <v>1091.2</v>
      </c>
      <c r="D24" s="4">
        <v>1381.5</v>
      </c>
      <c r="E24" s="4">
        <f t="shared" si="0"/>
        <v>1091.2</v>
      </c>
      <c r="F24" s="3" t="e">
        <f t="shared" si="1"/>
        <v>#N/A</v>
      </c>
      <c r="G24" s="3">
        <f t="shared" si="2"/>
        <v>290.29999999999995</v>
      </c>
    </row>
    <row r="25" spans="2:7" x14ac:dyDescent="0.25">
      <c r="B25" s="5"/>
      <c r="C25" s="4">
        <v>1154.3</v>
      </c>
      <c r="D25" s="4">
        <v>1409.4</v>
      </c>
      <c r="E25" s="4">
        <f t="shared" si="0"/>
        <v>1154.3</v>
      </c>
      <c r="F25" s="3" t="e">
        <f t="shared" si="1"/>
        <v>#N/A</v>
      </c>
      <c r="G25" s="3">
        <f t="shared" si="2"/>
        <v>255.10000000000014</v>
      </c>
    </row>
    <row r="26" spans="2:7" x14ac:dyDescent="0.25">
      <c r="B26" s="5"/>
      <c r="C26" s="4">
        <v>1258.5999999999999</v>
      </c>
      <c r="D26" s="4">
        <v>1461.8</v>
      </c>
      <c r="E26" s="4">
        <f t="shared" si="0"/>
        <v>1258.5999999999999</v>
      </c>
      <c r="F26" s="3" t="e">
        <f t="shared" si="1"/>
        <v>#N/A</v>
      </c>
      <c r="G26" s="3">
        <f t="shared" si="2"/>
        <v>203.20000000000005</v>
      </c>
    </row>
    <row r="27" spans="2:7" x14ac:dyDescent="0.25">
      <c r="B27" s="5"/>
      <c r="C27" s="4">
        <v>1351.8</v>
      </c>
      <c r="D27" s="4">
        <v>1515.7</v>
      </c>
      <c r="E27" s="4">
        <f t="shared" si="0"/>
        <v>1351.8</v>
      </c>
      <c r="F27" s="3" t="e">
        <f t="shared" si="1"/>
        <v>#N/A</v>
      </c>
      <c r="G27" s="3">
        <f t="shared" si="2"/>
        <v>163.90000000000009</v>
      </c>
    </row>
    <row r="28" spans="2:7" x14ac:dyDescent="0.25">
      <c r="B28" s="5"/>
      <c r="C28" s="4">
        <v>1453.1</v>
      </c>
      <c r="D28" s="4">
        <v>1560.5</v>
      </c>
      <c r="E28" s="4">
        <f t="shared" si="0"/>
        <v>1453.1</v>
      </c>
      <c r="F28" s="3" t="e">
        <f t="shared" si="1"/>
        <v>#N/A</v>
      </c>
      <c r="G28" s="3">
        <f t="shared" si="2"/>
        <v>107.40000000000009</v>
      </c>
    </row>
    <row r="29" spans="2:7" x14ac:dyDescent="0.25">
      <c r="B29" s="5"/>
      <c r="C29" s="4">
        <v>1579.2</v>
      </c>
      <c r="D29" s="4">
        <v>1601.1</v>
      </c>
      <c r="E29" s="4">
        <f t="shared" si="0"/>
        <v>1579.2</v>
      </c>
      <c r="F29" s="3" t="e">
        <f t="shared" si="1"/>
        <v>#N/A</v>
      </c>
      <c r="G29" s="3">
        <f t="shared" si="2"/>
        <v>21.899999999999864</v>
      </c>
    </row>
    <row r="30" spans="2:7" x14ac:dyDescent="0.25">
      <c r="B30" s="5"/>
      <c r="C30" s="4">
        <v>1721.7</v>
      </c>
      <c r="D30" s="4">
        <v>1652.5</v>
      </c>
      <c r="E30" s="4">
        <f t="shared" si="0"/>
        <v>1652.5</v>
      </c>
      <c r="F30" s="3">
        <f t="shared" si="1"/>
        <v>69.200000000000045</v>
      </c>
      <c r="G30" s="3" t="e">
        <f t="shared" si="2"/>
        <v>#N/A</v>
      </c>
    </row>
    <row r="31" spans="2:7" x14ac:dyDescent="0.25">
      <c r="B31" s="5"/>
      <c r="C31" s="4">
        <v>1827.5</v>
      </c>
      <c r="D31" s="4">
        <v>1701.8</v>
      </c>
      <c r="E31" s="4">
        <f t="shared" si="0"/>
        <v>1701.8</v>
      </c>
      <c r="F31" s="3">
        <f t="shared" si="1"/>
        <v>125.70000000000005</v>
      </c>
      <c r="G31" s="3" t="e">
        <f t="shared" si="2"/>
        <v>#N/A</v>
      </c>
    </row>
    <row r="32" spans="2:7" x14ac:dyDescent="0.25">
      <c r="B32" s="5">
        <v>2000</v>
      </c>
      <c r="C32" s="4">
        <v>2025.2</v>
      </c>
      <c r="D32" s="4">
        <v>1789</v>
      </c>
      <c r="E32" s="4">
        <f t="shared" si="0"/>
        <v>1789</v>
      </c>
      <c r="F32" s="3">
        <f t="shared" si="1"/>
        <v>236.20000000000005</v>
      </c>
      <c r="G32" s="3" t="e">
        <f t="shared" si="2"/>
        <v>#N/A</v>
      </c>
    </row>
    <row r="33" spans="2:7" x14ac:dyDescent="0.25">
      <c r="B33" s="5"/>
      <c r="C33" s="4">
        <v>1991.1</v>
      </c>
      <c r="D33" s="4">
        <v>1862.8</v>
      </c>
      <c r="E33" s="4">
        <f t="shared" si="0"/>
        <v>1862.8</v>
      </c>
      <c r="F33" s="3">
        <f t="shared" si="1"/>
        <v>128.29999999999995</v>
      </c>
      <c r="G33" s="3" t="e">
        <f t="shared" si="2"/>
        <v>#N/A</v>
      </c>
    </row>
    <row r="34" spans="2:7" x14ac:dyDescent="0.25">
      <c r="B34" s="5"/>
      <c r="C34" s="4">
        <v>1853.1</v>
      </c>
      <c r="D34" s="4">
        <v>2010.9</v>
      </c>
      <c r="E34" s="4">
        <f t="shared" si="0"/>
        <v>1853.1</v>
      </c>
      <c r="F34" s="3" t="e">
        <f t="shared" si="1"/>
        <v>#N/A</v>
      </c>
      <c r="G34" s="3">
        <f t="shared" si="2"/>
        <v>157.80000000000018</v>
      </c>
    </row>
    <row r="35" spans="2:7" x14ac:dyDescent="0.25">
      <c r="B35" s="5"/>
      <c r="C35" s="4">
        <v>1782.3</v>
      </c>
      <c r="D35" s="4">
        <v>2159.9</v>
      </c>
      <c r="E35" s="4">
        <f t="shared" si="0"/>
        <v>1782.3</v>
      </c>
      <c r="F35" s="3" t="e">
        <f t="shared" si="1"/>
        <v>#N/A</v>
      </c>
      <c r="G35" s="3">
        <f t="shared" si="2"/>
        <v>377.60000000000014</v>
      </c>
    </row>
    <row r="36" spans="2:7" x14ac:dyDescent="0.25">
      <c r="B36" s="5"/>
      <c r="C36" s="4">
        <v>1880.1</v>
      </c>
      <c r="D36" s="4">
        <v>2292.8000000000002</v>
      </c>
      <c r="E36" s="4">
        <f t="shared" si="0"/>
        <v>1880.1</v>
      </c>
      <c r="F36" s="3" t="e">
        <f t="shared" si="1"/>
        <v>#N/A</v>
      </c>
      <c r="G36" s="3">
        <f t="shared" si="2"/>
        <v>412.70000000000027</v>
      </c>
    </row>
    <row r="37" spans="2:7" x14ac:dyDescent="0.25">
      <c r="B37" s="5"/>
      <c r="C37" s="4">
        <v>2153.6</v>
      </c>
      <c r="D37" s="4">
        <v>2472</v>
      </c>
      <c r="E37" s="4">
        <f t="shared" si="0"/>
        <v>2153.6</v>
      </c>
      <c r="F37" s="3" t="e">
        <f t="shared" si="1"/>
        <v>#N/A</v>
      </c>
      <c r="G37" s="3">
        <f t="shared" si="2"/>
        <v>318.40000000000009</v>
      </c>
    </row>
    <row r="38" spans="2:7" x14ac:dyDescent="0.25">
      <c r="B38" s="5"/>
      <c r="C38" s="4">
        <v>2406.9</v>
      </c>
      <c r="D38" s="4">
        <v>2655.1</v>
      </c>
      <c r="E38" s="4">
        <f t="shared" si="0"/>
        <v>2406.9</v>
      </c>
      <c r="F38" s="3" t="e">
        <f t="shared" si="1"/>
        <v>#N/A</v>
      </c>
      <c r="G38" s="3">
        <f t="shared" si="2"/>
        <v>248.19999999999982</v>
      </c>
    </row>
    <row r="39" spans="2:7" x14ac:dyDescent="0.25">
      <c r="B39" s="5"/>
      <c r="C39" s="4">
        <v>2568</v>
      </c>
      <c r="D39" s="4">
        <v>2728.7</v>
      </c>
      <c r="E39" s="4">
        <f t="shared" si="0"/>
        <v>2568</v>
      </c>
      <c r="F39" s="3" t="e">
        <f t="shared" si="1"/>
        <v>#N/A</v>
      </c>
      <c r="G39" s="3">
        <f t="shared" si="2"/>
        <v>160.69999999999982</v>
      </c>
    </row>
    <row r="40" spans="2:7" x14ac:dyDescent="0.25">
      <c r="B40" s="5"/>
      <c r="C40" s="4">
        <v>2524</v>
      </c>
      <c r="D40" s="4">
        <v>2982.5</v>
      </c>
      <c r="E40" s="4">
        <f t="shared" si="0"/>
        <v>2524</v>
      </c>
      <c r="F40" s="3" t="e">
        <f t="shared" si="1"/>
        <v>#N/A</v>
      </c>
      <c r="G40" s="3">
        <f t="shared" si="2"/>
        <v>458.5</v>
      </c>
    </row>
    <row r="41" spans="2:7" x14ac:dyDescent="0.25">
      <c r="B41" s="5"/>
      <c r="C41" s="4">
        <v>2105</v>
      </c>
      <c r="D41" s="4">
        <v>3517.7</v>
      </c>
      <c r="E41" s="4">
        <f t="shared" si="0"/>
        <v>2105</v>
      </c>
      <c r="F41" s="3" t="e">
        <f t="shared" si="1"/>
        <v>#N/A</v>
      </c>
      <c r="G41" s="3">
        <f t="shared" si="2"/>
        <v>1412.6999999999998</v>
      </c>
    </row>
    <row r="42" spans="2:7" x14ac:dyDescent="0.25">
      <c r="B42" s="5">
        <v>2010</v>
      </c>
      <c r="C42" s="4">
        <v>2162.6999999999998</v>
      </c>
      <c r="D42" s="4">
        <v>3456.2</v>
      </c>
      <c r="E42" s="4">
        <f t="shared" si="0"/>
        <v>2162.6999999999998</v>
      </c>
      <c r="F42" s="3" t="e">
        <f t="shared" si="1"/>
        <v>#N/A</v>
      </c>
      <c r="G42" s="3">
        <f t="shared" si="2"/>
        <v>1293.5</v>
      </c>
    </row>
    <row r="43" spans="2:7" x14ac:dyDescent="0.25">
      <c r="B43" s="5"/>
      <c r="C43" s="4">
        <v>2302.5</v>
      </c>
      <c r="D43" s="4">
        <v>3598.1</v>
      </c>
      <c r="E43" s="4">
        <f t="shared" si="0"/>
        <v>2302.5</v>
      </c>
      <c r="F43" s="3" t="e">
        <f t="shared" si="1"/>
        <v>#N/A</v>
      </c>
      <c r="G43" s="3">
        <f t="shared" si="2"/>
        <v>1295.5999999999999</v>
      </c>
    </row>
  </sheetData>
  <phoneticPr fontId="1" type="noConversion"/>
  <pageMargins left="0.7" right="0.7" top="0.75" bottom="0.75" header="0.3" footer="0.3"/>
  <ignoredErrors>
    <ignoredError sqref="E4 E12:E43" formulaRange="1"/>
  </ignoredError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F5F100-C56B-4276-A7ED-E004F1B55101}">
  <sheetPr codeName="Sheet4"/>
  <dimension ref="B2:G46"/>
  <sheetViews>
    <sheetView workbookViewId="0"/>
  </sheetViews>
  <sheetFormatPr defaultColWidth="9" defaultRowHeight="13.2" x14ac:dyDescent="0.25"/>
  <cols>
    <col min="1" max="1" width="4.6640625" style="6" customWidth="1"/>
    <col min="2" max="2" width="9" style="6"/>
    <col min="3" max="7" width="8.6640625" style="7" customWidth="1"/>
    <col min="8" max="16384" width="9" style="6"/>
  </cols>
  <sheetData>
    <row r="2" spans="2:7" x14ac:dyDescent="0.25">
      <c r="B2" s="6" t="s">
        <v>16</v>
      </c>
    </row>
    <row r="3" spans="2:7" x14ac:dyDescent="0.25">
      <c r="C3" s="7" t="s">
        <v>23</v>
      </c>
      <c r="D3" s="7" t="s">
        <v>22</v>
      </c>
      <c r="E3" s="7" t="s">
        <v>25</v>
      </c>
      <c r="F3" s="7" t="s">
        <v>26</v>
      </c>
      <c r="G3" s="7" t="s">
        <v>24</v>
      </c>
    </row>
    <row r="6" spans="2:7" x14ac:dyDescent="0.25">
      <c r="B6" s="8" t="s">
        <v>17</v>
      </c>
      <c r="C6" s="7">
        <v>30.8</v>
      </c>
    </row>
    <row r="7" spans="2:7" x14ac:dyDescent="0.25">
      <c r="B7" s="8"/>
      <c r="C7" s="9">
        <v>30.994878128797392</v>
      </c>
      <c r="D7" s="9"/>
    </row>
    <row r="8" spans="2:7" x14ac:dyDescent="0.25">
      <c r="B8" s="8"/>
      <c r="C8" s="9">
        <v>31.593468474042375</v>
      </c>
      <c r="D8" s="9"/>
    </row>
    <row r="9" spans="2:7" x14ac:dyDescent="0.25">
      <c r="B9" s="8"/>
      <c r="C9" s="9">
        <v>32.144534276814312</v>
      </c>
      <c r="D9" s="9"/>
    </row>
    <row r="10" spans="2:7" x14ac:dyDescent="0.25">
      <c r="B10" s="8"/>
      <c r="C10" s="9">
        <v>32.749151773837518</v>
      </c>
      <c r="D10" s="9"/>
    </row>
    <row r="11" spans="2:7" x14ac:dyDescent="0.25">
      <c r="B11" s="8"/>
      <c r="C11" s="9">
        <v>33.351024079486976</v>
      </c>
      <c r="D11" s="9"/>
    </row>
    <row r="12" spans="2:7" x14ac:dyDescent="0.25">
      <c r="B12" s="8"/>
      <c r="C12" s="9">
        <v>33.546968934134043</v>
      </c>
      <c r="D12" s="9"/>
    </row>
    <row r="13" spans="2:7" x14ac:dyDescent="0.25">
      <c r="B13" s="8"/>
      <c r="C13" s="9">
        <v>34.136514584654677</v>
      </c>
      <c r="D13" s="9"/>
    </row>
    <row r="14" spans="2:7" x14ac:dyDescent="0.25">
      <c r="B14" s="8"/>
      <c r="C14" s="9">
        <v>34.38054910634839</v>
      </c>
      <c r="D14" s="9"/>
    </row>
    <row r="15" spans="2:7" x14ac:dyDescent="0.25">
      <c r="B15" s="8"/>
      <c r="C15" s="9">
        <v>34.384649894723978</v>
      </c>
      <c r="D15" s="9"/>
    </row>
    <row r="16" spans="2:7" x14ac:dyDescent="0.25">
      <c r="B16" s="8" t="s">
        <v>18</v>
      </c>
      <c r="C16" s="9">
        <v>34.447349803916175</v>
      </c>
      <c r="D16" s="9"/>
    </row>
    <row r="17" spans="2:7" x14ac:dyDescent="0.25">
      <c r="B17" s="8"/>
      <c r="C17" s="9">
        <v>34.87390519255176</v>
      </c>
      <c r="D17" s="9"/>
    </row>
    <row r="18" spans="2:7" x14ac:dyDescent="0.25">
      <c r="B18" s="8"/>
      <c r="C18" s="9">
        <v>35.303874260383587</v>
      </c>
      <c r="D18" s="9"/>
    </row>
    <row r="19" spans="2:7" x14ac:dyDescent="0.25">
      <c r="B19" s="8"/>
      <c r="C19" s="9">
        <v>35.880140566917262</v>
      </c>
      <c r="D19" s="9"/>
    </row>
    <row r="20" spans="2:7" x14ac:dyDescent="0.25">
      <c r="B20" s="8"/>
      <c r="C20" s="9">
        <v>36.226819523399726</v>
      </c>
      <c r="D20" s="9"/>
    </row>
    <row r="21" spans="2:7" x14ac:dyDescent="0.25">
      <c r="B21" s="8"/>
      <c r="C21" s="9">
        <v>35.386045802322833</v>
      </c>
      <c r="D21" s="9"/>
    </row>
    <row r="22" spans="2:7" x14ac:dyDescent="0.25">
      <c r="B22" s="8"/>
      <c r="C22" s="9">
        <v>34.542867537380999</v>
      </c>
      <c r="D22" s="9"/>
    </row>
    <row r="23" spans="2:7" x14ac:dyDescent="0.25">
      <c r="B23" s="8"/>
      <c r="C23" s="9">
        <v>33.637924636008002</v>
      </c>
      <c r="D23" s="9"/>
    </row>
    <row r="24" spans="2:7" x14ac:dyDescent="0.25">
      <c r="B24" s="8"/>
      <c r="C24" s="9">
        <v>33.15636081334857</v>
      </c>
      <c r="D24" s="9"/>
    </row>
    <row r="25" spans="2:7" x14ac:dyDescent="0.25">
      <c r="B25" s="8"/>
      <c r="C25" s="9">
        <v>32.189255317227293</v>
      </c>
      <c r="D25" s="9"/>
    </row>
    <row r="26" spans="2:7" x14ac:dyDescent="0.25">
      <c r="B26" s="8" t="s">
        <v>19</v>
      </c>
      <c r="C26" s="9">
        <v>31.975941891821144</v>
      </c>
      <c r="D26" s="9"/>
    </row>
    <row r="27" spans="2:7" x14ac:dyDescent="0.25">
      <c r="B27" s="8"/>
      <c r="C27" s="9">
        <v>31.848292001577285</v>
      </c>
      <c r="D27" s="9"/>
    </row>
    <row r="28" spans="2:7" x14ac:dyDescent="0.25">
      <c r="B28" s="8"/>
      <c r="C28" s="9">
        <v>31.576439421826592</v>
      </c>
      <c r="D28" s="9"/>
    </row>
    <row r="29" spans="2:7" x14ac:dyDescent="0.25">
      <c r="B29" s="8"/>
      <c r="C29" s="9">
        <v>30.602191951156151</v>
      </c>
      <c r="D29" s="9"/>
    </row>
    <row r="30" spans="2:7" x14ac:dyDescent="0.25">
      <c r="B30" s="8"/>
      <c r="C30" s="9">
        <v>29.618021010001062</v>
      </c>
      <c r="D30" s="9"/>
    </row>
    <row r="31" spans="2:7" x14ac:dyDescent="0.25">
      <c r="B31" s="8"/>
      <c r="C31" s="9">
        <v>29.074346123345741</v>
      </c>
      <c r="D31" s="9"/>
    </row>
    <row r="32" spans="2:7" x14ac:dyDescent="0.25">
      <c r="B32" s="8"/>
      <c r="C32" s="9">
        <v>28.612203580861166</v>
      </c>
      <c r="D32" s="9"/>
      <c r="E32" s="9"/>
      <c r="F32" s="9"/>
      <c r="G32" s="9"/>
    </row>
    <row r="33" spans="2:7" x14ac:dyDescent="0.25">
      <c r="B33" s="8"/>
      <c r="C33" s="7">
        <v>28.6</v>
      </c>
      <c r="D33" s="9">
        <v>28.565779385553629</v>
      </c>
      <c r="E33" s="9">
        <v>28.6</v>
      </c>
      <c r="F33" s="9">
        <v>28.612203580861166</v>
      </c>
      <c r="G33" s="9">
        <v>40</v>
      </c>
    </row>
    <row r="34" spans="2:7" x14ac:dyDescent="0.25">
      <c r="B34" s="8"/>
      <c r="D34" s="9">
        <v>28.490453070048293</v>
      </c>
      <c r="E34" s="9">
        <v>26.676276648655886</v>
      </c>
      <c r="F34" s="9">
        <v>29.309123925398165</v>
      </c>
      <c r="G34" s="9">
        <v>40</v>
      </c>
    </row>
    <row r="35" spans="2:7" x14ac:dyDescent="0.25">
      <c r="B35" s="8"/>
      <c r="D35" s="9">
        <v>28.443284431768138</v>
      </c>
      <c r="E35" s="9">
        <v>26.116377638534193</v>
      </c>
      <c r="F35" s="9">
        <v>29.602781717283928</v>
      </c>
      <c r="G35" s="9">
        <v>40</v>
      </c>
    </row>
    <row r="36" spans="2:7" x14ac:dyDescent="0.25">
      <c r="B36" s="8" t="s">
        <v>20</v>
      </c>
      <c r="D36" s="9">
        <v>28.423374017186283</v>
      </c>
      <c r="E36" s="9">
        <v>23.329456589229981</v>
      </c>
      <c r="F36" s="9">
        <v>30.856017566651786</v>
      </c>
      <c r="G36" s="9">
        <v>40</v>
      </c>
    </row>
    <row r="37" spans="2:7" x14ac:dyDescent="0.25">
      <c r="B37" s="8"/>
      <c r="D37" s="9">
        <v>28.366653934519256</v>
      </c>
      <c r="E37" s="9">
        <v>21.498386211450303</v>
      </c>
      <c r="F37" s="9">
        <v>32.806589436687439</v>
      </c>
      <c r="G37" s="9">
        <v>40</v>
      </c>
    </row>
    <row r="38" spans="2:7" x14ac:dyDescent="0.25">
      <c r="D38" s="9">
        <v>28.332517585645768</v>
      </c>
      <c r="E38" s="9">
        <v>19.852993297447266</v>
      </c>
      <c r="F38" s="9">
        <v>33.795182942433719</v>
      </c>
      <c r="G38" s="9">
        <v>40</v>
      </c>
    </row>
    <row r="39" spans="2:7" x14ac:dyDescent="0.25">
      <c r="D39" s="9">
        <v>28.293698186900468</v>
      </c>
      <c r="E39" s="9">
        <v>19.216462226984177</v>
      </c>
      <c r="F39" s="9">
        <v>34.369217994929265</v>
      </c>
      <c r="G39" s="9">
        <v>40</v>
      </c>
    </row>
    <row r="40" spans="2:7" x14ac:dyDescent="0.25">
      <c r="D40" s="9">
        <v>28.196671500019242</v>
      </c>
      <c r="E40" s="9">
        <v>18.677779398772472</v>
      </c>
      <c r="F40" s="9">
        <v>34.414048124229872</v>
      </c>
      <c r="G40" s="9">
        <v>40</v>
      </c>
    </row>
    <row r="41" spans="2:7" x14ac:dyDescent="0.25">
      <c r="D41" s="9">
        <v>28.183108862379907</v>
      </c>
      <c r="E41" s="9">
        <v>17.080259827971808</v>
      </c>
      <c r="F41" s="9">
        <v>35.237439048465397</v>
      </c>
      <c r="G41" s="9">
        <v>40</v>
      </c>
    </row>
    <row r="42" spans="2:7" x14ac:dyDescent="0.25">
      <c r="D42" s="9">
        <v>28.087242213708716</v>
      </c>
      <c r="E42" s="9">
        <v>14.879677300696216</v>
      </c>
      <c r="F42" s="9">
        <v>35.555802280548789</v>
      </c>
      <c r="G42" s="9">
        <v>40</v>
      </c>
    </row>
    <row r="43" spans="2:7" x14ac:dyDescent="0.25">
      <c r="D43" s="9">
        <v>27.995998958170322</v>
      </c>
      <c r="E43" s="9">
        <v>14.567569037708147</v>
      </c>
      <c r="F43" s="9">
        <v>36.214813237127146</v>
      </c>
      <c r="G43" s="9">
        <v>40</v>
      </c>
    </row>
    <row r="44" spans="2:7" x14ac:dyDescent="0.25">
      <c r="D44" s="9">
        <v>27.922620773174106</v>
      </c>
      <c r="E44" s="9">
        <v>13.373065660273976</v>
      </c>
      <c r="F44" s="9">
        <v>38.178752742198405</v>
      </c>
      <c r="G44" s="9">
        <v>40</v>
      </c>
    </row>
    <row r="45" spans="2:7" x14ac:dyDescent="0.25">
      <c r="D45" s="9">
        <v>27.880796940834429</v>
      </c>
      <c r="E45" s="9">
        <v>12.135391442238046</v>
      </c>
      <c r="F45" s="9">
        <v>39.767269676793227</v>
      </c>
      <c r="G45" s="9">
        <v>40</v>
      </c>
    </row>
    <row r="46" spans="2:7" x14ac:dyDescent="0.25">
      <c r="B46" s="8" t="s">
        <v>21</v>
      </c>
      <c r="D46" s="9">
        <v>27.782888610952078</v>
      </c>
      <c r="E46" s="9">
        <v>11.124147010537014</v>
      </c>
      <c r="F46" s="9">
        <v>40.468740844186705</v>
      </c>
      <c r="G46" s="9">
        <v>40</v>
      </c>
    </row>
  </sheetData>
  <phoneticPr fontId="1" type="noConversion"/>
  <pageMargins left="0.7" right="0.7" top="0.75" bottom="0.75" header="0.3" footer="0.3"/>
  <pageSetup paperSize="9" orientation="portrait" r:id="rId1"/>
  <ignoredErrors>
    <ignoredError sqref="B6:F31 B34:F46 B32:C32 D33 F33" numberStoredAsText="1"/>
  </ignoredError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2FEB14-3C1F-42CF-B020-37D29997CFA8}">
  <sheetPr codeName="Sheet5"/>
  <dimension ref="B3:E22"/>
  <sheetViews>
    <sheetView tabSelected="1" workbookViewId="0"/>
  </sheetViews>
  <sheetFormatPr defaultColWidth="9" defaultRowHeight="13.2" x14ac:dyDescent="0.25"/>
  <cols>
    <col min="1" max="1" width="4.6640625" style="1" customWidth="1"/>
    <col min="2" max="2" width="9" style="1" customWidth="1"/>
    <col min="3" max="3" width="9" style="3" customWidth="1"/>
    <col min="4" max="5" width="9" style="3"/>
    <col min="6" max="16384" width="9" style="1"/>
  </cols>
  <sheetData>
    <row r="3" spans="2:5" x14ac:dyDescent="0.25">
      <c r="B3" s="1" t="s">
        <v>32</v>
      </c>
    </row>
    <row r="5" spans="2:5" x14ac:dyDescent="0.25">
      <c r="C5" s="3" t="s">
        <v>29</v>
      </c>
      <c r="D5" s="3" t="s">
        <v>27</v>
      </c>
      <c r="E5" s="3" t="s">
        <v>28</v>
      </c>
    </row>
    <row r="6" spans="2:5" x14ac:dyDescent="0.25">
      <c r="B6" s="5" t="s">
        <v>30</v>
      </c>
      <c r="C6" s="10">
        <v>-6.6000000000000003E-2</v>
      </c>
      <c r="D6" s="10">
        <v>6.8000000000000005E-2</v>
      </c>
      <c r="E6" s="10">
        <v>8.2000000000000003E-2</v>
      </c>
    </row>
    <row r="7" spans="2:5" x14ac:dyDescent="0.25">
      <c r="B7" s="5" t="s">
        <v>34</v>
      </c>
      <c r="C7" s="10">
        <v>0.35099999999999998</v>
      </c>
      <c r="D7" s="10">
        <v>0.224</v>
      </c>
      <c r="E7" s="10">
        <v>0.21199999999999999</v>
      </c>
    </row>
    <row r="8" spans="2:5" x14ac:dyDescent="0.25">
      <c r="B8" s="5" t="s">
        <v>35</v>
      </c>
      <c r="C8" s="10">
        <v>-0.161</v>
      </c>
      <c r="D8" s="10">
        <v>0.34599999999999997</v>
      </c>
      <c r="E8" s="10">
        <v>0.39800000000000002</v>
      </c>
    </row>
    <row r="9" spans="2:5" x14ac:dyDescent="0.25">
      <c r="B9" s="5" t="s">
        <v>36</v>
      </c>
      <c r="C9" s="10">
        <v>0.25900000000000001</v>
      </c>
      <c r="D9" s="10">
        <v>0.35399999999999998</v>
      </c>
      <c r="E9" s="10">
        <v>0.35899999999999999</v>
      </c>
    </row>
    <row r="10" spans="2:5" x14ac:dyDescent="0.25">
      <c r="B10" s="5" t="s">
        <v>46</v>
      </c>
      <c r="C10" s="10">
        <v>0.88800000000000001</v>
      </c>
      <c r="D10" s="10">
        <v>0.28399999999999997</v>
      </c>
      <c r="E10" s="10">
        <v>0.17599999999999999</v>
      </c>
    </row>
    <row r="11" spans="2:5" x14ac:dyDescent="0.25">
      <c r="B11" s="5" t="s">
        <v>37</v>
      </c>
      <c r="C11" s="10">
        <v>0.74</v>
      </c>
      <c r="D11" s="10">
        <v>0.27200000000000002</v>
      </c>
      <c r="E11" s="10">
        <v>0.19900000000000001</v>
      </c>
    </row>
    <row r="12" spans="2:5" x14ac:dyDescent="0.25">
      <c r="B12" s="5" t="s">
        <v>38</v>
      </c>
      <c r="C12" s="10">
        <v>0.48899999999999999</v>
      </c>
      <c r="D12" s="10">
        <v>0.26</v>
      </c>
      <c r="E12" s="10">
        <v>0.20799999999999999</v>
      </c>
    </row>
    <row r="13" spans="2:5" x14ac:dyDescent="0.25">
      <c r="B13" s="5" t="s">
        <v>39</v>
      </c>
      <c r="C13" s="10">
        <v>0.128</v>
      </c>
      <c r="D13" s="10">
        <v>0.17199999999999999</v>
      </c>
      <c r="E13" s="10">
        <v>0.184</v>
      </c>
    </row>
    <row r="14" spans="2:5" x14ac:dyDescent="0.25">
      <c r="B14" s="5" t="s">
        <v>40</v>
      </c>
      <c r="C14" s="10">
        <v>-0.34399999999999997</v>
      </c>
      <c r="D14" s="10">
        <v>-0.16</v>
      </c>
      <c r="E14" s="10">
        <v>-0.112</v>
      </c>
    </row>
    <row r="15" spans="2:5" x14ac:dyDescent="0.25">
      <c r="B15" s="5" t="s">
        <v>31</v>
      </c>
      <c r="C15" s="10">
        <v>-7.2999999999999995E-2</v>
      </c>
      <c r="D15" s="10">
        <v>0.313</v>
      </c>
      <c r="E15" s="10">
        <v>0.38800000000000001</v>
      </c>
    </row>
    <row r="16" spans="2:5" x14ac:dyDescent="0.25">
      <c r="B16" s="5" t="s">
        <v>41</v>
      </c>
      <c r="C16" s="10">
        <v>-0.14699999999999999</v>
      </c>
      <c r="D16" s="10">
        <v>0.20300000000000001</v>
      </c>
      <c r="E16" s="10">
        <v>0.249</v>
      </c>
    </row>
    <row r="17" spans="2:5" x14ac:dyDescent="0.25">
      <c r="B17" s="5" t="s">
        <v>42</v>
      </c>
      <c r="C17" s="10">
        <v>0.48699999999999999</v>
      </c>
      <c r="D17" s="10">
        <v>7.9000000000000001E-2</v>
      </c>
      <c r="E17" s="10">
        <v>4.2999999999999997E-2</v>
      </c>
    </row>
    <row r="18" spans="2:5" x14ac:dyDescent="0.25">
      <c r="B18" s="5" t="s">
        <v>43</v>
      </c>
      <c r="C18" s="10">
        <v>0.125</v>
      </c>
      <c r="D18" s="10">
        <v>7.8E-2</v>
      </c>
      <c r="E18" s="10">
        <v>7.1999999999999995E-2</v>
      </c>
    </row>
    <row r="19" spans="2:5" x14ac:dyDescent="0.25">
      <c r="B19" s="5" t="s">
        <v>44</v>
      </c>
      <c r="C19" s="10">
        <v>0.47899999999999998</v>
      </c>
      <c r="D19" s="10">
        <v>0.06</v>
      </c>
      <c r="E19" s="10">
        <v>5.0000000000000001E-3</v>
      </c>
    </row>
    <row r="20" spans="2:5" x14ac:dyDescent="0.25">
      <c r="B20" s="5" t="s">
        <v>47</v>
      </c>
      <c r="C20" s="10">
        <v>0.55000000000000004</v>
      </c>
      <c r="D20" s="10">
        <v>-2.9000000000000001E-2</v>
      </c>
      <c r="E20" s="10">
        <v>-0.14299999999999999</v>
      </c>
    </row>
    <row r="21" spans="2:5" x14ac:dyDescent="0.25">
      <c r="B21" s="5" t="s">
        <v>45</v>
      </c>
      <c r="C21" s="10">
        <v>-0.14099999999999999</v>
      </c>
      <c r="D21" s="10">
        <v>-7.6999999999999999E-2</v>
      </c>
      <c r="E21" s="10">
        <v>-5.5E-2</v>
      </c>
    </row>
    <row r="22" spans="2:5" x14ac:dyDescent="0.25">
      <c r="B22" s="5" t="s">
        <v>33</v>
      </c>
      <c r="C22" s="10">
        <v>-0.23499999999999999</v>
      </c>
      <c r="D22" s="10">
        <v>5.5E-2</v>
      </c>
      <c r="E22" s="10">
        <v>0.13300000000000001</v>
      </c>
    </row>
  </sheetData>
  <phoneticPr fontId="1" type="noConversion"/>
  <pageMargins left="0.7" right="0.7" top="0.75" bottom="0.75" header="0.3" footer="0.3"/>
  <ignoredErrors>
    <ignoredError sqref="B6 B7:B9 B22 B11:B14 B21 B16:B19 B15 B10 B20" numberStoredAsText="1"/>
  </ignoredError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图1</vt:lpstr>
      <vt:lpstr>图2</vt:lpstr>
      <vt:lpstr>图3</vt:lpstr>
      <vt:lpstr>图4</vt:lpstr>
      <vt:lpstr>图5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拉登Dony</cp:lastModifiedBy>
  <dcterms:created xsi:type="dcterms:W3CDTF">2017-09-18T12:31:36Z</dcterms:created>
  <dcterms:modified xsi:type="dcterms:W3CDTF">2019-03-08T02:08:36Z</dcterms:modified>
</cp:coreProperties>
</file>