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F:\秋叶文档\课程开发文档\案例文件\SZ实战案例\SZ04-甘特图\"/>
    </mc:Choice>
  </mc:AlternateContent>
  <xr:revisionPtr revIDLastSave="0" documentId="13_ncr:40009_{958B143F-FC78-4D6E-8887-295260A6B2AC}" xr6:coauthVersionLast="37" xr6:coauthVersionMax="37" xr10:uidLastSave="{00000000-0000-0000-0000-000000000000}"/>
  <bookViews>
    <workbookView xWindow="2820" yWindow="75" windowWidth="6450" windowHeight="4725" activeTab="1"/>
  </bookViews>
  <sheets>
    <sheet name="甘特图" sheetId="3" r:id="rId1"/>
    <sheet name="chart" sheetId="4" r:id="rId2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2" i="4" l="1"/>
  <c r="C14" i="4" s="1"/>
  <c r="D4" i="4"/>
  <c r="D5" i="4"/>
  <c r="D6" i="4"/>
  <c r="D7" i="4"/>
  <c r="D8" i="4"/>
  <c r="D9" i="4"/>
  <c r="D10" i="4"/>
  <c r="D3" i="4"/>
  <c r="C4" i="3"/>
  <c r="C5" i="3"/>
  <c r="C6" i="3"/>
  <c r="C7" i="3"/>
  <c r="C8" i="3"/>
  <c r="C9" i="3"/>
  <c r="C10" i="3"/>
  <c r="C3" i="3"/>
</calcChain>
</file>

<file path=xl/sharedStrings.xml><?xml version="1.0" encoding="utf-8"?>
<sst xmlns="http://schemas.openxmlformats.org/spreadsheetml/2006/main" count="29" uniqueCount="29">
  <si>
    <t>项目确定</t>
    <phoneticPr fontId="1" type="noConversion"/>
  </si>
  <si>
    <t>问卷设计</t>
    <phoneticPr fontId="1" type="noConversion"/>
  </si>
  <si>
    <t>试访</t>
    <phoneticPr fontId="1" type="noConversion"/>
  </si>
  <si>
    <t>问卷确定</t>
    <phoneticPr fontId="1" type="noConversion"/>
  </si>
  <si>
    <t>实地执行</t>
    <phoneticPr fontId="1" type="noConversion"/>
  </si>
  <si>
    <t>数据录入</t>
    <phoneticPr fontId="1" type="noConversion"/>
  </si>
  <si>
    <t>数据分析</t>
    <phoneticPr fontId="1" type="noConversion"/>
  </si>
  <si>
    <t>报告提交</t>
    <phoneticPr fontId="1" type="noConversion"/>
  </si>
  <si>
    <t>任务甘特图</t>
    <phoneticPr fontId="1" type="noConversion"/>
  </si>
  <si>
    <t>计划开始日</t>
    <phoneticPr fontId="1" type="noConversion"/>
  </si>
  <si>
    <t>计划结束日</t>
    <phoneticPr fontId="1" type="noConversion"/>
  </si>
  <si>
    <t>今天</t>
    <phoneticPr fontId="1" type="noConversion"/>
  </si>
  <si>
    <t>天数</t>
    <phoneticPr fontId="1" type="noConversion"/>
  </si>
  <si>
    <t>计划开始日</t>
  </si>
  <si>
    <t>天数</t>
  </si>
  <si>
    <t>计划结束日</t>
  </si>
  <si>
    <t>项目确定</t>
  </si>
  <si>
    <t>问卷设计</t>
  </si>
  <si>
    <t>试访</t>
  </si>
  <si>
    <t>问卷确定</t>
  </si>
  <si>
    <t>实地执行</t>
  </si>
  <si>
    <t>数据录入</t>
  </si>
  <si>
    <t>数据分析</t>
  </si>
  <si>
    <t>报告提交</t>
  </si>
  <si>
    <t>当前日期</t>
    <phoneticPr fontId="1" type="noConversion"/>
  </si>
  <si>
    <t>项目</t>
    <phoneticPr fontId="1" type="noConversion"/>
  </si>
  <si>
    <t>x</t>
    <phoneticPr fontId="1" type="noConversion"/>
  </si>
  <si>
    <t>y</t>
    <phoneticPr fontId="1" type="noConversion"/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</si>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</sst>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  <family val="2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theme="6"/>
        <bgColor theme="6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3" fillId="2" borderId="1" xfId="1" applyFont="1" applyFill="1" applyBorder="1" applyAlignment="1">
      <alignment horizontal="center"/>
    </xf>
    <xf numFmtId="0" fontId="2" fillId="0" borderId="0" xfId="1"/>
    <xf numFmtId="14" fontId="4" fillId="0" borderId="1" xfId="1" applyNumberFormat="1" applyFont="1" applyFill="1" applyBorder="1" applyAlignment="1"/>
    <xf numFmtId="0" fontId="4" fillId="0" borderId="1" xfId="1" applyFont="1" applyFill="1" applyBorder="1" applyAlignment="1"/>
    <xf numFmtId="14" fontId="5" fillId="0" borderId="0" xfId="1" applyNumberFormat="1" applyFont="1"/>
    <xf numFmtId="0" fontId="5" fillId="0" borderId="0" xfId="1" applyFont="1"/>
    <xf numFmtId="0" fontId="6" fillId="0" borderId="2" xfId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58" fontId="8" fillId="0" borderId="5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58" fontId="8" fillId="0" borderId="6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right" vertical="center"/>
    </xf>
    <xf numFmtId="0" fontId="9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58" fontId="8" fillId="0" borderId="8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58" fontId="8" fillId="0" borderId="9" xfId="0" applyNumberFormat="1" applyFont="1" applyBorder="1" applyAlignment="1">
      <alignment horizontal="right" vertical="center"/>
    </xf>
  </cellXfs>
  <cellStyles count="2">
    <cellStyle name="常规" xfId="0" builtinId="0"/>
    <cellStyle name="常规_甘特图求助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FF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任务甘特图</a:t>
            </a:r>
          </a:p>
        </c:rich>
      </c:tx>
      <c:layout>
        <c:manualLayout>
          <c:xMode val="edge"/>
          <c:yMode val="edge"/>
          <c:x val="0.4361239734248426"/>
          <c:y val="3.225806451612903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56407248656688"/>
          <c:y val="0.22580645161290322"/>
          <c:w val="0.82525815846721051"/>
          <c:h val="0.7331378299120234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甘特图!$B$2</c:f>
              <c:strCache>
                <c:ptCount val="1"/>
                <c:pt idx="0">
                  <c:v>计划开始日</c:v>
                </c:pt>
              </c:strCache>
            </c:strRef>
          </c:tx>
          <c:spPr>
            <a:noFill/>
            <a:ln w="25400">
              <a:noFill/>
            </a:ln>
          </c:spPr>
          <c:invertIfNegative val="0"/>
          <c:cat>
            <c:strRef>
              <c:f>甘特图!$A$3:$A$10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甘特图!$B$3:$B$10</c:f>
              <c:numCache>
                <c:formatCode>m/d/yyyy</c:formatCode>
                <c:ptCount val="8"/>
                <c:pt idx="0">
                  <c:v>38845</c:v>
                </c:pt>
                <c:pt idx="1">
                  <c:v>38849</c:v>
                </c:pt>
                <c:pt idx="2">
                  <c:v>38850</c:v>
                </c:pt>
                <c:pt idx="3">
                  <c:v>38852</c:v>
                </c:pt>
                <c:pt idx="4">
                  <c:v>38853</c:v>
                </c:pt>
                <c:pt idx="5">
                  <c:v>38863</c:v>
                </c:pt>
                <c:pt idx="6">
                  <c:v>38867</c:v>
                </c:pt>
                <c:pt idx="7">
                  <c:v>38870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B-4003-B509-4AF464A33A8B}"/>
            </c:ext>
          </c:extLst>
        </c:ser>
        <c:ser>
          <c:idx val="1"/>
          <c:order val="1"/>
          <c:tx>
            <c:strRef>
              <c:f>甘特图!$C$2</c:f>
              <c:strCache>
                <c:ptCount val="1"/>
                <c:pt idx="0">
                  <c:v>天数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甘特图!$A$3:$A$10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甘特图!$C$3:$C$10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10</c:v>
                </c:pt>
                <c:pt idx="5">
                  <c:v>5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B-4003-B509-4AF464A33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3210304"/>
        <c:axId val="1"/>
      </c:barChart>
      <c:scatterChart>
        <c:scatterStyle val="lineMarker"/>
        <c:varyColors val="0"/>
        <c:ser>
          <c:idx val="2"/>
          <c:order val="2"/>
          <c:tx>
            <c:v>线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(甘特图!$B$12,甘特图!$B$12)</c:f>
              <c:numCache>
                <c:formatCode>m/d/yyyy</c:formatCode>
                <c:ptCount val="2"/>
                <c:pt idx="0">
                  <c:v>38858</c:v>
                </c:pt>
                <c:pt idx="1">
                  <c:v>38858</c:v>
                </c:pt>
              </c:numCache>
            </c:numRef>
          </c:xVal>
          <c:yVal>
            <c:numLit>
              <c:formatCode>General</c:formatCode>
              <c:ptCount val="2"/>
              <c:pt idx="0">
                <c:v>10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F4B-4003-B509-4AF464A33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catAx>
        <c:axId val="117321030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8875"/>
          <c:min val="38845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m/d;@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173210304"/>
        <c:crosses val="autoZero"/>
        <c:crossBetween val="between"/>
      </c:valAx>
      <c:valAx>
        <c:axId val="3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4"/>
        <c:crosses val="max"/>
        <c:crossBetween val="midCat"/>
      </c:valAx>
      <c:valAx>
        <c:axId val="4"/>
        <c:scaling>
          <c:orientation val="minMax"/>
          <c:max val="10"/>
        </c:scaling>
        <c:delete val="1"/>
        <c:axPos val="r"/>
        <c:numFmt formatCode="General" sourceLinked="1"/>
        <c:majorTickMark val="out"/>
        <c:minorTickMark val="none"/>
        <c:tickLblPos val="nextTo"/>
        <c:crossAx val="3"/>
        <c:crosses val="max"/>
        <c:crossBetween val="midCat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r>
              <a:rPr lang="zh-CN" altLang="en-US"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甘特图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90253718285214"/>
          <c:y val="0.20316813339509035"/>
          <c:w val="0.78414829396325458"/>
          <c:h val="0.6661129123565436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chart!$C$2</c:f>
              <c:strCache>
                <c:ptCount val="1"/>
                <c:pt idx="0">
                  <c:v>计划开始日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chart!$B$3:$B$10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chart!$C$3:$C$10</c:f>
              <c:numCache>
                <c:formatCode>m"月"d"日"</c:formatCode>
                <c:ptCount val="8"/>
                <c:pt idx="0">
                  <c:v>43398</c:v>
                </c:pt>
                <c:pt idx="1">
                  <c:v>43406</c:v>
                </c:pt>
                <c:pt idx="2">
                  <c:v>43413</c:v>
                </c:pt>
                <c:pt idx="3">
                  <c:v>43420</c:v>
                </c:pt>
                <c:pt idx="4">
                  <c:v>43429</c:v>
                </c:pt>
                <c:pt idx="5">
                  <c:v>43439</c:v>
                </c:pt>
                <c:pt idx="6">
                  <c:v>43444</c:v>
                </c:pt>
                <c:pt idx="7">
                  <c:v>43449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C-4FF8-96DF-8439C1069FCB}"/>
            </c:ext>
          </c:extLst>
        </c:ser>
        <c:ser>
          <c:idx val="1"/>
          <c:order val="1"/>
          <c:tx>
            <c:strRef>
              <c:f>chart!$D$2</c:f>
              <c:strCache>
                <c:ptCount val="1"/>
                <c:pt idx="0">
                  <c:v>天数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chart!$B$3:$B$10</c:f>
              <c:strCache>
                <c:ptCount val="8"/>
                <c:pt idx="0">
                  <c:v>项目确定</c:v>
                </c:pt>
                <c:pt idx="1">
                  <c:v>问卷设计</c:v>
                </c:pt>
                <c:pt idx="2">
                  <c:v>试访</c:v>
                </c:pt>
                <c:pt idx="3">
                  <c:v>问卷确定</c:v>
                </c:pt>
                <c:pt idx="4">
                  <c:v>实地执行</c:v>
                </c:pt>
                <c:pt idx="5">
                  <c:v>数据录入</c:v>
                </c:pt>
                <c:pt idx="6">
                  <c:v>数据分析</c:v>
                </c:pt>
                <c:pt idx="7">
                  <c:v>报告提交</c:v>
                </c:pt>
              </c:strCache>
            </c:strRef>
          </c:cat>
          <c:val>
            <c:numRef>
              <c:f>chart!$D$3:$D$10</c:f>
              <c:numCache>
                <c:formatCode>General</c:formatCode>
                <c:ptCount val="8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  <c:pt idx="5">
                  <c:v>4</c:v>
                </c:pt>
                <c:pt idx="6">
                  <c:v>4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C-4FF8-96DF-8439C1069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08193560"/>
        <c:axId val="908185688"/>
      </c:barChart>
      <c:scatterChart>
        <c:scatterStyle val="lineMarker"/>
        <c:varyColors val="0"/>
        <c:ser>
          <c:idx val="2"/>
          <c:order val="2"/>
          <c:tx>
            <c:strRef>
              <c:f>chart!$B$12</c:f>
              <c:strCache>
                <c:ptCount val="1"/>
                <c:pt idx="0">
                  <c:v>当前日期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fixedVal"/>
            <c:noEndCap val="1"/>
            <c:val val="1"/>
            <c:spPr>
              <a:noFill/>
              <a:ln w="19050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prstDash val="sysDash"/>
                <a:round/>
              </a:ln>
              <a:effectLst/>
            </c:spPr>
          </c:errBars>
          <c:xVal>
            <c:numRef>
              <c:f>chart!$C$12</c:f>
              <c:numCache>
                <c:formatCode>m/d/yyyy</c:formatCode>
                <c:ptCount val="1"/>
                <c:pt idx="0">
                  <c:v>43407</c:v>
                </c:pt>
              </c:numCache>
            </c:numRef>
          </c:xVal>
          <c:yVal>
            <c:numRef>
              <c:f>chart!$C$13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CC-4FF8-96DF-8439C1069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12976"/>
        <c:axId val="908186344"/>
      </c:scatterChart>
      <c:catAx>
        <c:axId val="908193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endParaRPr lang="zh-CN"/>
          </a:p>
        </c:txPr>
        <c:crossAx val="908185688"/>
        <c:crosses val="autoZero"/>
        <c:auto val="1"/>
        <c:lblAlgn val="ctr"/>
        <c:lblOffset val="100"/>
        <c:noMultiLvlLbl val="0"/>
      </c:catAx>
      <c:valAx>
        <c:axId val="908185688"/>
        <c:scaling>
          <c:orientation val="minMax"/>
          <c:max val="43462"/>
          <c:min val="4339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908193560"/>
        <c:crosses val="autoZero"/>
        <c:crossBetween val="between"/>
      </c:valAx>
      <c:valAx>
        <c:axId val="908186344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4312976"/>
        <c:crosses val="max"/>
        <c:crossBetween val="midCat"/>
      </c:valAx>
      <c:valAx>
        <c:axId val="3743129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08186344"/>
        <c:crossBetween val="midCat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12</xdr:row>
      <xdr:rowOff>66675</xdr:rowOff>
    </xdr:from>
    <xdr:to>
      <xdr:col>8</xdr:col>
      <xdr:colOff>609600</xdr:colOff>
      <xdr:row>30</xdr:row>
      <xdr:rowOff>57150</xdr:rowOff>
    </xdr:to>
    <xdr:graphicFrame macro="">
      <xdr:nvGraphicFramePr>
        <xdr:cNvPr id="10256" name="图表 16">
          <a:extLst>
            <a:ext uri="{FF2B5EF4-FFF2-40B4-BE49-F238E27FC236}">
              <a16:creationId xmlns:a16="http://schemas.microsoft.com/office/drawing/2014/main" id="{9987615A-0B3F-4BCA-BF28-732F2C74A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200024</xdr:rowOff>
    </xdr:from>
    <xdr:to>
      <xdr:col>13</xdr:col>
      <xdr:colOff>304800</xdr:colOff>
      <xdr:row>17</xdr:row>
      <xdr:rowOff>200024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C4798D-0B3E-4DFE-8831-3DB3B1C24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Goog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074F1"/>
      </a:accent1>
      <a:accent2>
        <a:srgbClr val="E63224"/>
      </a:accent2>
      <a:accent3>
        <a:srgbClr val="F5AD01"/>
      </a:accent3>
      <a:accent4>
        <a:srgbClr val="249B41"/>
      </a:accent4>
      <a:accent5>
        <a:srgbClr val="382F2A"/>
      </a:accent5>
      <a:accent6>
        <a:srgbClr val="BC70C1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workbookViewId="0">
      <selection activeCell="A2" sqref="A2:D10"/>
    </sheetView>
  </sheetViews>
  <sheetFormatPr defaultColWidth="10.28515625" defaultRowHeight="14.25" x14ac:dyDescent="0.15"/>
  <cols>
    <col min="1" max="1" width="13" style="6" customWidth="1"/>
    <col min="2" max="2" width="13.85546875" style="6" bestFit="1" customWidth="1"/>
    <col min="3" max="3" width="6.5703125" style="6" bestFit="1" customWidth="1"/>
    <col min="4" max="4" width="13.85546875" style="2" bestFit="1" customWidth="1"/>
    <col min="5" max="16384" width="10.28515625" style="2"/>
  </cols>
  <sheetData>
    <row r="1" spans="1:4" x14ac:dyDescent="0.15">
      <c r="A1" s="7" t="s">
        <v>8</v>
      </c>
      <c r="B1" s="8"/>
      <c r="C1" s="8"/>
      <c r="D1" s="8"/>
    </row>
    <row r="2" spans="1:4" x14ac:dyDescent="0.15">
      <c r="A2" s="2"/>
      <c r="B2" s="1" t="s">
        <v>9</v>
      </c>
      <c r="C2" s="1" t="s">
        <v>12</v>
      </c>
      <c r="D2" s="1" t="s">
        <v>10</v>
      </c>
    </row>
    <row r="3" spans="1:4" x14ac:dyDescent="0.15">
      <c r="A3" s="1" t="s">
        <v>0</v>
      </c>
      <c r="B3" s="3">
        <v>38845</v>
      </c>
      <c r="C3" s="4">
        <f>D3-B3</f>
        <v>5</v>
      </c>
      <c r="D3" s="3">
        <v>38850</v>
      </c>
    </row>
    <row r="4" spans="1:4" x14ac:dyDescent="0.15">
      <c r="A4" s="1" t="s">
        <v>1</v>
      </c>
      <c r="B4" s="3">
        <v>38849</v>
      </c>
      <c r="C4" s="4">
        <f t="shared" ref="C4:C10" si="0">D4-B4</f>
        <v>3</v>
      </c>
      <c r="D4" s="3">
        <v>38852</v>
      </c>
    </row>
    <row r="5" spans="1:4" x14ac:dyDescent="0.15">
      <c r="A5" s="1" t="s">
        <v>2</v>
      </c>
      <c r="B5" s="3">
        <v>38850</v>
      </c>
      <c r="C5" s="4">
        <f t="shared" si="0"/>
        <v>3</v>
      </c>
      <c r="D5" s="3">
        <v>38853</v>
      </c>
    </row>
    <row r="6" spans="1:4" x14ac:dyDescent="0.15">
      <c r="A6" s="1" t="s">
        <v>3</v>
      </c>
      <c r="B6" s="3">
        <v>38852</v>
      </c>
      <c r="C6" s="4">
        <f t="shared" si="0"/>
        <v>1</v>
      </c>
      <c r="D6" s="3">
        <v>38853</v>
      </c>
    </row>
    <row r="7" spans="1:4" x14ac:dyDescent="0.15">
      <c r="A7" s="1" t="s">
        <v>4</v>
      </c>
      <c r="B7" s="3">
        <v>38853</v>
      </c>
      <c r="C7" s="4">
        <f t="shared" si="0"/>
        <v>10</v>
      </c>
      <c r="D7" s="3">
        <v>38863</v>
      </c>
    </row>
    <row r="8" spans="1:4" x14ac:dyDescent="0.15">
      <c r="A8" s="1" t="s">
        <v>5</v>
      </c>
      <c r="B8" s="3">
        <v>38863</v>
      </c>
      <c r="C8" s="4">
        <f t="shared" si="0"/>
        <v>5</v>
      </c>
      <c r="D8" s="3">
        <v>38868</v>
      </c>
    </row>
    <row r="9" spans="1:4" x14ac:dyDescent="0.15">
      <c r="A9" s="1" t="s">
        <v>6</v>
      </c>
      <c r="B9" s="3">
        <v>38867</v>
      </c>
      <c r="C9" s="4">
        <f t="shared" si="0"/>
        <v>3</v>
      </c>
      <c r="D9" s="3">
        <v>38870</v>
      </c>
    </row>
    <row r="10" spans="1:4" x14ac:dyDescent="0.15">
      <c r="A10" s="1" t="s">
        <v>7</v>
      </c>
      <c r="B10" s="3">
        <v>38870</v>
      </c>
      <c r="C10" s="4">
        <f t="shared" si="0"/>
        <v>6</v>
      </c>
      <c r="D10" s="3">
        <v>38876</v>
      </c>
    </row>
    <row r="11" spans="1:4" x14ac:dyDescent="0.15">
      <c r="C11" s="2"/>
    </row>
    <row r="12" spans="1:4" x14ac:dyDescent="0.15">
      <c r="A12" s="1" t="s">
        <v>11</v>
      </c>
      <c r="B12" s="3">
        <v>38858</v>
      </c>
      <c r="C12" s="2"/>
    </row>
    <row r="13" spans="1:4" x14ac:dyDescent="0.15">
      <c r="A13" s="5"/>
      <c r="C13" s="2"/>
    </row>
    <row r="14" spans="1:4" x14ac:dyDescent="0.15">
      <c r="C14" s="2"/>
    </row>
  </sheetData>
  <mergeCells count="1">
    <mergeCell ref="A1:D1"/>
  </mergeCells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4"/>
  <sheetViews>
    <sheetView showGridLines="0" tabSelected="1" workbookViewId="0"/>
  </sheetViews>
  <sheetFormatPr defaultRowHeight="15.95" customHeight="1" x14ac:dyDescent="0.2"/>
  <cols>
    <col min="1" max="1" width="2.7109375" style="9" customWidth="1"/>
    <col min="2" max="2" width="9.7109375" style="9" customWidth="1"/>
    <col min="3" max="3" width="12.42578125" style="10" customWidth="1"/>
    <col min="4" max="4" width="6.85546875" style="10" customWidth="1"/>
    <col min="5" max="5" width="12.42578125" style="10" customWidth="1"/>
    <col min="6" max="6" width="2.7109375" style="9" customWidth="1"/>
    <col min="7" max="16384" width="9.140625" style="9"/>
  </cols>
  <sheetData>
    <row r="2" spans="2:5" ht="15.95" customHeight="1" x14ac:dyDescent="0.2">
      <c r="B2" s="17" t="s">
        <v>25</v>
      </c>
      <c r="C2" s="18" t="s">
        <v>13</v>
      </c>
      <c r="D2" s="18" t="s">
        <v>14</v>
      </c>
      <c r="E2" s="19" t="s">
        <v>15</v>
      </c>
    </row>
    <row r="3" spans="2:5" ht="15.95" customHeight="1" x14ac:dyDescent="0.2">
      <c r="B3" s="20" t="s">
        <v>16</v>
      </c>
      <c r="C3" s="21">
        <v>43398</v>
      </c>
      <c r="D3" s="22">
        <f>E3-C3</f>
        <v>7</v>
      </c>
      <c r="E3" s="23">
        <v>43405</v>
      </c>
    </row>
    <row r="4" spans="2:5" ht="15.95" customHeight="1" x14ac:dyDescent="0.2">
      <c r="B4" s="20" t="s">
        <v>17</v>
      </c>
      <c r="C4" s="21">
        <v>43406</v>
      </c>
      <c r="D4" s="22">
        <f t="shared" ref="D4:D10" si="0">E4-C4</f>
        <v>6</v>
      </c>
      <c r="E4" s="23">
        <v>43412</v>
      </c>
    </row>
    <row r="5" spans="2:5" ht="15.95" customHeight="1" x14ac:dyDescent="0.2">
      <c r="B5" s="20" t="s">
        <v>18</v>
      </c>
      <c r="C5" s="21">
        <v>43413</v>
      </c>
      <c r="D5" s="22">
        <f t="shared" si="0"/>
        <v>6</v>
      </c>
      <c r="E5" s="23">
        <v>43419</v>
      </c>
    </row>
    <row r="6" spans="2:5" ht="15.95" customHeight="1" x14ac:dyDescent="0.2">
      <c r="B6" s="20" t="s">
        <v>19</v>
      </c>
      <c r="C6" s="21">
        <v>43420</v>
      </c>
      <c r="D6" s="22">
        <f t="shared" si="0"/>
        <v>8</v>
      </c>
      <c r="E6" s="23">
        <v>43428</v>
      </c>
    </row>
    <row r="7" spans="2:5" ht="15.95" customHeight="1" x14ac:dyDescent="0.2">
      <c r="B7" s="20" t="s">
        <v>20</v>
      </c>
      <c r="C7" s="21">
        <v>43429</v>
      </c>
      <c r="D7" s="22">
        <f t="shared" si="0"/>
        <v>9</v>
      </c>
      <c r="E7" s="23">
        <v>43438</v>
      </c>
    </row>
    <row r="8" spans="2:5" ht="15.95" customHeight="1" x14ac:dyDescent="0.2">
      <c r="B8" s="20" t="s">
        <v>21</v>
      </c>
      <c r="C8" s="21">
        <v>43439</v>
      </c>
      <c r="D8" s="22">
        <f t="shared" si="0"/>
        <v>4</v>
      </c>
      <c r="E8" s="23">
        <v>43443</v>
      </c>
    </row>
    <row r="9" spans="2:5" ht="15.95" customHeight="1" x14ac:dyDescent="0.2">
      <c r="B9" s="20" t="s">
        <v>22</v>
      </c>
      <c r="C9" s="21">
        <v>43444</v>
      </c>
      <c r="D9" s="22">
        <f t="shared" si="0"/>
        <v>4</v>
      </c>
      <c r="E9" s="23">
        <v>43448</v>
      </c>
    </row>
    <row r="10" spans="2:5" ht="15.95" customHeight="1" x14ac:dyDescent="0.2">
      <c r="B10" s="11" t="s">
        <v>23</v>
      </c>
      <c r="C10" s="12">
        <v>43449</v>
      </c>
      <c r="D10" s="13">
        <f t="shared" si="0"/>
        <v>13</v>
      </c>
      <c r="E10" s="14">
        <v>43462</v>
      </c>
    </row>
    <row r="12" spans="2:5" ht="15.95" customHeight="1" x14ac:dyDescent="0.2">
      <c r="B12" s="15" t="s">
        <v>24</v>
      </c>
      <c r="C12" s="16">
        <f ca="1">TODAY()</f>
        <v>43407</v>
      </c>
      <c r="D12" s="10" t="s">
        <v>26</v>
      </c>
    </row>
    <row r="13" spans="2:5" ht="15.95" customHeight="1" x14ac:dyDescent="0.2">
      <c r="C13" s="10">
        <v>0</v>
      </c>
      <c r="D13" s="10" t="s">
        <v>27</v>
      </c>
    </row>
    <row r="14" spans="2:5" ht="15.95" customHeight="1" x14ac:dyDescent="0.2">
      <c r="B14" s="9" t="s">
        <v>28</v>
      </c>
      <c r="C14" s="10" t="str">
        <f ca="1">B12&amp;CHAR(10)&amp;C12</f>
        <v>当前日期
43407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甘特图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cp:lastPrinted>2005-06-28T07:16:43Z</cp:lastPrinted>
  <dcterms:created xsi:type="dcterms:W3CDTF">2005-06-28T03:46:19Z</dcterms:created>
  <dcterms:modified xsi:type="dcterms:W3CDTF">2018-11-03T13:15:14Z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ca060a97-0517-4e96-b89f-bd96a9b50fa4</vt:lpwstr>
  </property>
</Properties>
</file>