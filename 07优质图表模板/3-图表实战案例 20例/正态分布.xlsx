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/>
  <xr:revisionPtr revIDLastSave="0" documentId="13_ncr:1_{D45EFB4F-8823-4216-A089-E04442CDCC3A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externalReferences>
    <externalReference r:id="rId2"/>
  </externalReferences>
  <definedNames>
    <definedName name="基本工资">Sheet1!$B$4:$B$182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4" i="1"/>
  <c r="H2" i="1" l="1"/>
  <c r="H1" i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E2" i="1"/>
  <c r="E1" i="1"/>
  <c r="E4" i="1" l="1"/>
  <c r="E5" i="1"/>
  <c r="E29" i="1" l="1"/>
  <c r="E6" i="1"/>
  <c r="E30" i="1" l="1"/>
  <c r="E7" i="1"/>
  <c r="E31" i="1" l="1"/>
  <c r="E8" i="1"/>
  <c r="E32" i="1" l="1"/>
  <c r="E9" i="1"/>
  <c r="E33" i="1" l="1"/>
  <c r="E10" i="1"/>
  <c r="E34" i="1" l="1"/>
  <c r="E11" i="1"/>
  <c r="E35" i="1" l="1"/>
  <c r="E12" i="1"/>
  <c r="E36" i="1" l="1"/>
  <c r="E13" i="1"/>
  <c r="E37" i="1" l="1"/>
  <c r="E14" i="1"/>
  <c r="E38" i="1" l="1"/>
  <c r="E15" i="1"/>
  <c r="E39" i="1" l="1"/>
  <c r="E16" i="1"/>
  <c r="E40" i="1" l="1"/>
  <c r="E17" i="1"/>
  <c r="E41" i="1" l="1"/>
  <c r="E18" i="1"/>
  <c r="E42" i="1" l="1"/>
  <c r="E19" i="1"/>
  <c r="E43" i="1" l="1"/>
  <c r="E20" i="1"/>
  <c r="E44" i="1" l="1"/>
  <c r="E21" i="1"/>
  <c r="E45" i="1" l="1"/>
  <c r="E22" i="1"/>
  <c r="E46" i="1" l="1"/>
  <c r="E23" i="1"/>
  <c r="E47" i="1" l="1"/>
  <c r="E24" i="1"/>
  <c r="E48" i="1" l="1"/>
  <c r="E25" i="1"/>
  <c r="E49" i="1" l="1"/>
  <c r="E26" i="1"/>
  <c r="E50" i="1" l="1"/>
  <c r="E28" i="1"/>
  <c r="E27" i="1"/>
  <c r="E51" i="1" l="1"/>
  <c r="E52" i="1" l="1"/>
  <c r="E53" i="1" l="1"/>
  <c r="E54" i="1" l="1"/>
  <c r="E55" i="1" l="1"/>
  <c r="E56" i="1" l="1"/>
  <c r="E57" i="1" l="1"/>
  <c r="E58" i="1" l="1"/>
  <c r="E59" i="1" l="1"/>
  <c r="E60" i="1" l="1"/>
  <c r="E61" i="1" l="1"/>
  <c r="E62" i="1" l="1"/>
  <c r="E63" i="1" l="1"/>
  <c r="E64" i="1" l="1"/>
  <c r="E65" i="1" l="1"/>
  <c r="E66" i="1" l="1"/>
  <c r="E67" i="1" l="1"/>
  <c r="E68" i="1" l="1"/>
  <c r="E69" i="1" l="1"/>
  <c r="E70" i="1" l="1"/>
  <c r="E71" i="1" l="1"/>
  <c r="E72" i="1" l="1"/>
  <c r="E73" i="1" l="1"/>
  <c r="E74" i="1" l="1"/>
  <c r="E76" i="1" l="1"/>
  <c r="E75" i="1"/>
</calcChain>
</file>

<file path=xl/sharedStrings.xml><?xml version="1.0" encoding="utf-8"?>
<sst xmlns="http://schemas.openxmlformats.org/spreadsheetml/2006/main" count="190" uniqueCount="190">
  <si>
    <t>员工编号</t>
    <phoneticPr fontId="5" type="noConversion"/>
  </si>
  <si>
    <t>基本工资</t>
    <phoneticPr fontId="5" type="noConversion"/>
  </si>
  <si>
    <t>0001</t>
    <phoneticPr fontId="6" type="noConversion"/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</si>
  <si>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</si>
  <si>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</si>
  <si>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</si>
  <si>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</si>
  <si>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</si>
  <si>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</si>
  <si>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</si>
  <si>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</si>
  <si>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</si>
  <si>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</si>
  <si>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</si>
  <si>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</si>
  <si>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</si>
  <si>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</si>
  <si>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</si>
  <si>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</si>
  <si>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</si>
  <si>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</si>
  <si>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</si>
  <si>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</si>
  <si>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</si>
  <si>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</si>
  <si>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</si>
  <si>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</si>
  <si>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</si>
  <si>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</si>
  <si>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</si>
  <si>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</si>
  <si>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</si>
  <si>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</si>
  <si>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</si>
  <si>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</si>
  <si>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</si>
  <si>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</si>
  <si>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</si>
  <si>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</si>
  <si>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</si>
  <si>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</si>
  <si>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</si>
  <si>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</si>
  <si>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</si>
  <si>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</si>
  <si>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</si>
  <si>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</si>
  <si>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</si>
  <si>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</si>
  <si>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</si>
  <si>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</si>
  <si>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</si>
  <si>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</si>
  <si>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</si>
  <si>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</si>
  <si>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</si>
  <si>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</si>
  <si>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</si>
  <si>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</si>
  <si>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</si>
  <si>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</si>
  <si>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</si>
  <si>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</si>
  <si>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</si>
  <si>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</si>
  <si>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</si>
  <si>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</si>
  <si>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</si>
  <si>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</si>
  <si>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</si>
  <si>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</si>
  <si>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</si>
  <si>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</si>
  <si>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</si>
  <si>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</si>
  <si>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</si>
  <si>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</si>
  <si>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</si>
  <si>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</si>
  <si>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</si>
  <si>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</si>
  <si>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</si>
  <si>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</si>
  <si>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</si>
  <si>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</si>
  <si>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</si>
  <si>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</si>
  <si>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</si>
  <si>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</si>
  <si>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</si>
  <si>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</si>
  <si>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</si>
  <si>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</si>
  <si>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</si>
  <si>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</si>
  <si>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</si>
  <si>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</si>
  <si>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</si>
  <si>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</si>
  <si>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</si>
  <si>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</si>
  <si>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</si>
  <si>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</si>
  <si>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</si>
  <si>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</si>
  <si>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</si>
  <si>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</si>
  <si>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</si>
  <si>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</si>
  <si>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</si>
  <si>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</si>
  <si>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</si>
  <si>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</si>
  <si>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</si>
  <si>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</si>
  <si>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</si>
  <si>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</si>
  <si>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</si>
  <si>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</si>
  <si>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</si>
  <si>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</si>
  <si>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</si>
  <si>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</si>
  <si>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</si>
  <si>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</si>
  <si>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</si>
  <si>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</si>
  <si>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</si>
  <si>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</si>
  <si>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</si>
  <si>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</si>
  <si>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</si>
  <si>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</si>
  <si>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</si>
  <si>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</si>
  <si>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</si>
  <si>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</si>
  <si>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</si>
  <si>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</si>
  <si>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</si>
  <si>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</si>
  <si>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</si>
  <si>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</si>
  <si>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</si>
  <si>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</si>
  <si>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</si>
  <si>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</si>
  <si>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</si>
  <si>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</si>
  <si>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</si>
  <si>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</si>
  <si>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</si>
  <si>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</si>
  <si>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</si>
  <si>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</si>
  <si>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</si>
  <si>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</si>
  <si>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</si>
  <si>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</si>
  <si>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</si>
  <si>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</si>
  <si>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</si>
  <si>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</si>
  <si>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</si>
  <si>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</si>
  <si>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</si>
  <si>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</si>
  <si>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</si>
  <si>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</si>
  <si>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</si>
  <si>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</si>
  <si>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</si>
  <si>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</si>
  <si>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</si>
  <si>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</si>
  <si>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</si>
  <si>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</si>
  <si>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</si>
  <si>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</si>
  <si>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</si>
  <si>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</si>
  <si>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Mean</t>
    <phoneticPr fontId="1" type="noConversion"/>
  </si>
  <si>
    <t>SD</t>
  </si>
  <si>
    <t>SD</t>
    <phoneticPr fontId="1" type="noConversion"/>
  </si>
  <si>
    <t>Ht.</t>
  </si>
  <si>
    <t>分组</t>
    <phoneticPr fontId="1" type="noConversion"/>
  </si>
  <si>
    <t>频率</t>
    <phoneticPr fontId="1" type="noConversion"/>
  </si>
  <si>
    <t>min</t>
    <phoneticPr fontId="1" type="noConversion"/>
  </si>
  <si>
    <t>max</t>
    <phoneticPr fontId="1" type="noConversion"/>
  </si>
  <si>
    <t>HT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</si>
</sst>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6" formatCode="0.00_);[Red]\(0.00\)"/>
    <numFmt numFmtId="177" formatCode="_ * #,##0_ ;_ * \-#,##0_ ;_ * &quot;-&quot;??_ ;_ @_ "/>
    <numFmt numFmtId="179" formatCode="_(* #,##0.00_);_(* \(#,##0.00\);_(* &quot;-&quot;??_);_(@_)"/>
  </numFmts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2"/>
      <name val="宋体"/>
      <family val="3"/>
      <charset val="134"/>
    </font>
    <font>
      <b/>
      <sz val="9"/>
      <color theme="0"/>
      <name val="微软雅黑"/>
      <family val="2"/>
      <charset val="134"/>
    </font>
    <font>
      <sz val="12"/>
      <color indexed="8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color theme="1"/>
      <name val="Arial"/>
      <family val="2"/>
    </font>
    <font>
      <sz val="9"/>
      <color theme="1"/>
      <name val="微软雅黑"/>
      <family val="2"/>
      <charset val="134"/>
    </font>
    <font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theme="7"/>
      </patternFill>
    </fill>
  </fills>
  <borders count="5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>
      <alignment vertical="center"/>
    </xf>
    <xf numFmtId="0" fontId="3" fillId="0" borderId="0"/>
    <xf numFmtId="43" fontId="7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</cellStyleXfs>
  <cellXfs count="33">
    <xf numFmtId="0" fontId="0" fillId="0" borderId="0" xfId="0"/>
    <xf numFmtId="176" fontId="4" fillId="2" borderId="1" xfId="2" applyNumberFormat="1" applyFont="1" applyFill="1" applyBorder="1" applyAlignment="1">
      <alignment horizontal="left" vertical="center" wrapText="1"/>
    </xf>
    <xf numFmtId="43" fontId="4" fillId="2" borderId="2" xfId="3" applyNumberFormat="1" applyFont="1" applyFill="1" applyBorder="1" applyAlignment="1">
      <alignment horizontal="right" vertical="center" wrapText="1"/>
    </xf>
    <xf numFmtId="176" fontId="8" fillId="0" borderId="0" xfId="2" applyNumberFormat="1" applyFont="1" applyFill="1" applyBorder="1" applyAlignment="1">
      <alignment horizontal="left" vertical="center" wrapText="1"/>
    </xf>
    <xf numFmtId="0" fontId="10" fillId="0" borderId="0" xfId="0" applyFont="1" applyFill="1" applyAlignment="1">
      <alignment vertical="center"/>
    </xf>
    <xf numFmtId="0" fontId="9" fillId="0" borderId="1" xfId="0" applyFont="1" applyBorder="1" applyAlignment="1">
      <alignment horizontal="left" vertical="center"/>
    </xf>
    <xf numFmtId="177" fontId="8" fillId="0" borderId="2" xfId="1" applyNumberFormat="1" applyFont="1" applyBorder="1" applyAlignment="1">
      <alignment horizontal="right" vertical="center"/>
    </xf>
    <xf numFmtId="0" fontId="8" fillId="0" borderId="0" xfId="0" applyFont="1" applyFill="1" applyBorder="1" applyAlignment="1">
      <alignment vertical="center"/>
    </xf>
    <xf numFmtId="176" fontId="8" fillId="0" borderId="0" xfId="2" applyNumberFormat="1" applyFont="1" applyFill="1" applyBorder="1" applyAlignment="1">
      <alignment horizontal="left" vertical="center"/>
    </xf>
    <xf numFmtId="176" fontId="8" fillId="0" borderId="0" xfId="0" applyNumberFormat="1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Fill="1" applyBorder="1" applyAlignment="1">
      <alignment horizontal="right" vertical="center"/>
    </xf>
    <xf numFmtId="179" fontId="8" fillId="0" borderId="0" xfId="4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176" fontId="8" fillId="0" borderId="0" xfId="2" applyNumberFormat="1" applyFont="1" applyFill="1" applyAlignment="1">
      <alignment horizontal="left" vertical="center"/>
    </xf>
    <xf numFmtId="176" fontId="8" fillId="0" borderId="0" xfId="0" applyNumberFormat="1" applyFont="1" applyFill="1" applyBorder="1" applyAlignment="1">
      <alignment horizontal="right" vertical="center"/>
    </xf>
    <xf numFmtId="179" fontId="8" fillId="0" borderId="0" xfId="4" applyFont="1" applyFill="1" applyBorder="1" applyAlignment="1">
      <alignment horizontal="right" vertical="center"/>
    </xf>
    <xf numFmtId="176" fontId="8" fillId="0" borderId="0" xfId="2" applyNumberFormat="1" applyFont="1" applyFill="1" applyBorder="1" applyAlignment="1">
      <alignment horizontal="right" vertical="center"/>
    </xf>
    <xf numFmtId="176" fontId="8" fillId="0" borderId="0" xfId="2" applyNumberFormat="1" applyFont="1" applyFill="1" applyAlignment="1">
      <alignment horizontal="right" vertical="center"/>
    </xf>
    <xf numFmtId="0" fontId="8" fillId="0" borderId="0" xfId="0" applyFont="1" applyFill="1" applyAlignment="1">
      <alignment horizontal="right" vertical="center"/>
    </xf>
    <xf numFmtId="176" fontId="8" fillId="0" borderId="1" xfId="2" applyNumberFormat="1" applyFont="1" applyBorder="1" applyAlignment="1">
      <alignment horizontal="left" vertical="center"/>
    </xf>
    <xf numFmtId="0" fontId="10" fillId="0" borderId="0" xfId="0" applyFont="1" applyFill="1" applyAlignment="1">
      <alignment horizontal="right" vertical="center"/>
    </xf>
    <xf numFmtId="176" fontId="8" fillId="0" borderId="3" xfId="2" applyNumberFormat="1" applyFont="1" applyBorder="1" applyAlignment="1">
      <alignment horizontal="left" vertical="center"/>
    </xf>
    <xf numFmtId="177" fontId="8" fillId="0" borderId="4" xfId="1" applyNumberFormat="1" applyFont="1" applyBorder="1" applyAlignment="1">
      <alignment horizontal="right" vertical="center"/>
    </xf>
    <xf numFmtId="0" fontId="10" fillId="0" borderId="0" xfId="0" applyFont="1" applyFill="1" applyAlignment="1">
      <alignment horizontal="left" vertical="center"/>
    </xf>
    <xf numFmtId="176" fontId="8" fillId="0" borderId="0" xfId="2" applyNumberFormat="1" applyFont="1" applyFill="1" applyBorder="1" applyAlignment="1">
      <alignment horizontal="right" vertical="center" wrapText="1"/>
    </xf>
    <xf numFmtId="0" fontId="8" fillId="0" borderId="0" xfId="0" applyFont="1" applyFill="1" applyBorder="1" applyAlignment="1">
      <alignment horizontal="left" vertical="center"/>
    </xf>
    <xf numFmtId="176" fontId="9" fillId="0" borderId="0" xfId="2" applyNumberFormat="1" applyFont="1" applyFill="1" applyBorder="1" applyAlignment="1">
      <alignment horizontal="right" vertical="center" wrapText="1"/>
    </xf>
    <xf numFmtId="0" fontId="8" fillId="0" borderId="0" xfId="0" applyNumberFormat="1" applyFont="1" applyFill="1" applyBorder="1" applyAlignment="1">
      <alignment horizontal="right" vertical="center"/>
    </xf>
    <xf numFmtId="0" fontId="8" fillId="0" borderId="0" xfId="2" applyNumberFormat="1" applyFont="1" applyFill="1" applyBorder="1" applyAlignment="1">
      <alignment horizontal="right" vertical="center"/>
    </xf>
    <xf numFmtId="0" fontId="8" fillId="0" borderId="0" xfId="0" applyNumberFormat="1" applyFont="1" applyFill="1" applyAlignment="1">
      <alignment horizontal="right" vertical="center"/>
    </xf>
    <xf numFmtId="0" fontId="8" fillId="0" borderId="0" xfId="2" applyNumberFormat="1" applyFont="1" applyFill="1" applyAlignment="1">
      <alignment horizontal="right" vertical="center"/>
    </xf>
    <xf numFmtId="0" fontId="8" fillId="0" borderId="0" xfId="4" applyNumberFormat="1" applyFont="1" applyFill="1" applyBorder="1" applyAlignment="1">
      <alignment horizontal="right" vertical="center"/>
    </xf>
  </cellXfs>
  <cellStyles count="5">
    <cellStyle name="Comma 2" xfId="4" xr:uid="{EBF3AF4F-35F3-4200-AFCA-4BB701A2C2B6}"/>
    <cellStyle name="Comma 3" xfId="3" xr:uid="{4DB8B2F2-64A8-4347-B3B7-EF7E194118BC}"/>
    <cellStyle name="Normal 2" xfId="2" xr:uid="{A2F40166-FF50-4DB9-8119-4F8604E02D31}"/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255803902065051"/>
          <c:y val="0.12655923385920845"/>
          <c:w val="0.84745248121215355"/>
          <c:h val="0.783170490785426"/>
        </c:manualLayout>
      </c:layout>
      <c:scatterChart>
        <c:scatterStyle val="smooth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Sheet1!$D$4:$D$76</c:f>
              <c:numCache>
                <c:formatCode>General</c:formatCode>
                <c:ptCount val="73"/>
                <c:pt idx="0">
                  <c:v>-9452.8463190497023</c:v>
                </c:pt>
                <c:pt idx="1">
                  <c:v>-8856.7983969276229</c:v>
                </c:pt>
                <c:pt idx="2">
                  <c:v>-8260.7504748055435</c:v>
                </c:pt>
                <c:pt idx="3">
                  <c:v>-7664.7025526834632</c:v>
                </c:pt>
                <c:pt idx="4">
                  <c:v>-7068.6546305613829</c:v>
                </c:pt>
                <c:pt idx="5">
                  <c:v>-6472.6067084393026</c:v>
                </c:pt>
                <c:pt idx="6">
                  <c:v>-5876.5587863172223</c:v>
                </c:pt>
                <c:pt idx="7">
                  <c:v>-5280.5108641951419</c:v>
                </c:pt>
                <c:pt idx="8">
                  <c:v>-4684.4629420730616</c:v>
                </c:pt>
                <c:pt idx="9">
                  <c:v>-4088.4150199509813</c:v>
                </c:pt>
                <c:pt idx="10">
                  <c:v>-3492.367097828901</c:v>
                </c:pt>
                <c:pt idx="11">
                  <c:v>-2896.3191757068207</c:v>
                </c:pt>
                <c:pt idx="12">
                  <c:v>-2300.2712535847404</c:v>
                </c:pt>
                <c:pt idx="13">
                  <c:v>-1704.2233314626603</c:v>
                </c:pt>
                <c:pt idx="14">
                  <c:v>-1108.1754093405802</c:v>
                </c:pt>
                <c:pt idx="15">
                  <c:v>-512.12748721850016</c:v>
                </c:pt>
                <c:pt idx="16">
                  <c:v>83.920434903579917</c:v>
                </c:pt>
                <c:pt idx="17">
                  <c:v>679.96835702566</c:v>
                </c:pt>
                <c:pt idx="18">
                  <c:v>1276.0162791477401</c:v>
                </c:pt>
                <c:pt idx="19">
                  <c:v>1872.0642012698202</c:v>
                </c:pt>
                <c:pt idx="20">
                  <c:v>2468.1121233919002</c:v>
                </c:pt>
                <c:pt idx="21">
                  <c:v>3064.1600455139805</c:v>
                </c:pt>
                <c:pt idx="22">
                  <c:v>3660.2079676360609</c:v>
                </c:pt>
                <c:pt idx="23">
                  <c:v>4256.2558897581412</c:v>
                </c:pt>
                <c:pt idx="24">
                  <c:v>4852.3038118802215</c:v>
                </c:pt>
                <c:pt idx="25">
                  <c:v>5448.3517340023018</c:v>
                </c:pt>
                <c:pt idx="26">
                  <c:v>6044.3996561243821</c:v>
                </c:pt>
                <c:pt idx="27">
                  <c:v>6640.4475782464624</c:v>
                </c:pt>
                <c:pt idx="28">
                  <c:v>7236.4955003685427</c:v>
                </c:pt>
                <c:pt idx="29">
                  <c:v>7832.543422490623</c:v>
                </c:pt>
                <c:pt idx="30">
                  <c:v>8428.5913446127033</c:v>
                </c:pt>
                <c:pt idx="31">
                  <c:v>9024.6392667347827</c:v>
                </c:pt>
                <c:pt idx="32">
                  <c:v>9620.6871888568621</c:v>
                </c:pt>
                <c:pt idx="33">
                  <c:v>10216.735110978942</c:v>
                </c:pt>
                <c:pt idx="34">
                  <c:v>10812.783033101021</c:v>
                </c:pt>
                <c:pt idx="35">
                  <c:v>11408.8309552231</c:v>
                </c:pt>
                <c:pt idx="36">
                  <c:v>12004.87887734518</c:v>
                </c:pt>
                <c:pt idx="37">
                  <c:v>12600.926799467259</c:v>
                </c:pt>
                <c:pt idx="38">
                  <c:v>13196.974721589339</c:v>
                </c:pt>
                <c:pt idx="39">
                  <c:v>13793.022643711418</c:v>
                </c:pt>
                <c:pt idx="40">
                  <c:v>14389.070565833497</c:v>
                </c:pt>
                <c:pt idx="41">
                  <c:v>14985.118487955577</c:v>
                </c:pt>
                <c:pt idx="42">
                  <c:v>15581.166410077656</c:v>
                </c:pt>
                <c:pt idx="43">
                  <c:v>16177.214332199736</c:v>
                </c:pt>
                <c:pt idx="44">
                  <c:v>16773.262254321817</c:v>
                </c:pt>
                <c:pt idx="45">
                  <c:v>17369.310176443898</c:v>
                </c:pt>
                <c:pt idx="46">
                  <c:v>17965.358098565979</c:v>
                </c:pt>
                <c:pt idx="47">
                  <c:v>18561.40602068806</c:v>
                </c:pt>
                <c:pt idx="48">
                  <c:v>19157.453942810142</c:v>
                </c:pt>
                <c:pt idx="49">
                  <c:v>19753.501864932223</c:v>
                </c:pt>
                <c:pt idx="50">
                  <c:v>20349.549787054304</c:v>
                </c:pt>
                <c:pt idx="51">
                  <c:v>20945.597709176385</c:v>
                </c:pt>
                <c:pt idx="52">
                  <c:v>21541.645631298466</c:v>
                </c:pt>
                <c:pt idx="53">
                  <c:v>22137.693553420548</c:v>
                </c:pt>
                <c:pt idx="54">
                  <c:v>22733.741475542629</c:v>
                </c:pt>
                <c:pt idx="55">
                  <c:v>23329.78939766471</c:v>
                </c:pt>
                <c:pt idx="56">
                  <c:v>23925.837319786791</c:v>
                </c:pt>
                <c:pt idx="57">
                  <c:v>24521.885241908873</c:v>
                </c:pt>
                <c:pt idx="58">
                  <c:v>25117.933164030954</c:v>
                </c:pt>
                <c:pt idx="59">
                  <c:v>25713.981086153035</c:v>
                </c:pt>
                <c:pt idx="60">
                  <c:v>26310.029008275116</c:v>
                </c:pt>
                <c:pt idx="61">
                  <c:v>26906.076930397197</c:v>
                </c:pt>
                <c:pt idx="62">
                  <c:v>27502.124852519279</c:v>
                </c:pt>
                <c:pt idx="63">
                  <c:v>28098.17277464136</c:v>
                </c:pt>
                <c:pt idx="64">
                  <c:v>28694.220696763441</c:v>
                </c:pt>
                <c:pt idx="65">
                  <c:v>29290.268618885522</c:v>
                </c:pt>
                <c:pt idx="66">
                  <c:v>29886.316541007604</c:v>
                </c:pt>
                <c:pt idx="67">
                  <c:v>30482.364463129685</c:v>
                </c:pt>
                <c:pt idx="68">
                  <c:v>31078.412385251766</c:v>
                </c:pt>
                <c:pt idx="69">
                  <c:v>31674.460307373847</c:v>
                </c:pt>
                <c:pt idx="70">
                  <c:v>32270.508229495928</c:v>
                </c:pt>
                <c:pt idx="71">
                  <c:v>32866.55615161801</c:v>
                </c:pt>
                <c:pt idx="72">
                  <c:v>33462.604073740091</c:v>
                </c:pt>
              </c:numCache>
            </c:numRef>
          </c:xVal>
          <c:yVal>
            <c:numRef>
              <c:f>Sheet1!$E$4:$E$76</c:f>
              <c:numCache>
                <c:formatCode>General</c:formatCode>
                <c:ptCount val="73"/>
                <c:pt idx="0">
                  <c:v>6.1961578471737575E-7</c:v>
                </c:pt>
                <c:pt idx="1">
                  <c:v>7.9284469824396592E-7</c:v>
                </c:pt>
                <c:pt idx="2">
                  <c:v>1.007483276813507E-6</c:v>
                </c:pt>
                <c:pt idx="3">
                  <c:v>1.2713690409902628E-6</c:v>
                </c:pt>
                <c:pt idx="4">
                  <c:v>1.5932703843712312E-6</c:v>
                </c:pt>
                <c:pt idx="5">
                  <c:v>1.9828570304582112E-6</c:v>
                </c:pt>
                <c:pt idx="6">
                  <c:v>2.4506279672898608E-6</c:v>
                </c:pt>
                <c:pt idx="7">
                  <c:v>3.0077894771979093E-6</c:v>
                </c:pt>
                <c:pt idx="8">
                  <c:v>3.6660767421117419E-6</c:v>
                </c:pt>
                <c:pt idx="9">
                  <c:v>4.4375139785553749E-6</c:v>
                </c:pt>
                <c:pt idx="10">
                  <c:v>5.3341101851040591E-6</c:v>
                </c:pt>
                <c:pt idx="11">
                  <c:v>6.367490373195403E-6</c:v>
                </c:pt>
                <c:pt idx="12">
                  <c:v>7.5484655552759747E-6</c:v>
                </c:pt>
                <c:pt idx="13">
                  <c:v>8.8865486814475589E-6</c:v>
                </c:pt>
                <c:pt idx="14">
                  <c:v>1.0389427986263634E-5</c:v>
                </c:pt>
                <c:pt idx="15">
                  <c:v>1.2062413611440088E-5</c:v>
                </c:pt>
                <c:pt idx="16">
                  <c:v>1.3907877635994031E-5</c:v>
                </c:pt>
                <c:pt idx="17">
                  <c:v>1.5924711460932779E-5</c:v>
                </c:pt>
                <c:pt idx="18">
                  <c:v>1.8107827527913169E-5</c:v>
                </c:pt>
                <c:pt idx="19">
                  <c:v>2.044773426925626E-5</c:v>
                </c:pt>
                <c:pt idx="20">
                  <c:v>2.2930213688757978E-5</c:v>
                </c:pt>
                <c:pt idx="21">
                  <c:v>2.5536129815807623E-5</c:v>
                </c:pt>
                <c:pt idx="22">
                  <c:v>2.8241393303144284E-5</c:v>
                </c:pt>
                <c:pt idx="23">
                  <c:v>3.1017102606432314E-5</c:v>
                </c:pt>
                <c:pt idx="24">
                  <c:v>3.3829875576903696E-5</c:v>
                </c:pt>
                <c:pt idx="25">
                  <c:v>3.6642377141030983E-5</c:v>
                </c:pt>
                <c:pt idx="26">
                  <c:v>3.9414039395611243E-5</c:v>
                </c:pt>
                <c:pt idx="27">
                  <c:v>4.2101960398681774E-5</c:v>
                </c:pt>
                <c:pt idx="28">
                  <c:v>4.4661957770251826E-5</c:v>
                </c:pt>
                <c:pt idx="29">
                  <c:v>4.7049743576941681E-5</c:v>
                </c:pt>
                <c:pt idx="30">
                  <c:v>4.9222178521996845E-5</c:v>
                </c:pt>
                <c:pt idx="31">
                  <c:v>5.1138556822713335E-5</c:v>
                </c:pt>
                <c:pt idx="32">
                  <c:v>5.276186887085274E-5</c:v>
                </c:pt>
                <c:pt idx="33">
                  <c:v>5.4059987244288149E-5</c:v>
                </c:pt>
                <c:pt idx="34">
                  <c:v>5.5006723103347668E-5</c:v>
                </c:pt>
                <c:pt idx="35">
                  <c:v>5.5582704497278579E-5</c:v>
                </c:pt>
                <c:pt idx="36">
                  <c:v>5.5776035448779873E-5</c:v>
                </c:pt>
                <c:pt idx="37">
                  <c:v>5.5582704497278579E-5</c:v>
                </c:pt>
                <c:pt idx="38">
                  <c:v>5.5006723103347668E-5</c:v>
                </c:pt>
                <c:pt idx="39">
                  <c:v>5.4059987244288156E-5</c:v>
                </c:pt>
                <c:pt idx="40">
                  <c:v>5.276186887085274E-5</c:v>
                </c:pt>
                <c:pt idx="41">
                  <c:v>5.1138556822713349E-5</c:v>
                </c:pt>
                <c:pt idx="42">
                  <c:v>4.9222178521996852E-5</c:v>
                </c:pt>
                <c:pt idx="43">
                  <c:v>4.7049743576941695E-5</c:v>
                </c:pt>
                <c:pt idx="44">
                  <c:v>4.4661957770251846E-5</c:v>
                </c:pt>
                <c:pt idx="45">
                  <c:v>4.2101960398681781E-5</c:v>
                </c:pt>
                <c:pt idx="46">
                  <c:v>3.941403939561125E-5</c:v>
                </c:pt>
                <c:pt idx="47">
                  <c:v>3.6642377141030983E-5</c:v>
                </c:pt>
                <c:pt idx="48">
                  <c:v>3.3829875576903696E-5</c:v>
                </c:pt>
                <c:pt idx="49">
                  <c:v>3.1017102606432314E-5</c:v>
                </c:pt>
                <c:pt idx="50">
                  <c:v>2.8241393303144267E-5</c:v>
                </c:pt>
                <c:pt idx="51">
                  <c:v>2.55361298158076E-5</c:v>
                </c:pt>
                <c:pt idx="52">
                  <c:v>2.2930213688757958E-5</c:v>
                </c:pt>
                <c:pt idx="53">
                  <c:v>2.044773426925624E-5</c:v>
                </c:pt>
                <c:pt idx="54">
                  <c:v>1.8107827527913142E-5</c:v>
                </c:pt>
                <c:pt idx="55">
                  <c:v>1.5924711460932748E-5</c:v>
                </c:pt>
                <c:pt idx="56">
                  <c:v>1.3907877635994007E-5</c:v>
                </c:pt>
                <c:pt idx="57">
                  <c:v>1.2062413611440061E-5</c:v>
                </c:pt>
                <c:pt idx="58">
                  <c:v>1.0389427986263601E-5</c:v>
                </c:pt>
                <c:pt idx="59">
                  <c:v>8.8865486814475335E-6</c:v>
                </c:pt>
                <c:pt idx="60">
                  <c:v>7.5484655552759476E-6</c:v>
                </c:pt>
                <c:pt idx="61">
                  <c:v>6.3674903731953742E-6</c:v>
                </c:pt>
                <c:pt idx="62">
                  <c:v>5.3341101851040329E-6</c:v>
                </c:pt>
                <c:pt idx="63">
                  <c:v>4.4375139785553571E-6</c:v>
                </c:pt>
                <c:pt idx="64">
                  <c:v>3.6660767421117271E-6</c:v>
                </c:pt>
                <c:pt idx="65">
                  <c:v>3.0077894771978894E-6</c:v>
                </c:pt>
                <c:pt idx="66">
                  <c:v>2.4506279672898443E-6</c:v>
                </c:pt>
                <c:pt idx="67">
                  <c:v>1.9828570304581977E-6</c:v>
                </c:pt>
                <c:pt idx="68">
                  <c:v>1.5932703843712185E-6</c:v>
                </c:pt>
                <c:pt idx="69">
                  <c:v>1.271369040990252E-6</c:v>
                </c:pt>
                <c:pt idx="70">
                  <c:v>1.0074832768134981E-6</c:v>
                </c:pt>
                <c:pt idx="71">
                  <c:v>7.9284469824395872E-7</c:v>
                </c:pt>
                <c:pt idx="72">
                  <c:v>6.1961578471736919E-7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CE-4492-AA61-970EDEA9B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9684432"/>
        <c:axId val="729684760"/>
      </c:scatterChart>
      <c:valAx>
        <c:axId val="72968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9684760"/>
        <c:crosses val="autoZero"/>
        <c:crossBetween val="midCat"/>
      </c:valAx>
      <c:valAx>
        <c:axId val="72968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9684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0082367118671824E-2"/>
          <c:y val="0.13501278304555528"/>
          <c:w val="0.83121713797662367"/>
          <c:h val="0.724711647672890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Sheet1!$G$4:$G$59</c:f>
              <c:numCache>
                <c:formatCode>General</c:formatCode>
                <c:ptCount val="56"/>
                <c:pt idx="0">
                  <c:v>3000</c:v>
                </c:pt>
                <c:pt idx="1">
                  <c:v>4000</c:v>
                </c:pt>
                <c:pt idx="2">
                  <c:v>5000</c:v>
                </c:pt>
                <c:pt idx="3">
                  <c:v>6000</c:v>
                </c:pt>
                <c:pt idx="4">
                  <c:v>7000</c:v>
                </c:pt>
                <c:pt idx="5">
                  <c:v>8000</c:v>
                </c:pt>
                <c:pt idx="6">
                  <c:v>9000</c:v>
                </c:pt>
                <c:pt idx="7">
                  <c:v>10000</c:v>
                </c:pt>
                <c:pt idx="8">
                  <c:v>11000</c:v>
                </c:pt>
                <c:pt idx="9">
                  <c:v>12000</c:v>
                </c:pt>
                <c:pt idx="10">
                  <c:v>13000</c:v>
                </c:pt>
                <c:pt idx="11">
                  <c:v>14000</c:v>
                </c:pt>
                <c:pt idx="12">
                  <c:v>15000</c:v>
                </c:pt>
                <c:pt idx="13">
                  <c:v>16000</c:v>
                </c:pt>
                <c:pt idx="14">
                  <c:v>17000</c:v>
                </c:pt>
                <c:pt idx="15">
                  <c:v>18000</c:v>
                </c:pt>
                <c:pt idx="16">
                  <c:v>19000</c:v>
                </c:pt>
                <c:pt idx="17">
                  <c:v>20000</c:v>
                </c:pt>
                <c:pt idx="18">
                  <c:v>21000</c:v>
                </c:pt>
                <c:pt idx="19">
                  <c:v>22000</c:v>
                </c:pt>
                <c:pt idx="20">
                  <c:v>23000</c:v>
                </c:pt>
                <c:pt idx="21">
                  <c:v>24000</c:v>
                </c:pt>
                <c:pt idx="22">
                  <c:v>25000</c:v>
                </c:pt>
                <c:pt idx="23">
                  <c:v>26000</c:v>
                </c:pt>
                <c:pt idx="24">
                  <c:v>27000</c:v>
                </c:pt>
                <c:pt idx="25">
                  <c:v>28000</c:v>
                </c:pt>
                <c:pt idx="26">
                  <c:v>29000</c:v>
                </c:pt>
                <c:pt idx="27">
                  <c:v>30000</c:v>
                </c:pt>
                <c:pt idx="28">
                  <c:v>31000</c:v>
                </c:pt>
                <c:pt idx="29">
                  <c:v>32000</c:v>
                </c:pt>
                <c:pt idx="30">
                  <c:v>33000</c:v>
                </c:pt>
                <c:pt idx="31">
                  <c:v>34000</c:v>
                </c:pt>
                <c:pt idx="32">
                  <c:v>35000</c:v>
                </c:pt>
                <c:pt idx="33">
                  <c:v>36000</c:v>
                </c:pt>
                <c:pt idx="34">
                  <c:v>37000</c:v>
                </c:pt>
                <c:pt idx="35">
                  <c:v>38000</c:v>
                </c:pt>
                <c:pt idx="36">
                  <c:v>39000</c:v>
                </c:pt>
                <c:pt idx="37">
                  <c:v>40000</c:v>
                </c:pt>
                <c:pt idx="38">
                  <c:v>41000</c:v>
                </c:pt>
                <c:pt idx="39">
                  <c:v>42000</c:v>
                </c:pt>
                <c:pt idx="40">
                  <c:v>43000</c:v>
                </c:pt>
                <c:pt idx="41">
                  <c:v>44000</c:v>
                </c:pt>
                <c:pt idx="42">
                  <c:v>45000</c:v>
                </c:pt>
                <c:pt idx="43">
                  <c:v>46000</c:v>
                </c:pt>
                <c:pt idx="44">
                  <c:v>47000</c:v>
                </c:pt>
                <c:pt idx="45">
                  <c:v>48000</c:v>
                </c:pt>
                <c:pt idx="46">
                  <c:v>49000</c:v>
                </c:pt>
                <c:pt idx="47">
                  <c:v>50000</c:v>
                </c:pt>
                <c:pt idx="48">
                  <c:v>51000</c:v>
                </c:pt>
                <c:pt idx="49">
                  <c:v>52000</c:v>
                </c:pt>
                <c:pt idx="50">
                  <c:v>53000</c:v>
                </c:pt>
                <c:pt idx="51">
                  <c:v>54000</c:v>
                </c:pt>
                <c:pt idx="52">
                  <c:v>55000</c:v>
                </c:pt>
                <c:pt idx="53">
                  <c:v>56000</c:v>
                </c:pt>
                <c:pt idx="54">
                  <c:v>57000</c:v>
                </c:pt>
                <c:pt idx="55">
                  <c:v>58000</c:v>
                </c:pt>
              </c:numCache>
            </c:numRef>
          </c:cat>
          <c:val>
            <c:numRef>
              <c:f>Sheet1!$H$4:$H$59</c:f>
              <c:numCache>
                <c:formatCode>General</c:formatCode>
                <c:ptCount val="56"/>
                <c:pt idx="0">
                  <c:v>1</c:v>
                </c:pt>
                <c:pt idx="1">
                  <c:v>3</c:v>
                </c:pt>
                <c:pt idx="2">
                  <c:v>10</c:v>
                </c:pt>
                <c:pt idx="3">
                  <c:v>9</c:v>
                </c:pt>
                <c:pt idx="4">
                  <c:v>12</c:v>
                </c:pt>
                <c:pt idx="5">
                  <c:v>22</c:v>
                </c:pt>
                <c:pt idx="6">
                  <c:v>18</c:v>
                </c:pt>
                <c:pt idx="7">
                  <c:v>7</c:v>
                </c:pt>
                <c:pt idx="8">
                  <c:v>9</c:v>
                </c:pt>
                <c:pt idx="9">
                  <c:v>15</c:v>
                </c:pt>
                <c:pt idx="10">
                  <c:v>19</c:v>
                </c:pt>
                <c:pt idx="11">
                  <c:v>8</c:v>
                </c:pt>
                <c:pt idx="12">
                  <c:v>9</c:v>
                </c:pt>
                <c:pt idx="13">
                  <c:v>8</c:v>
                </c:pt>
                <c:pt idx="14">
                  <c:v>4</c:v>
                </c:pt>
                <c:pt idx="15">
                  <c:v>0</c:v>
                </c:pt>
                <c:pt idx="16">
                  <c:v>2</c:v>
                </c:pt>
                <c:pt idx="17">
                  <c:v>4</c:v>
                </c:pt>
                <c:pt idx="18">
                  <c:v>5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3</c:v>
                </c:pt>
                <c:pt idx="26">
                  <c:v>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2E-44C2-8B87-AD139B35D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728210944"/>
        <c:axId val="728212584"/>
      </c:barChart>
      <c:lineChart>
        <c:grouping val="standard"/>
        <c:varyColors val="0"/>
        <c:ser>
          <c:idx val="1"/>
          <c:order val="1"/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Sheet1!$I$4:$I$59</c:f>
              <c:numCache>
                <c:formatCode>General</c:formatCode>
                <c:ptCount val="56"/>
                <c:pt idx="0">
                  <c:v>2.5250382893787718E-5</c:v>
                </c:pt>
                <c:pt idx="1">
                  <c:v>2.9817166593471026E-5</c:v>
                </c:pt>
                <c:pt idx="2">
                  <c:v>3.4528341490440735E-5</c:v>
                </c:pt>
                <c:pt idx="3">
                  <c:v>3.9209924627685822E-5</c:v>
                </c:pt>
                <c:pt idx="4">
                  <c:v>4.3664374120787715E-5</c:v>
                </c:pt>
                <c:pt idx="5">
                  <c:v>4.7683641495933092E-5</c:v>
                </c:pt>
                <c:pt idx="6">
                  <c:v>5.1064905385753061E-5</c:v>
                </c:pt>
                <c:pt idx="7">
                  <c:v>5.3627381484973954E-5</c:v>
                </c:pt>
                <c:pt idx="8">
                  <c:v>5.5228289756265159E-5</c:v>
                </c:pt>
                <c:pt idx="9">
                  <c:v>5.5776022473027565E-5</c:v>
                </c:pt>
                <c:pt idx="10">
                  <c:v>5.5238824599064604E-5</c:v>
                </c:pt>
                <c:pt idx="11">
                  <c:v>5.364784237264957E-5</c:v>
                </c:pt>
                <c:pt idx="12">
                  <c:v>5.1094132981402307E-5</c:v>
                </c:pt>
                <c:pt idx="13">
                  <c:v>4.772003468647608E-5</c:v>
                </c:pt>
                <c:pt idx="14">
                  <c:v>4.3706035092235417E-5</c:v>
                </c:pt>
                <c:pt idx="15">
                  <c:v>3.9254821990382519E-5</c:v>
                </c:pt>
                <c:pt idx="16">
                  <c:v>3.4574472053658652E-5</c:v>
                </c:pt>
                <c:pt idx="17">
                  <c:v>2.9862698180117239E-5</c:v>
                </c:pt>
                <c:pt idx="18">
                  <c:v>2.5293764770071452E-5</c:v>
                </c:pt>
                <c:pt idx="19">
                  <c:v>2.1009167738480147E-5</c:v>
                </c:pt>
                <c:pt idx="20">
                  <c:v>1.7112567115177046E-5</c:v>
                </c:pt>
                <c:pt idx="21">
                  <c:v>1.3668864020392032E-5</c:v>
                </c:pt>
                <c:pt idx="22">
                  <c:v>1.0706823033193847E-5</c:v>
                </c:pt>
                <c:pt idx="23">
                  <c:v>8.2243156210583682E-6</c:v>
                </c:pt>
                <c:pt idx="24">
                  <c:v>6.1951218902127753E-6</c:v>
                </c:pt>
                <c:pt idx="25">
                  <c:v>4.5762620482576286E-6</c:v>
                </c:pt>
                <c:pt idx="26">
                  <c:v>3.3149948474027384E-6</c:v>
                </c:pt>
                <c:pt idx="27">
                  <c:v>2.3548636876877588E-6</c:v>
                </c:pt>
                <c:pt idx="28">
                  <c:v>1.6404372816116751E-6</c:v>
                </c:pt>
                <c:pt idx="29">
                  <c:v>1.1206356427187316E-6</c:v>
                </c:pt>
                <c:pt idx="30">
                  <c:v>7.5072378346634802E-7</c:v>
                </c:pt>
                <c:pt idx="31">
                  <c:v>4.9318159519369011E-7</c:v>
                </c:pt>
                <c:pt idx="32">
                  <c:v>3.1771995319802651E-7</c:v>
                </c:pt>
                <c:pt idx="33">
                  <c:v>2.0072111534599319E-7</c:v>
                </c:pt>
                <c:pt idx="34">
                  <c:v>1.2435194312653492E-7</c:v>
                </c:pt>
                <c:pt idx="35">
                  <c:v>7.5548010690704936E-8</c:v>
                </c:pt>
                <c:pt idx="36">
                  <c:v>4.5009525340641534E-8</c:v>
                </c:pt>
                <c:pt idx="37">
                  <c:v>2.6296428965626341E-8</c:v>
                </c:pt>
                <c:pt idx="38">
                  <c:v>1.5066072779321091E-8</c:v>
                </c:pt>
                <c:pt idx="39">
                  <c:v>8.4647529841224492E-9</c:v>
                </c:pt>
                <c:pt idx="40">
                  <c:v>4.6637950814084371E-9</c:v>
                </c:pt>
                <c:pt idx="41">
                  <c:v>2.5198551323459947E-9</c:v>
                </c:pt>
                <c:pt idx="42">
                  <c:v>1.3351271581700497E-9</c:v>
                </c:pt>
                <c:pt idx="43">
                  <c:v>6.9371427161360187E-10</c:v>
                </c:pt>
                <c:pt idx="44">
                  <c:v>3.5346756745041036E-10</c:v>
                </c:pt>
                <c:pt idx="45">
                  <c:v>1.7661576051027171E-10</c:v>
                </c:pt>
                <c:pt idx="46">
                  <c:v>8.6540675962480995E-11</c:v>
                </c:pt>
                <c:pt idx="47">
                  <c:v>4.1583596995510809E-11</c:v>
                </c:pt>
                <c:pt idx="48">
                  <c:v>1.9594526178076068E-11</c:v>
                </c:pt>
                <c:pt idx="49">
                  <c:v>9.0543738382628404E-12</c:v>
                </c:pt>
                <c:pt idx="50">
                  <c:v>4.1029197266971495E-12</c:v>
                </c:pt>
                <c:pt idx="51">
                  <c:v>1.8232178379509887E-12</c:v>
                </c:pt>
                <c:pt idx="52">
                  <c:v>7.9450209202935436E-13</c:v>
                </c:pt>
                <c:pt idx="53">
                  <c:v>3.3951774028642848E-13</c:v>
                </c:pt>
                <c:pt idx="54">
                  <c:v>1.4227901211173158E-13</c:v>
                </c:pt>
                <c:pt idx="55">
                  <c:v>5.8469604095992367E-14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2E-44C2-8B87-AD139B35D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8210616"/>
        <c:axId val="733560712"/>
      </c:lineChart>
      <c:catAx>
        <c:axId val="72821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rgbClr val="C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Segoe UI" panose="020B0502040204020203" pitchFamily="34" charset="0"/>
                <a:cs typeface="Segoe UI" panose="020B0502040204020203" pitchFamily="34" charset="0"/>
              </a:defRPr>
            </a:pPr>
            <a:endParaRPr lang="zh-CN"/>
          </a:p>
        </c:txPr>
        <c:crossAx val="728212584"/>
        <c:crosses val="autoZero"/>
        <c:auto val="1"/>
        <c:lblAlgn val="ctr"/>
        <c:lblOffset val="100"/>
        <c:noMultiLvlLbl val="0"/>
      </c:catAx>
      <c:valAx>
        <c:axId val="728212584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Segoe UI" panose="020B0502040204020203" pitchFamily="34" charset="0"/>
                <a:cs typeface="Segoe UI" panose="020B0502040204020203" pitchFamily="34" charset="0"/>
              </a:defRPr>
            </a:pPr>
            <a:endParaRPr lang="zh-CN"/>
          </a:p>
        </c:txPr>
        <c:crossAx val="728210944"/>
        <c:crosses val="autoZero"/>
        <c:crossBetween val="between"/>
      </c:valAx>
      <c:valAx>
        <c:axId val="73356071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Segoe UI" panose="020B0502040204020203" pitchFamily="34" charset="0"/>
                <a:cs typeface="Segoe UI" panose="020B0502040204020203" pitchFamily="34" charset="0"/>
              </a:defRPr>
            </a:pPr>
            <a:endParaRPr lang="zh-CN"/>
          </a:p>
        </c:txPr>
        <c:crossAx val="728210616"/>
        <c:crosses val="max"/>
        <c:crossBetween val="between"/>
      </c:valAx>
      <c:catAx>
        <c:axId val="728210616"/>
        <c:scaling>
          <c:orientation val="minMax"/>
        </c:scaling>
        <c:delete val="1"/>
        <c:axPos val="b"/>
        <c:majorTickMark val="none"/>
        <c:minorTickMark val="none"/>
        <c:tickLblPos val="nextTo"/>
        <c:crossAx val="73356071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Segoe UI" panose="020B0502040204020203" pitchFamily="34" charset="0"/>
          <a:ea typeface="Segoe UI" panose="020B0502040204020203" pitchFamily="34" charset="0"/>
          <a:cs typeface="Segoe UI" panose="020B0502040204020203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295275</xdr:colOff>
      <xdr:row>1</xdr:row>
      <xdr:rowOff>152399</xdr:rowOff>
    </xdr:from>
    <xdr:to>
      <xdr:col>25</xdr:col>
      <xdr:colOff>295275</xdr:colOff>
      <xdr:row>33</xdr:row>
      <xdr:rowOff>85724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189F9DA-E301-442E-B1D8-E0BE1A77C7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628650</xdr:colOff>
      <xdr:row>29</xdr:row>
      <xdr:rowOff>114299</xdr:rowOff>
    </xdr:from>
    <xdr:to>
      <xdr:col>17</xdr:col>
      <xdr:colOff>0</xdr:colOff>
      <xdr:row>65</xdr:row>
      <xdr:rowOff>161924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9737A25C-2A77-4D96-9781-B1AB9CF45F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1179;&#21494;&#25991;&#26723;/&#30707;&#22696;&#25991;&#26723;/&#25968;&#25454;&#20998;&#32452;&#30340;&#20960;&#20010;&#23039;&#21183;/&#25968;&#25454;&#20998;&#32452;&#30340;&#20960;&#20010;&#23039;&#2118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数透"/>
      <sheetName val="数据"/>
    </sheetNames>
    <sheetDataSet>
      <sheetData sheetId="0" refreshError="1"/>
      <sheetData sheetId="1">
        <row r="26">
          <cell r="H26">
            <v>3000</v>
          </cell>
          <cell r="I26">
            <v>1</v>
          </cell>
        </row>
        <row r="27">
          <cell r="H27">
            <v>5000</v>
          </cell>
          <cell r="I27">
            <v>13</v>
          </cell>
        </row>
        <row r="28">
          <cell r="H28">
            <v>7000</v>
          </cell>
          <cell r="I28">
            <v>21</v>
          </cell>
        </row>
        <row r="29">
          <cell r="H29">
            <v>9000</v>
          </cell>
          <cell r="I29">
            <v>40</v>
          </cell>
        </row>
        <row r="30">
          <cell r="H30">
            <v>11000</v>
          </cell>
          <cell r="I30">
            <v>16</v>
          </cell>
        </row>
        <row r="31">
          <cell r="H31">
            <v>13000</v>
          </cell>
          <cell r="I31">
            <v>34</v>
          </cell>
        </row>
        <row r="32">
          <cell r="H32">
            <v>15000</v>
          </cell>
          <cell r="I32">
            <v>17</v>
          </cell>
        </row>
        <row r="33">
          <cell r="H33">
            <v>17000</v>
          </cell>
          <cell r="I33">
            <v>12</v>
          </cell>
        </row>
        <row r="34">
          <cell r="H34">
            <v>19000</v>
          </cell>
          <cell r="I34">
            <v>2</v>
          </cell>
        </row>
        <row r="35">
          <cell r="H35">
            <v>21000</v>
          </cell>
          <cell r="I35">
            <v>9</v>
          </cell>
        </row>
        <row r="36">
          <cell r="H36">
            <v>23000</v>
          </cell>
          <cell r="I36">
            <v>1</v>
          </cell>
        </row>
        <row r="37">
          <cell r="H37">
            <v>25000</v>
          </cell>
          <cell r="I37">
            <v>2</v>
          </cell>
        </row>
        <row r="38">
          <cell r="H38">
            <v>27000</v>
          </cell>
          <cell r="I38">
            <v>1</v>
          </cell>
        </row>
        <row r="39">
          <cell r="H39">
            <v>29000</v>
          </cell>
          <cell r="I39">
            <v>6</v>
          </cell>
        </row>
        <row r="40">
          <cell r="H40">
            <v>35000</v>
          </cell>
          <cell r="I40">
            <v>2</v>
          </cell>
        </row>
        <row r="41">
          <cell r="H41">
            <v>43000</v>
          </cell>
          <cell r="I41">
            <v>1</v>
          </cell>
        </row>
        <row r="42">
          <cell r="H42">
            <v>53000</v>
          </cell>
          <cell r="I42">
            <v>0</v>
          </cell>
        </row>
        <row r="43">
          <cell r="H43">
            <v>57000</v>
          </cell>
          <cell r="I43">
            <v>1</v>
          </cell>
        </row>
        <row r="44">
          <cell r="H44" t="str">
            <v>其他</v>
          </cell>
          <cell r="I4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P182"/>
  <sheetViews>
    <sheetView tabSelected="1" workbookViewId="0"/>
  </sheetViews>
  <sheetFormatPr defaultRowHeight="12.75" x14ac:dyDescent="0.2"/>
  <cols>
    <col min="1" max="1" width="7.875" style="24" customWidth="1"/>
    <col min="2" max="2" width="12.375" style="21" customWidth="1"/>
    <col min="3" max="3" width="9" style="4"/>
    <col min="4" max="4" width="9" style="21"/>
    <col min="5" max="5" width="11.375" style="21" bestFit="1" customWidth="1"/>
    <col min="6" max="6" width="9" style="4"/>
    <col min="7" max="8" width="9" style="21"/>
    <col min="9" max="9" width="11.375" style="21" bestFit="1" customWidth="1"/>
    <col min="10" max="16384" width="9" style="4"/>
  </cols>
  <sheetData>
    <row r="1" spans="1:198" x14ac:dyDescent="0.2">
      <c r="D1" s="3" t="s">
        <v>181</v>
      </c>
      <c r="E1" s="21">
        <f>AVERAGE(基本工资)</f>
        <v>12004.878877345182</v>
      </c>
      <c r="G1" s="21" t="s">
        <v>187</v>
      </c>
      <c r="H1" s="21">
        <f>MIN(基本工资)</f>
        <v>2835</v>
      </c>
    </row>
    <row r="2" spans="1:198" x14ac:dyDescent="0.2">
      <c r="D2" s="26" t="s">
        <v>183</v>
      </c>
      <c r="E2" s="21">
        <f>_xlfn.STDEV.S(基本工资)</f>
        <v>7152.575065464961</v>
      </c>
      <c r="G2" s="21" t="s">
        <v>188</v>
      </c>
      <c r="H2" s="21">
        <f>MAX(基本工资)</f>
        <v>55880</v>
      </c>
    </row>
    <row r="3" spans="1:198" ht="14.25" x14ac:dyDescent="0.2">
      <c r="A3" s="1" t="s">
        <v>0</v>
      </c>
      <c r="B3" s="2" t="s">
        <v>1</v>
      </c>
      <c r="C3" s="3"/>
      <c r="D3" s="21" t="s">
        <v>182</v>
      </c>
      <c r="E3" s="25" t="s">
        <v>184</v>
      </c>
      <c r="F3" s="3"/>
      <c r="G3" s="27" t="s">
        <v>185</v>
      </c>
      <c r="H3" s="27" t="s">
        <v>186</v>
      </c>
      <c r="I3" s="25" t="s">
        <v>189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</row>
    <row r="4" spans="1:198" ht="14.25" x14ac:dyDescent="0.2">
      <c r="A4" s="5" t="s">
        <v>2</v>
      </c>
      <c r="B4" s="6">
        <v>13052.221617199999</v>
      </c>
      <c r="C4" s="7"/>
      <c r="D4" s="21">
        <f>(-E$2*3)+E$1</f>
        <v>-9452.8463190497023</v>
      </c>
      <c r="E4" s="11">
        <f>_xlfn.NORM.DIST(D4,E$1,E$2,0)</f>
        <v>6.1961578471737575E-7</v>
      </c>
      <c r="F4" s="7"/>
      <c r="G4" s="11">
        <v>3000</v>
      </c>
      <c r="H4" s="28">
        <v>1</v>
      </c>
      <c r="I4" s="11">
        <f>_xlfn.NORM.DIST(G4,AVERAGE(基本工资),_xlfn.STDEV.S(基本工资),0)</f>
        <v>2.5250382893787718E-5</v>
      </c>
      <c r="J4" s="7">
        <f>INDEX(G4:G59,MATCH(MAX(I4:I59),I4:I59,0))</f>
        <v>12000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8"/>
      <c r="BY4" s="8"/>
      <c r="BZ4" s="8"/>
      <c r="CA4" s="8"/>
      <c r="CB4" s="8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</row>
    <row r="5" spans="1:198" x14ac:dyDescent="0.2">
      <c r="A5" s="10" t="s">
        <v>3</v>
      </c>
      <c r="B5" s="6">
        <v>15688</v>
      </c>
      <c r="C5" s="7"/>
      <c r="D5" s="11">
        <f>D4+(E$2*3/36)</f>
        <v>-8856.7983969276229</v>
      </c>
      <c r="E5" s="11">
        <f t="shared" ref="E5:E68" si="0">_xlfn.NORM.DIST(D5,E$1,E$2,0)</f>
        <v>7.9284469824396592E-7</v>
      </c>
      <c r="F5" s="7"/>
      <c r="G5" s="11">
        <v>4000</v>
      </c>
      <c r="H5" s="28">
        <v>3</v>
      </c>
      <c r="I5" s="11">
        <f>_xlfn.NORM.DIST(G5,AVERAGE(基本工资),_xlfn.STDEV.S(基本工资),0)</f>
        <v>2.9817166593471026E-5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</row>
    <row r="6" spans="1:198" x14ac:dyDescent="0.2">
      <c r="A6" s="10" t="s">
        <v>4</v>
      </c>
      <c r="B6" s="6">
        <v>28353.597586423199</v>
      </c>
      <c r="C6" s="7"/>
      <c r="D6" s="11">
        <f t="shared" ref="D6:D69" si="1">D5+(E$2*3/36)</f>
        <v>-8260.7504748055435</v>
      </c>
      <c r="E6" s="11">
        <f t="shared" si="0"/>
        <v>1.007483276813507E-6</v>
      </c>
      <c r="F6" s="7"/>
      <c r="G6" s="11">
        <v>5000</v>
      </c>
      <c r="H6" s="28">
        <v>10</v>
      </c>
      <c r="I6" s="11">
        <f>_xlfn.NORM.DIST(G6,AVERAGE(基本工资),_xlfn.STDEV.S(基本工资),0)</f>
        <v>3.4528341490440735E-5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</row>
    <row r="7" spans="1:198" x14ac:dyDescent="0.2">
      <c r="A7" s="10" t="s">
        <v>5</v>
      </c>
      <c r="B7" s="6">
        <v>14379.960000000001</v>
      </c>
      <c r="C7" s="7"/>
      <c r="D7" s="11">
        <f t="shared" si="1"/>
        <v>-7664.7025526834632</v>
      </c>
      <c r="E7" s="11">
        <f t="shared" si="0"/>
        <v>1.2713690409902628E-6</v>
      </c>
      <c r="F7" s="7"/>
      <c r="G7" s="11">
        <v>6000</v>
      </c>
      <c r="H7" s="28">
        <v>9</v>
      </c>
      <c r="I7" s="11">
        <f>_xlfn.NORM.DIST(G7,AVERAGE(基本工资),_xlfn.STDEV.S(基本工资),0)</f>
        <v>3.9209924627685822E-5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</row>
    <row r="8" spans="1:198" x14ac:dyDescent="0.2">
      <c r="A8" s="10" t="s">
        <v>6</v>
      </c>
      <c r="B8" s="6">
        <v>18313.3889925888</v>
      </c>
      <c r="C8" s="8"/>
      <c r="D8" s="11">
        <f t="shared" si="1"/>
        <v>-7068.6546305613829</v>
      </c>
      <c r="E8" s="11">
        <f t="shared" si="0"/>
        <v>1.5932703843712312E-6</v>
      </c>
      <c r="F8" s="8"/>
      <c r="G8" s="11">
        <v>7000</v>
      </c>
      <c r="H8" s="29">
        <v>12</v>
      </c>
      <c r="I8" s="11">
        <f>_xlfn.NORM.DIST(G8,AVERAGE(基本工资),_xlfn.STDEV.S(基本工资),0)</f>
        <v>4.3664374120787715E-5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</row>
    <row r="9" spans="1:198" x14ac:dyDescent="0.2">
      <c r="A9" s="10" t="s">
        <v>7</v>
      </c>
      <c r="B9" s="6">
        <v>8177.5258557300003</v>
      </c>
      <c r="C9" s="8"/>
      <c r="D9" s="11">
        <f t="shared" si="1"/>
        <v>-6472.6067084393026</v>
      </c>
      <c r="E9" s="11">
        <f t="shared" si="0"/>
        <v>1.9828570304582112E-6</v>
      </c>
      <c r="F9" s="8"/>
      <c r="G9" s="11">
        <v>8000</v>
      </c>
      <c r="H9" s="29">
        <v>22</v>
      </c>
      <c r="I9" s="11">
        <f>_xlfn.NORM.DIST(G9,AVERAGE(基本工资),_xlfn.STDEV.S(基本工资),0)</f>
        <v>4.7683641495933092E-5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7"/>
      <c r="BY9" s="7"/>
      <c r="BZ9" s="7"/>
      <c r="CA9" s="7"/>
      <c r="CB9" s="7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</row>
    <row r="10" spans="1:198" x14ac:dyDescent="0.2">
      <c r="A10" s="10" t="s">
        <v>8</v>
      </c>
      <c r="B10" s="6">
        <v>11545.183821000001</v>
      </c>
      <c r="C10" s="8"/>
      <c r="D10" s="11">
        <f t="shared" si="1"/>
        <v>-5876.5587863172223</v>
      </c>
      <c r="E10" s="11">
        <f t="shared" si="0"/>
        <v>2.4506279672898608E-6</v>
      </c>
      <c r="F10" s="8"/>
      <c r="G10" s="11">
        <v>9000</v>
      </c>
      <c r="H10" s="29">
        <v>18</v>
      </c>
      <c r="I10" s="11">
        <f>_xlfn.NORM.DIST(G10,AVERAGE(基本工资),_xlfn.STDEV.S(基本工资),0)</f>
        <v>5.1064905385753061E-5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</row>
    <row r="11" spans="1:198" x14ac:dyDescent="0.2">
      <c r="A11" s="10" t="s">
        <v>9</v>
      </c>
      <c r="B11" s="6">
        <v>9012.1433199999992</v>
      </c>
      <c r="C11" s="8"/>
      <c r="D11" s="11">
        <f t="shared" si="1"/>
        <v>-5280.5108641951419</v>
      </c>
      <c r="E11" s="11">
        <f t="shared" si="0"/>
        <v>3.0077894771979093E-6</v>
      </c>
      <c r="F11" s="8"/>
      <c r="G11" s="11">
        <v>10000</v>
      </c>
      <c r="H11" s="29">
        <v>7</v>
      </c>
      <c r="I11" s="11">
        <f>_xlfn.NORM.DIST(G11,AVERAGE(基本工资),_xlfn.STDEV.S(基本工资),0)</f>
        <v>5.3627381484973954E-5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</row>
    <row r="12" spans="1:198" x14ac:dyDescent="0.2">
      <c r="A12" s="10" t="s">
        <v>10</v>
      </c>
      <c r="B12" s="6">
        <v>20825</v>
      </c>
      <c r="C12" s="7"/>
      <c r="D12" s="11">
        <f t="shared" si="1"/>
        <v>-4684.4629420730616</v>
      </c>
      <c r="E12" s="11">
        <f t="shared" si="0"/>
        <v>3.6660767421117419E-6</v>
      </c>
      <c r="F12" s="7"/>
      <c r="G12" s="11">
        <v>11000</v>
      </c>
      <c r="H12" s="28">
        <v>9</v>
      </c>
      <c r="I12" s="11">
        <f>_xlfn.NORM.DIST(G12,AVERAGE(基本工资),_xlfn.STDEV.S(基本工资),0)</f>
        <v>5.5228289756265159E-5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12"/>
      <c r="BY12" s="12"/>
      <c r="BZ12" s="12"/>
      <c r="CA12" s="12"/>
      <c r="CB12" s="12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</row>
    <row r="13" spans="1:198" x14ac:dyDescent="0.2">
      <c r="A13" s="10" t="s">
        <v>11</v>
      </c>
      <c r="B13" s="6">
        <v>7837.190899199999</v>
      </c>
      <c r="C13" s="8"/>
      <c r="D13" s="11">
        <f t="shared" si="1"/>
        <v>-4088.4150199509813</v>
      </c>
      <c r="E13" s="11">
        <f t="shared" si="0"/>
        <v>4.4375139785553749E-6</v>
      </c>
      <c r="F13" s="8"/>
      <c r="G13" s="11">
        <v>12000</v>
      </c>
      <c r="H13" s="29">
        <v>15</v>
      </c>
      <c r="I13" s="11">
        <f>_xlfn.NORM.DIST(G13,AVERAGE(基本工资),_xlfn.STDEV.S(基本工资),0)</f>
        <v>5.5776022473027565E-5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</row>
    <row r="14" spans="1:198" x14ac:dyDescent="0.2">
      <c r="A14" s="10" t="s">
        <v>12</v>
      </c>
      <c r="B14" s="6">
        <v>14153.8761164016</v>
      </c>
      <c r="C14" s="7"/>
      <c r="D14" s="11">
        <f t="shared" si="1"/>
        <v>-3492.367097828901</v>
      </c>
      <c r="E14" s="11">
        <f t="shared" si="0"/>
        <v>5.3341101851040591E-6</v>
      </c>
      <c r="F14" s="7"/>
      <c r="G14" s="11">
        <v>13000</v>
      </c>
      <c r="H14" s="28">
        <v>19</v>
      </c>
      <c r="I14" s="11">
        <f>_xlfn.NORM.DIST(G14,AVERAGE(基本工资),_xlfn.STDEV.S(基本工资),0)</f>
        <v>5.5238824599064604E-5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8"/>
      <c r="BY14" s="8"/>
      <c r="BZ14" s="8"/>
      <c r="CA14" s="8"/>
      <c r="CB14" s="8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</row>
    <row r="15" spans="1:198" x14ac:dyDescent="0.2">
      <c r="A15" s="10" t="s">
        <v>13</v>
      </c>
      <c r="B15" s="6">
        <v>20818.665000000001</v>
      </c>
      <c r="C15" s="13"/>
      <c r="D15" s="11">
        <f t="shared" si="1"/>
        <v>-2896.3191757068207</v>
      </c>
      <c r="E15" s="11">
        <f t="shared" si="0"/>
        <v>6.367490373195403E-6</v>
      </c>
      <c r="F15" s="13"/>
      <c r="G15" s="11">
        <v>14000</v>
      </c>
      <c r="H15" s="30">
        <v>8</v>
      </c>
      <c r="I15" s="11">
        <f>_xlfn.NORM.DIST(G15,AVERAGE(基本工资),_xlfn.STDEV.S(基本工资),0)</f>
        <v>5.364784237264957E-5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</row>
    <row r="16" spans="1:198" x14ac:dyDescent="0.2">
      <c r="A16" s="10" t="s">
        <v>14</v>
      </c>
      <c r="B16" s="6">
        <v>4613.7949401599999</v>
      </c>
      <c r="C16" s="13"/>
      <c r="D16" s="11">
        <f t="shared" si="1"/>
        <v>-2300.2712535847404</v>
      </c>
      <c r="E16" s="11">
        <f t="shared" si="0"/>
        <v>7.5484655552759747E-6</v>
      </c>
      <c r="F16" s="13"/>
      <c r="G16" s="11">
        <v>15000</v>
      </c>
      <c r="H16" s="30">
        <v>9</v>
      </c>
      <c r="I16" s="11">
        <f>_xlfn.NORM.DIST(G16,AVERAGE(基本工资),_xlfn.STDEV.S(基本工资),0)</f>
        <v>5.1094132981402307E-5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</row>
    <row r="17" spans="1:198" x14ac:dyDescent="0.2">
      <c r="A17" s="10" t="s">
        <v>15</v>
      </c>
      <c r="B17" s="6">
        <v>6570.5999999999995</v>
      </c>
      <c r="C17" s="13"/>
      <c r="D17" s="11">
        <f t="shared" si="1"/>
        <v>-1704.2233314626603</v>
      </c>
      <c r="E17" s="11">
        <f t="shared" si="0"/>
        <v>8.8865486814475589E-6</v>
      </c>
      <c r="F17" s="13"/>
      <c r="G17" s="11">
        <v>16000</v>
      </c>
      <c r="H17" s="30">
        <v>8</v>
      </c>
      <c r="I17" s="11">
        <f>_xlfn.NORM.DIST(G17,AVERAGE(基本工资),_xlfn.STDEV.S(基本工资),0)</f>
        <v>4.772003468647608E-5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</row>
    <row r="18" spans="1:198" x14ac:dyDescent="0.2">
      <c r="A18" s="10" t="s">
        <v>16</v>
      </c>
      <c r="B18" s="6">
        <v>15043.986000000001</v>
      </c>
      <c r="C18" s="13"/>
      <c r="D18" s="11">
        <f t="shared" si="1"/>
        <v>-1108.1754093405802</v>
      </c>
      <c r="E18" s="11">
        <f t="shared" si="0"/>
        <v>1.0389427986263634E-5</v>
      </c>
      <c r="F18" s="13"/>
      <c r="G18" s="11">
        <v>17000</v>
      </c>
      <c r="H18" s="30">
        <v>4</v>
      </c>
      <c r="I18" s="11">
        <f>_xlfn.NORM.DIST(G18,AVERAGE(基本工资),_xlfn.STDEV.S(基本工资),0)</f>
        <v>4.3706035092235417E-5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</row>
    <row r="19" spans="1:198" x14ac:dyDescent="0.2">
      <c r="A19" s="10" t="s">
        <v>17</v>
      </c>
      <c r="B19" s="6">
        <v>12317.343948</v>
      </c>
      <c r="C19" s="13"/>
      <c r="D19" s="11">
        <f t="shared" si="1"/>
        <v>-512.12748721850016</v>
      </c>
      <c r="E19" s="11">
        <f t="shared" si="0"/>
        <v>1.2062413611440088E-5</v>
      </c>
      <c r="F19" s="13"/>
      <c r="G19" s="11">
        <v>18000</v>
      </c>
      <c r="H19" s="30">
        <v>0</v>
      </c>
      <c r="I19" s="11">
        <f>_xlfn.NORM.DIST(G19,AVERAGE(基本工资),_xlfn.STDEV.S(基本工资),0)</f>
        <v>3.9254821990382519E-5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</row>
    <row r="20" spans="1:198" x14ac:dyDescent="0.2">
      <c r="A20" s="10" t="s">
        <v>18</v>
      </c>
      <c r="B20" s="6">
        <v>8217.6</v>
      </c>
      <c r="C20" s="7"/>
      <c r="D20" s="11">
        <f t="shared" si="1"/>
        <v>83.920434903579917</v>
      </c>
      <c r="E20" s="11">
        <f t="shared" si="0"/>
        <v>1.3907877635994031E-5</v>
      </c>
      <c r="F20" s="7"/>
      <c r="G20" s="11">
        <v>19000</v>
      </c>
      <c r="H20" s="28">
        <v>2</v>
      </c>
      <c r="I20" s="11">
        <f>_xlfn.NORM.DIST(G20,AVERAGE(基本工资),_xlfn.STDEV.S(基本工资),0)</f>
        <v>3.4574472053658652E-5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12"/>
      <c r="BY20" s="12"/>
      <c r="BZ20" s="12"/>
      <c r="CA20" s="12"/>
      <c r="CB20" s="12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</row>
    <row r="21" spans="1:198" x14ac:dyDescent="0.2">
      <c r="A21" s="10" t="s">
        <v>19</v>
      </c>
      <c r="B21" s="6">
        <v>7943.4074588960002</v>
      </c>
      <c r="C21" s="9"/>
      <c r="D21" s="11">
        <f t="shared" si="1"/>
        <v>679.96835702566</v>
      </c>
      <c r="E21" s="11">
        <f t="shared" si="0"/>
        <v>1.5924711460932779E-5</v>
      </c>
      <c r="F21" s="9"/>
      <c r="G21" s="11">
        <v>20000</v>
      </c>
      <c r="H21" s="28">
        <v>4</v>
      </c>
      <c r="I21" s="11">
        <f>_xlfn.NORM.DIST(G21,AVERAGE(基本工资),_xlfn.STDEV.S(基本工资),0)</f>
        <v>2.9862698180117239E-5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8"/>
      <c r="BY21" s="8"/>
      <c r="BZ21" s="8"/>
      <c r="CA21" s="8"/>
      <c r="CB21" s="8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</row>
    <row r="22" spans="1:198" x14ac:dyDescent="0.2">
      <c r="A22" s="10" t="s">
        <v>20</v>
      </c>
      <c r="B22" s="6">
        <v>10966.777749999999</v>
      </c>
      <c r="C22" s="7"/>
      <c r="D22" s="11">
        <f t="shared" si="1"/>
        <v>1276.0162791477401</v>
      </c>
      <c r="E22" s="11">
        <f t="shared" si="0"/>
        <v>1.8107827527913169E-5</v>
      </c>
      <c r="F22" s="7"/>
      <c r="G22" s="11">
        <v>21000</v>
      </c>
      <c r="H22" s="28">
        <v>5</v>
      </c>
      <c r="I22" s="11">
        <f>_xlfn.NORM.DIST(G22,AVERAGE(基本工资),_xlfn.STDEV.S(基本工资),0)</f>
        <v>2.5293764770071452E-5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</row>
    <row r="23" spans="1:198" x14ac:dyDescent="0.2">
      <c r="A23" s="10" t="s">
        <v>21</v>
      </c>
      <c r="B23" s="6">
        <v>5457.8239342400011</v>
      </c>
      <c r="C23" s="13"/>
      <c r="D23" s="11">
        <f t="shared" si="1"/>
        <v>1872.0642012698202</v>
      </c>
      <c r="E23" s="11">
        <f t="shared" si="0"/>
        <v>2.044773426925626E-5</v>
      </c>
      <c r="F23" s="13"/>
      <c r="G23" s="11">
        <v>22000</v>
      </c>
      <c r="H23" s="30">
        <v>1</v>
      </c>
      <c r="I23" s="11">
        <f>_xlfn.NORM.DIST(G23,AVERAGE(基本工资),_xlfn.STDEV.S(基本工资),0)</f>
        <v>2.1009167738480147E-5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</row>
    <row r="24" spans="1:198" x14ac:dyDescent="0.2">
      <c r="A24" s="10" t="s">
        <v>22</v>
      </c>
      <c r="B24" s="6">
        <v>16129.123311571197</v>
      </c>
      <c r="C24" s="14"/>
      <c r="D24" s="11">
        <f t="shared" si="1"/>
        <v>2468.1121233919002</v>
      </c>
      <c r="E24" s="11">
        <f t="shared" si="0"/>
        <v>2.2930213688757978E-5</v>
      </c>
      <c r="F24" s="14"/>
      <c r="G24" s="11">
        <v>23000</v>
      </c>
      <c r="H24" s="31">
        <v>0</v>
      </c>
      <c r="I24" s="11">
        <f>_xlfn.NORM.DIST(G24,AVERAGE(基本工资),_xlfn.STDEV.S(基本工资),0)</f>
        <v>1.7112567115177046E-5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8"/>
      <c r="BY24" s="8"/>
      <c r="BZ24" s="8"/>
      <c r="CA24" s="8"/>
      <c r="CB24" s="8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</row>
    <row r="25" spans="1:198" x14ac:dyDescent="0.2">
      <c r="A25" s="10" t="s">
        <v>23</v>
      </c>
      <c r="B25" s="6">
        <v>7760</v>
      </c>
      <c r="C25" s="7"/>
      <c r="D25" s="11">
        <f t="shared" si="1"/>
        <v>3064.1600455139805</v>
      </c>
      <c r="E25" s="11">
        <f t="shared" si="0"/>
        <v>2.5536129815807623E-5</v>
      </c>
      <c r="F25" s="7"/>
      <c r="G25" s="11">
        <v>24000</v>
      </c>
      <c r="H25" s="28">
        <v>1</v>
      </c>
      <c r="I25" s="11">
        <f>_xlfn.NORM.DIST(G25,AVERAGE(基本工资),_xlfn.STDEV.S(基本工资),0)</f>
        <v>1.3668864020392032E-5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</row>
    <row r="26" spans="1:198" x14ac:dyDescent="0.2">
      <c r="A26" s="10" t="s">
        <v>24</v>
      </c>
      <c r="B26" s="6">
        <v>27182.131199999996</v>
      </c>
      <c r="C26" s="9"/>
      <c r="D26" s="11">
        <f t="shared" si="1"/>
        <v>3660.2079676360609</v>
      </c>
      <c r="E26" s="11">
        <f t="shared" si="0"/>
        <v>2.8241393303144284E-5</v>
      </c>
      <c r="F26" s="9"/>
      <c r="G26" s="11">
        <v>25000</v>
      </c>
      <c r="H26" s="28">
        <v>1</v>
      </c>
      <c r="I26" s="11">
        <f>_xlfn.NORM.DIST(G26,AVERAGE(基本工资),_xlfn.STDEV.S(基本工资),0)</f>
        <v>1.0706823033193847E-5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</row>
    <row r="27" spans="1:198" x14ac:dyDescent="0.2">
      <c r="A27" s="10" t="s">
        <v>25</v>
      </c>
      <c r="B27" s="6">
        <v>6746.3690460000007</v>
      </c>
      <c r="C27" s="9"/>
      <c r="D27" s="11">
        <f t="shared" si="1"/>
        <v>4256.2558897581412</v>
      </c>
      <c r="E27" s="11">
        <f t="shared" si="0"/>
        <v>3.1017102606432314E-5</v>
      </c>
      <c r="F27" s="9"/>
      <c r="G27" s="11">
        <v>26000</v>
      </c>
      <c r="H27" s="28">
        <v>1</v>
      </c>
      <c r="I27" s="11">
        <f>_xlfn.NORM.DIST(G27,AVERAGE(基本工资),_xlfn.STDEV.S(基本工资),0)</f>
        <v>8.2243156210583682E-6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</row>
    <row r="28" spans="1:198" x14ac:dyDescent="0.2">
      <c r="A28" s="10" t="s">
        <v>26</v>
      </c>
      <c r="B28" s="6">
        <v>20020</v>
      </c>
      <c r="C28" s="13"/>
      <c r="D28" s="11">
        <f t="shared" si="1"/>
        <v>4852.3038118802215</v>
      </c>
      <c r="E28" s="11">
        <f t="shared" si="0"/>
        <v>3.3829875576903696E-5</v>
      </c>
      <c r="F28" s="13"/>
      <c r="G28" s="11">
        <v>27000</v>
      </c>
      <c r="H28" s="30">
        <v>0</v>
      </c>
      <c r="I28" s="11">
        <f>_xlfn.NORM.DIST(G28,AVERAGE(基本工资),_xlfn.STDEV.S(基本工资),0)</f>
        <v>6.1951218902127753E-6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</row>
    <row r="29" spans="1:198" x14ac:dyDescent="0.2">
      <c r="A29" s="10" t="s">
        <v>27</v>
      </c>
      <c r="B29" s="6">
        <v>21517.994982129174</v>
      </c>
      <c r="C29" s="9"/>
      <c r="D29" s="11">
        <f t="shared" si="1"/>
        <v>5448.3517340023018</v>
      </c>
      <c r="E29" s="11">
        <f t="shared" si="0"/>
        <v>3.6642377141030983E-5</v>
      </c>
      <c r="F29" s="9"/>
      <c r="G29" s="11">
        <v>28000</v>
      </c>
      <c r="H29" s="28">
        <v>3</v>
      </c>
      <c r="I29" s="11">
        <f>_xlfn.NORM.DIST(G29,AVERAGE(基本工资),_xlfn.STDEV.S(基本工资),0)</f>
        <v>4.5762620482576286E-6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</row>
    <row r="30" spans="1:198" x14ac:dyDescent="0.2">
      <c r="A30" s="10" t="s">
        <v>28</v>
      </c>
      <c r="B30" s="6">
        <v>8999.7300000000014</v>
      </c>
      <c r="C30" s="12"/>
      <c r="D30" s="11">
        <f t="shared" si="1"/>
        <v>6044.3996561243821</v>
      </c>
      <c r="E30" s="11">
        <f t="shared" si="0"/>
        <v>3.9414039395611243E-5</v>
      </c>
      <c r="F30" s="12"/>
      <c r="G30" s="11">
        <v>29000</v>
      </c>
      <c r="H30" s="32">
        <v>3</v>
      </c>
      <c r="I30" s="11">
        <f>_xlfn.NORM.DIST(G30,AVERAGE(基本工资),_xlfn.STDEV.S(基本工资),0)</f>
        <v>3.3149948474027384E-6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</row>
    <row r="31" spans="1:198" x14ac:dyDescent="0.2">
      <c r="A31" s="10" t="s">
        <v>29</v>
      </c>
      <c r="B31" s="6">
        <v>11632.80888</v>
      </c>
      <c r="C31" s="8"/>
      <c r="D31" s="11">
        <f t="shared" si="1"/>
        <v>6640.4475782464624</v>
      </c>
      <c r="E31" s="11">
        <f t="shared" si="0"/>
        <v>4.2101960398681774E-5</v>
      </c>
      <c r="F31" s="8"/>
      <c r="G31" s="11">
        <v>30000</v>
      </c>
      <c r="H31" s="29">
        <v>0</v>
      </c>
      <c r="I31" s="11">
        <f>_xlfn.NORM.DIST(G31,AVERAGE(基本工资),_xlfn.STDEV.S(基本工资),0)</f>
        <v>2.3548636876877588E-6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12"/>
      <c r="BY31" s="12"/>
      <c r="BZ31" s="12"/>
      <c r="CA31" s="12"/>
      <c r="CB31" s="12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</row>
    <row r="32" spans="1:198" x14ac:dyDescent="0.2">
      <c r="A32" s="10" t="s">
        <v>30</v>
      </c>
      <c r="B32" s="6">
        <v>23940</v>
      </c>
      <c r="C32" s="8"/>
      <c r="D32" s="11">
        <f t="shared" si="1"/>
        <v>7236.4955003685427</v>
      </c>
      <c r="E32" s="11">
        <f t="shared" si="0"/>
        <v>4.4661957770251826E-5</v>
      </c>
      <c r="F32" s="8"/>
      <c r="G32" s="11">
        <v>31000</v>
      </c>
      <c r="H32" s="29">
        <v>0</v>
      </c>
      <c r="I32" s="11">
        <f>_xlfn.NORM.DIST(G32,AVERAGE(基本工资),_xlfn.STDEV.S(基本工资),0)</f>
        <v>1.6404372816116751E-6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12"/>
      <c r="BY32" s="12"/>
      <c r="BZ32" s="12"/>
      <c r="CA32" s="12"/>
      <c r="CB32" s="12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</row>
    <row r="33" spans="1:198" x14ac:dyDescent="0.2">
      <c r="A33" s="10" t="s">
        <v>31</v>
      </c>
      <c r="B33" s="6">
        <v>10169.773999999998</v>
      </c>
      <c r="C33" s="12"/>
      <c r="D33" s="11">
        <f t="shared" si="1"/>
        <v>7832.543422490623</v>
      </c>
      <c r="E33" s="11">
        <f t="shared" si="0"/>
        <v>4.7049743576941681E-5</v>
      </c>
      <c r="F33" s="12"/>
      <c r="G33" s="11">
        <v>32000</v>
      </c>
      <c r="H33" s="32">
        <v>0</v>
      </c>
      <c r="I33" s="11">
        <f>_xlfn.NORM.DIST(G33,AVERAGE(基本工资),_xlfn.STDEV.S(基本工资),0)</f>
        <v>1.1206356427187316E-6</v>
      </c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</row>
    <row r="34" spans="1:198" x14ac:dyDescent="0.2">
      <c r="A34" s="10" t="s">
        <v>32</v>
      </c>
      <c r="B34" s="6">
        <v>19146.413664000003</v>
      </c>
      <c r="C34" s="7"/>
      <c r="D34" s="11">
        <f t="shared" si="1"/>
        <v>8428.5913446127033</v>
      </c>
      <c r="E34" s="11">
        <f t="shared" si="0"/>
        <v>4.9222178521996845E-5</v>
      </c>
      <c r="F34" s="7"/>
      <c r="G34" s="11">
        <v>33000</v>
      </c>
      <c r="H34" s="28">
        <v>0</v>
      </c>
      <c r="I34" s="11">
        <f>_xlfn.NORM.DIST(G34,AVERAGE(基本工资),_xlfn.STDEV.S(基本工资),0)</f>
        <v>7.5072378346634802E-7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13"/>
      <c r="BY34" s="13"/>
      <c r="BZ34" s="13"/>
      <c r="CA34" s="13"/>
      <c r="CB34" s="13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</row>
    <row r="35" spans="1:198" x14ac:dyDescent="0.2">
      <c r="A35" s="10" t="s">
        <v>33</v>
      </c>
      <c r="B35" s="6">
        <v>15010.096258080001</v>
      </c>
      <c r="C35" s="9"/>
      <c r="D35" s="11">
        <f t="shared" si="1"/>
        <v>9024.6392667347827</v>
      </c>
      <c r="E35" s="11">
        <f t="shared" si="0"/>
        <v>5.1138556822713335E-5</v>
      </c>
      <c r="F35" s="9"/>
      <c r="G35" s="11">
        <v>34000</v>
      </c>
      <c r="H35" s="28">
        <v>1</v>
      </c>
      <c r="I35" s="11">
        <f>_xlfn.NORM.DIST(G35,AVERAGE(基本工资),_xlfn.STDEV.S(基本工资),0)</f>
        <v>4.9318159519369011E-7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12"/>
      <c r="BY35" s="12"/>
      <c r="BZ35" s="12"/>
      <c r="CA35" s="12"/>
      <c r="CB35" s="12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</row>
    <row r="36" spans="1:198" x14ac:dyDescent="0.2">
      <c r="A36" s="10" t="s">
        <v>34</v>
      </c>
      <c r="B36" s="6">
        <v>15633.608601600001</v>
      </c>
      <c r="C36" s="7"/>
      <c r="D36" s="11">
        <f t="shared" si="1"/>
        <v>9620.6871888568621</v>
      </c>
      <c r="E36" s="11">
        <f t="shared" si="0"/>
        <v>5.276186887085274E-5</v>
      </c>
      <c r="F36" s="7"/>
      <c r="G36" s="11">
        <v>35000</v>
      </c>
      <c r="H36" s="28">
        <v>1</v>
      </c>
      <c r="I36" s="11">
        <f>_xlfn.NORM.DIST(G36,AVERAGE(基本工资),_xlfn.STDEV.S(基本工资),0)</f>
        <v>3.1771995319802651E-7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12"/>
      <c r="BY36" s="12"/>
      <c r="BZ36" s="12"/>
      <c r="CA36" s="12"/>
      <c r="CB36" s="12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</row>
    <row r="37" spans="1:198" x14ac:dyDescent="0.2">
      <c r="A37" s="10" t="s">
        <v>35</v>
      </c>
      <c r="B37" s="6">
        <v>27579.545552</v>
      </c>
      <c r="C37" s="12"/>
      <c r="D37" s="11">
        <f t="shared" si="1"/>
        <v>10216.735110978942</v>
      </c>
      <c r="E37" s="11">
        <f t="shared" si="0"/>
        <v>5.4059987244288149E-5</v>
      </c>
      <c r="F37" s="12"/>
      <c r="G37" s="11">
        <v>36000</v>
      </c>
      <c r="H37" s="32">
        <v>0</v>
      </c>
      <c r="I37" s="11">
        <f>_xlfn.NORM.DIST(G37,AVERAGE(基本工资),_xlfn.STDEV.S(基本工资),0)</f>
        <v>2.0072111534599319E-7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</row>
    <row r="38" spans="1:198" x14ac:dyDescent="0.2">
      <c r="A38" s="10" t="s">
        <v>36</v>
      </c>
      <c r="B38" s="6">
        <v>11110</v>
      </c>
      <c r="C38" s="9"/>
      <c r="D38" s="11">
        <f t="shared" si="1"/>
        <v>10812.783033101021</v>
      </c>
      <c r="E38" s="11">
        <f t="shared" si="0"/>
        <v>5.5006723103347668E-5</v>
      </c>
      <c r="F38" s="9"/>
      <c r="G38" s="11">
        <v>37000</v>
      </c>
      <c r="H38" s="28">
        <v>0</v>
      </c>
      <c r="I38" s="11">
        <f>_xlfn.NORM.DIST(G38,AVERAGE(基本工资),_xlfn.STDEV.S(基本工资),0)</f>
        <v>1.2435194312653492E-7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12"/>
      <c r="BY38" s="12"/>
      <c r="BZ38" s="12"/>
      <c r="CA38" s="12"/>
      <c r="CB38" s="12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</row>
    <row r="39" spans="1:198" x14ac:dyDescent="0.2">
      <c r="A39" s="10" t="s">
        <v>37</v>
      </c>
      <c r="B39" s="6">
        <v>18608.36723928</v>
      </c>
      <c r="C39" s="9"/>
      <c r="D39" s="11">
        <f t="shared" si="1"/>
        <v>11408.8309552231</v>
      </c>
      <c r="E39" s="11">
        <f t="shared" si="0"/>
        <v>5.5582704497278579E-5</v>
      </c>
      <c r="F39" s="9"/>
      <c r="G39" s="11">
        <v>38000</v>
      </c>
      <c r="H39" s="28">
        <v>0</v>
      </c>
      <c r="I39" s="11">
        <f>_xlfn.NORM.DIST(G39,AVERAGE(基本工资),_xlfn.STDEV.S(基本工资),0)</f>
        <v>7.5548010690704936E-8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8"/>
      <c r="BY39" s="8"/>
      <c r="BZ39" s="8"/>
      <c r="CA39" s="8"/>
      <c r="CB39" s="8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</row>
    <row r="40" spans="1:198" x14ac:dyDescent="0.2">
      <c r="A40" s="10" t="s">
        <v>38</v>
      </c>
      <c r="B40" s="6">
        <v>13838.149499999998</v>
      </c>
      <c r="C40" s="9"/>
      <c r="D40" s="11">
        <f t="shared" si="1"/>
        <v>12004.87887734518</v>
      </c>
      <c r="E40" s="11">
        <f t="shared" si="0"/>
        <v>5.5776035448779873E-5</v>
      </c>
      <c r="F40" s="9"/>
      <c r="G40" s="11">
        <v>39000</v>
      </c>
      <c r="H40" s="28">
        <v>0</v>
      </c>
      <c r="I40" s="11">
        <f>_xlfn.NORM.DIST(G40,AVERAGE(基本工资),_xlfn.STDEV.S(基本工资),0)</f>
        <v>4.5009525340641534E-8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12"/>
      <c r="BY40" s="12"/>
      <c r="BZ40" s="12"/>
      <c r="CA40" s="12"/>
      <c r="CB40" s="12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</row>
    <row r="41" spans="1:198" x14ac:dyDescent="0.2">
      <c r="A41" s="10" t="s">
        <v>39</v>
      </c>
      <c r="B41" s="6">
        <v>10268.07900426</v>
      </c>
      <c r="C41" s="9"/>
      <c r="D41" s="11">
        <f t="shared" si="1"/>
        <v>12600.926799467259</v>
      </c>
      <c r="E41" s="11">
        <f t="shared" si="0"/>
        <v>5.5582704497278579E-5</v>
      </c>
      <c r="F41" s="9"/>
      <c r="G41" s="11">
        <v>40000</v>
      </c>
      <c r="H41" s="28">
        <v>0</v>
      </c>
      <c r="I41" s="11">
        <f>_xlfn.NORM.DIST(G41,AVERAGE(基本工资),_xlfn.STDEV.S(基本工资),0)</f>
        <v>2.6296428965626341E-8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12"/>
      <c r="BY41" s="12"/>
      <c r="BZ41" s="12"/>
      <c r="CA41" s="12"/>
      <c r="CB41" s="12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7"/>
    </row>
    <row r="42" spans="1:198" x14ac:dyDescent="0.2">
      <c r="A42" s="10" t="s">
        <v>40</v>
      </c>
      <c r="B42" s="6">
        <v>11026.1788</v>
      </c>
      <c r="C42" s="12"/>
      <c r="D42" s="11">
        <f t="shared" si="1"/>
        <v>13196.974721589339</v>
      </c>
      <c r="E42" s="11">
        <f t="shared" si="0"/>
        <v>5.5006723103347668E-5</v>
      </c>
      <c r="F42" s="12"/>
      <c r="G42" s="11">
        <v>41000</v>
      </c>
      <c r="H42" s="32">
        <v>0</v>
      </c>
      <c r="I42" s="11">
        <f>_xlfn.NORM.DIST(G42,AVERAGE(基本工资),_xlfn.STDEV.S(基本工资),0)</f>
        <v>1.5066072779321091E-8</v>
      </c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</row>
    <row r="43" spans="1:198" x14ac:dyDescent="0.2">
      <c r="A43" s="10" t="s">
        <v>41</v>
      </c>
      <c r="B43" s="6">
        <v>19698</v>
      </c>
      <c r="C43" s="12"/>
      <c r="D43" s="11">
        <f t="shared" si="1"/>
        <v>13793.022643711418</v>
      </c>
      <c r="E43" s="11">
        <f t="shared" si="0"/>
        <v>5.4059987244288156E-5</v>
      </c>
      <c r="F43" s="12"/>
      <c r="G43" s="11">
        <v>42000</v>
      </c>
      <c r="H43" s="32">
        <v>1</v>
      </c>
      <c r="I43" s="11">
        <f>_xlfn.NORM.DIST(G43,AVERAGE(基本工资),_xlfn.STDEV.S(基本工资),0)</f>
        <v>8.4647529841224492E-9</v>
      </c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7"/>
    </row>
    <row r="44" spans="1:198" x14ac:dyDescent="0.2">
      <c r="A44" s="10" t="s">
        <v>42</v>
      </c>
      <c r="B44" s="6">
        <v>12404.8176213192</v>
      </c>
      <c r="C44" s="7"/>
      <c r="D44" s="11">
        <f t="shared" si="1"/>
        <v>14389.070565833497</v>
      </c>
      <c r="E44" s="11">
        <f t="shared" si="0"/>
        <v>5.276186887085274E-5</v>
      </c>
      <c r="F44" s="7"/>
      <c r="G44" s="11">
        <v>43000</v>
      </c>
      <c r="H44" s="28">
        <v>0</v>
      </c>
      <c r="I44" s="11">
        <f>_xlfn.NORM.DIST(G44,AVERAGE(基本工资),_xlfn.STDEV.S(基本工资),0)</f>
        <v>4.6637950814084371E-9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12"/>
      <c r="BY44" s="12"/>
      <c r="BZ44" s="12"/>
      <c r="CA44" s="12"/>
      <c r="CB44" s="12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</row>
    <row r="45" spans="1:198" x14ac:dyDescent="0.2">
      <c r="A45" s="10" t="s">
        <v>43</v>
      </c>
      <c r="B45" s="6">
        <v>12427.424046575999</v>
      </c>
      <c r="C45" s="8"/>
      <c r="D45" s="11">
        <f t="shared" si="1"/>
        <v>14985.118487955577</v>
      </c>
      <c r="E45" s="11">
        <f t="shared" si="0"/>
        <v>5.1138556822713349E-5</v>
      </c>
      <c r="F45" s="8"/>
      <c r="G45" s="11">
        <v>44000</v>
      </c>
      <c r="H45" s="29">
        <v>0</v>
      </c>
      <c r="I45" s="11">
        <f>_xlfn.NORM.DIST(G45,AVERAGE(基本工资),_xlfn.STDEV.S(基本工资),0)</f>
        <v>2.5198551323459947E-9</v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7"/>
    </row>
    <row r="46" spans="1:198" x14ac:dyDescent="0.2">
      <c r="A46" s="10" t="s">
        <v>44</v>
      </c>
      <c r="B46" s="6">
        <v>5995</v>
      </c>
      <c r="C46" s="8"/>
      <c r="D46" s="11">
        <f t="shared" si="1"/>
        <v>15581.166410077656</v>
      </c>
      <c r="E46" s="11">
        <f t="shared" si="0"/>
        <v>4.9222178521996852E-5</v>
      </c>
      <c r="F46" s="8"/>
      <c r="G46" s="11">
        <v>45000</v>
      </c>
      <c r="H46" s="29">
        <v>0</v>
      </c>
      <c r="I46" s="11">
        <f>_xlfn.NORM.DIST(G46,AVERAGE(基本工资),_xlfn.STDEV.S(基本工资),0)</f>
        <v>1.3351271581700497E-9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12"/>
      <c r="BY46" s="12"/>
      <c r="BZ46" s="12"/>
      <c r="CA46" s="12"/>
      <c r="CB46" s="12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</row>
    <row r="47" spans="1:198" x14ac:dyDescent="0.2">
      <c r="A47" s="10" t="s">
        <v>45</v>
      </c>
      <c r="B47" s="6">
        <v>4883.3866946303997</v>
      </c>
      <c r="C47" s="7"/>
      <c r="D47" s="11">
        <f t="shared" si="1"/>
        <v>16177.214332199736</v>
      </c>
      <c r="E47" s="11">
        <f t="shared" si="0"/>
        <v>4.7049743576941695E-5</v>
      </c>
      <c r="F47" s="7"/>
      <c r="G47" s="11">
        <v>46000</v>
      </c>
      <c r="H47" s="28">
        <v>0</v>
      </c>
      <c r="I47" s="11">
        <f>_xlfn.NORM.DIST(G47,AVERAGE(基本工资),_xlfn.STDEV.S(基本工资),0)</f>
        <v>6.9371427161360187E-10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12"/>
      <c r="BY47" s="12"/>
      <c r="BZ47" s="12"/>
      <c r="CA47" s="12"/>
      <c r="CB47" s="12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</row>
    <row r="48" spans="1:198" x14ac:dyDescent="0.2">
      <c r="A48" s="10" t="s">
        <v>46</v>
      </c>
      <c r="B48" s="6">
        <v>14400</v>
      </c>
      <c r="C48" s="9"/>
      <c r="D48" s="11">
        <f t="shared" si="1"/>
        <v>16773.262254321817</v>
      </c>
      <c r="E48" s="11">
        <f t="shared" si="0"/>
        <v>4.4661957770251846E-5</v>
      </c>
      <c r="F48" s="9"/>
      <c r="G48" s="11">
        <v>47000</v>
      </c>
      <c r="H48" s="28">
        <v>0</v>
      </c>
      <c r="I48" s="11">
        <f>_xlfn.NORM.DIST(G48,AVERAGE(基本工资),_xlfn.STDEV.S(基本工资),0)</f>
        <v>3.5346756745041036E-10</v>
      </c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12"/>
      <c r="BY48" s="12"/>
      <c r="BZ48" s="12"/>
      <c r="CA48" s="12"/>
      <c r="CB48" s="12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  <c r="GJ48" s="7"/>
      <c r="GK48" s="7"/>
      <c r="GL48" s="7"/>
      <c r="GM48" s="7"/>
      <c r="GN48" s="7"/>
      <c r="GO48" s="7"/>
      <c r="GP48" s="7"/>
    </row>
    <row r="49" spans="1:198" x14ac:dyDescent="0.2">
      <c r="A49" s="10" t="s">
        <v>47</v>
      </c>
      <c r="B49" s="6">
        <v>7559.3884396799986</v>
      </c>
      <c r="C49" s="8"/>
      <c r="D49" s="11">
        <f t="shared" si="1"/>
        <v>17369.310176443898</v>
      </c>
      <c r="E49" s="11">
        <f t="shared" si="0"/>
        <v>4.2101960398681781E-5</v>
      </c>
      <c r="F49" s="8"/>
      <c r="G49" s="11">
        <v>48000</v>
      </c>
      <c r="H49" s="29">
        <v>0</v>
      </c>
      <c r="I49" s="11">
        <f>_xlfn.NORM.DIST(G49,AVERAGE(基本工资),_xlfn.STDEV.S(基本工资),0)</f>
        <v>1.7661576051027171E-10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9"/>
      <c r="BY49" s="9"/>
      <c r="BZ49" s="9"/>
      <c r="CA49" s="9"/>
      <c r="CB49" s="9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J49" s="7"/>
      <c r="GK49" s="7"/>
      <c r="GL49" s="7"/>
      <c r="GM49" s="7"/>
      <c r="GN49" s="7"/>
      <c r="GO49" s="7"/>
      <c r="GP49" s="7"/>
    </row>
    <row r="50" spans="1:198" x14ac:dyDescent="0.2">
      <c r="A50" s="10" t="s">
        <v>48</v>
      </c>
      <c r="B50" s="6">
        <v>7495.3292990687978</v>
      </c>
      <c r="C50" s="12"/>
      <c r="D50" s="11">
        <f t="shared" si="1"/>
        <v>17965.358098565979</v>
      </c>
      <c r="E50" s="11">
        <f t="shared" si="0"/>
        <v>3.941403939561125E-5</v>
      </c>
      <c r="F50" s="12"/>
      <c r="G50" s="11">
        <v>49000</v>
      </c>
      <c r="H50" s="32">
        <v>0</v>
      </c>
      <c r="I50" s="11">
        <f>_xlfn.NORM.DIST(G50,AVERAGE(基本工资),_xlfn.STDEV.S(基本工资),0)</f>
        <v>8.6540675962480995E-11</v>
      </c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8"/>
      <c r="BY50" s="8"/>
      <c r="BZ50" s="8"/>
      <c r="CA50" s="8"/>
      <c r="CB50" s="8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7"/>
    </row>
    <row r="51" spans="1:198" x14ac:dyDescent="0.2">
      <c r="A51" s="10" t="s">
        <v>49</v>
      </c>
      <c r="B51" s="6">
        <v>27279.986872320005</v>
      </c>
      <c r="C51" s="12"/>
      <c r="D51" s="11">
        <f t="shared" si="1"/>
        <v>18561.40602068806</v>
      </c>
      <c r="E51" s="11">
        <f t="shared" si="0"/>
        <v>3.6642377141030983E-5</v>
      </c>
      <c r="F51" s="12"/>
      <c r="G51" s="11">
        <v>50000</v>
      </c>
      <c r="H51" s="32">
        <v>0</v>
      </c>
      <c r="I51" s="11">
        <f>_xlfn.NORM.DIST(G51,AVERAGE(基本工资),_xlfn.STDEV.S(基本工资),0)</f>
        <v>4.1583596995510809E-11</v>
      </c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9"/>
      <c r="BY51" s="9"/>
      <c r="BZ51" s="9"/>
      <c r="CA51" s="9"/>
      <c r="CB51" s="9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  <c r="FW51" s="7"/>
      <c r="FX51" s="7"/>
      <c r="FY51" s="7"/>
      <c r="FZ51" s="7"/>
      <c r="GA51" s="7"/>
      <c r="GB51" s="7"/>
      <c r="GC51" s="7"/>
      <c r="GD51" s="7"/>
      <c r="GE51" s="7"/>
      <c r="GF51" s="7"/>
      <c r="GG51" s="7"/>
      <c r="GH51" s="7"/>
      <c r="GI51" s="7"/>
      <c r="GJ51" s="7"/>
      <c r="GK51" s="7"/>
      <c r="GL51" s="7"/>
      <c r="GM51" s="7"/>
      <c r="GN51" s="7"/>
      <c r="GO51" s="7"/>
      <c r="GP51" s="7"/>
    </row>
    <row r="52" spans="1:198" x14ac:dyDescent="0.2">
      <c r="A52" s="10" t="s">
        <v>50</v>
      </c>
      <c r="B52" s="6">
        <v>19394.819999999996</v>
      </c>
      <c r="C52" s="12"/>
      <c r="D52" s="11">
        <f t="shared" si="1"/>
        <v>19157.453942810142</v>
      </c>
      <c r="E52" s="11">
        <f t="shared" si="0"/>
        <v>3.3829875576903696E-5</v>
      </c>
      <c r="F52" s="12"/>
      <c r="G52" s="11">
        <v>51000</v>
      </c>
      <c r="H52" s="32">
        <v>0</v>
      </c>
      <c r="I52" s="11">
        <f>_xlfn.NORM.DIST(G52,AVERAGE(基本工资),_xlfn.STDEV.S(基本工资),0)</f>
        <v>1.9594526178076068E-11</v>
      </c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9"/>
      <c r="BY52" s="9"/>
      <c r="BZ52" s="9"/>
      <c r="CA52" s="9"/>
      <c r="CB52" s="9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/>
      <c r="GO52" s="7"/>
      <c r="GP52" s="7"/>
    </row>
    <row r="53" spans="1:198" x14ac:dyDescent="0.2">
      <c r="A53" s="10" t="s">
        <v>51</v>
      </c>
      <c r="B53" s="6">
        <v>12580</v>
      </c>
      <c r="C53" s="8"/>
      <c r="D53" s="11">
        <f t="shared" si="1"/>
        <v>19753.501864932223</v>
      </c>
      <c r="E53" s="11">
        <f t="shared" si="0"/>
        <v>3.1017102606432314E-5</v>
      </c>
      <c r="F53" s="8"/>
      <c r="G53" s="11">
        <v>52000</v>
      </c>
      <c r="H53" s="29">
        <v>0</v>
      </c>
      <c r="I53" s="11">
        <f>_xlfn.NORM.DIST(G53,AVERAGE(基本工资),_xlfn.STDEV.S(基本工资),0)</f>
        <v>9.0543738382628404E-12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12"/>
      <c r="BY53" s="12"/>
      <c r="BZ53" s="12"/>
      <c r="CA53" s="12"/>
      <c r="CB53" s="12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7"/>
    </row>
    <row r="54" spans="1:198" x14ac:dyDescent="0.2">
      <c r="A54" s="10" t="s">
        <v>52</v>
      </c>
      <c r="B54" s="6">
        <v>8313.9</v>
      </c>
      <c r="C54" s="14"/>
      <c r="D54" s="11">
        <f t="shared" si="1"/>
        <v>20349.549787054304</v>
      </c>
      <c r="E54" s="11">
        <f t="shared" si="0"/>
        <v>2.8241393303144267E-5</v>
      </c>
      <c r="F54" s="14"/>
      <c r="G54" s="11">
        <v>53000</v>
      </c>
      <c r="H54" s="31">
        <v>0</v>
      </c>
      <c r="I54" s="11">
        <f>_xlfn.NORM.DIST(G54,AVERAGE(基本工资),_xlfn.STDEV.S(基本工资),0)</f>
        <v>4.1029197266971495E-12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2"/>
      <c r="BY54" s="12"/>
      <c r="BZ54" s="12"/>
      <c r="CA54" s="12"/>
      <c r="CB54" s="12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7"/>
    </row>
    <row r="55" spans="1:198" x14ac:dyDescent="0.2">
      <c r="A55" s="10" t="s">
        <v>53</v>
      </c>
      <c r="B55" s="6">
        <v>9391.1759999999995</v>
      </c>
      <c r="C55" s="8"/>
      <c r="D55" s="11">
        <f t="shared" si="1"/>
        <v>20945.597709176385</v>
      </c>
      <c r="E55" s="11">
        <f t="shared" si="0"/>
        <v>2.55361298158076E-5</v>
      </c>
      <c r="F55" s="8"/>
      <c r="G55" s="11">
        <v>54000</v>
      </c>
      <c r="H55" s="29">
        <v>0</v>
      </c>
      <c r="I55" s="11">
        <f>_xlfn.NORM.DIST(G55,AVERAGE(基本工资),_xlfn.STDEV.S(基本工资),0)</f>
        <v>1.8232178379509887E-12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</row>
    <row r="56" spans="1:198" x14ac:dyDescent="0.2">
      <c r="A56" s="10" t="s">
        <v>54</v>
      </c>
      <c r="B56" s="6">
        <v>34608</v>
      </c>
      <c r="C56" s="8"/>
      <c r="D56" s="11">
        <f t="shared" si="1"/>
        <v>21541.645631298466</v>
      </c>
      <c r="E56" s="11">
        <f t="shared" si="0"/>
        <v>2.2930213688757958E-5</v>
      </c>
      <c r="F56" s="8"/>
      <c r="G56" s="11">
        <v>55000</v>
      </c>
      <c r="H56" s="29">
        <v>0</v>
      </c>
      <c r="I56" s="11">
        <f>_xlfn.NORM.DIST(G56,AVERAGE(基本工资),_xlfn.STDEV.S(基本工资),0)</f>
        <v>7.9450209202935436E-13</v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</row>
    <row r="57" spans="1:198" x14ac:dyDescent="0.2">
      <c r="A57" s="10" t="s">
        <v>55</v>
      </c>
      <c r="B57" s="6">
        <v>15238.544100000001</v>
      </c>
      <c r="C57" s="8"/>
      <c r="D57" s="11">
        <f t="shared" si="1"/>
        <v>22137.693553420548</v>
      </c>
      <c r="E57" s="11">
        <f t="shared" si="0"/>
        <v>2.044773426925624E-5</v>
      </c>
      <c r="F57" s="8"/>
      <c r="G57" s="11">
        <v>56000</v>
      </c>
      <c r="H57" s="29">
        <v>1</v>
      </c>
      <c r="I57" s="11">
        <f>_xlfn.NORM.DIST(G57,AVERAGE(基本工资),_xlfn.STDEV.S(基本工资),0)</f>
        <v>3.3951774028642848E-13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</row>
    <row r="58" spans="1:198" x14ac:dyDescent="0.2">
      <c r="A58" s="10" t="s">
        <v>56</v>
      </c>
      <c r="B58" s="6">
        <v>14432.3195268</v>
      </c>
      <c r="C58" s="8"/>
      <c r="D58" s="11">
        <f t="shared" si="1"/>
        <v>22733.741475542629</v>
      </c>
      <c r="E58" s="11">
        <f t="shared" si="0"/>
        <v>1.8107827527913142E-5</v>
      </c>
      <c r="F58" s="8"/>
      <c r="G58" s="11">
        <v>57000</v>
      </c>
      <c r="H58" s="29">
        <v>0</v>
      </c>
      <c r="I58" s="11">
        <f>_xlfn.NORM.DIST(G58,AVERAGE(基本工资),_xlfn.STDEV.S(基本工资),0)</f>
        <v>1.4227901211173158E-13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/>
      <c r="GK58" s="12"/>
      <c r="GL58" s="12"/>
      <c r="GM58" s="12"/>
      <c r="GN58" s="12"/>
      <c r="GO58" s="12"/>
      <c r="GP58" s="12"/>
    </row>
    <row r="59" spans="1:198" x14ac:dyDescent="0.2">
      <c r="A59" s="10" t="s">
        <v>57</v>
      </c>
      <c r="B59" s="6">
        <v>28174.133370240001</v>
      </c>
      <c r="C59" s="9"/>
      <c r="D59" s="11">
        <f t="shared" si="1"/>
        <v>23329.78939766471</v>
      </c>
      <c r="E59" s="11">
        <f t="shared" si="0"/>
        <v>1.5924711460932748E-5</v>
      </c>
      <c r="F59" s="9"/>
      <c r="G59" s="11">
        <v>58000</v>
      </c>
      <c r="H59" s="28">
        <v>0</v>
      </c>
      <c r="I59" s="11">
        <f>_xlfn.NORM.DIST(G59,AVERAGE(基本工资),_xlfn.STDEV.S(基本工资),0)</f>
        <v>5.8469604095992367E-14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8"/>
      <c r="BY59" s="8"/>
      <c r="BZ59" s="8"/>
      <c r="CA59" s="8"/>
      <c r="CB59" s="8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</row>
    <row r="60" spans="1:198" x14ac:dyDescent="0.2">
      <c r="A60" s="10" t="s">
        <v>58</v>
      </c>
      <c r="B60" s="6">
        <v>11972.932776</v>
      </c>
      <c r="C60" s="9"/>
      <c r="D60" s="11">
        <f t="shared" si="1"/>
        <v>23925.837319786791</v>
      </c>
      <c r="E60" s="11">
        <f t="shared" si="0"/>
        <v>1.3907877635994007E-5</v>
      </c>
      <c r="F60" s="9"/>
      <c r="G60" s="15"/>
      <c r="H60" s="15"/>
      <c r="I60" s="15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/>
      <c r="GK60" s="12"/>
      <c r="GL60" s="12"/>
      <c r="GM60" s="12"/>
      <c r="GN60" s="12"/>
      <c r="GO60" s="12"/>
      <c r="GP60" s="12"/>
    </row>
    <row r="61" spans="1:198" x14ac:dyDescent="0.2">
      <c r="A61" s="10" t="s">
        <v>59</v>
      </c>
      <c r="B61" s="6">
        <v>3984.68</v>
      </c>
      <c r="C61" s="9"/>
      <c r="D61" s="11">
        <f t="shared" si="1"/>
        <v>24521.885241908873</v>
      </c>
      <c r="E61" s="11">
        <f t="shared" si="0"/>
        <v>1.2062413611440061E-5</v>
      </c>
      <c r="F61" s="9"/>
      <c r="G61" s="15"/>
      <c r="H61" s="15"/>
      <c r="I61" s="15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12"/>
      <c r="GP61" s="12"/>
    </row>
    <row r="62" spans="1:198" x14ac:dyDescent="0.2">
      <c r="A62" s="10" t="s">
        <v>60</v>
      </c>
      <c r="B62" s="6">
        <v>15600</v>
      </c>
      <c r="C62" s="9"/>
      <c r="D62" s="11">
        <f t="shared" si="1"/>
        <v>25117.933164030954</v>
      </c>
      <c r="E62" s="11">
        <f t="shared" si="0"/>
        <v>1.0389427986263601E-5</v>
      </c>
      <c r="F62" s="9"/>
      <c r="G62" s="15"/>
      <c r="H62" s="15"/>
      <c r="I62" s="15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 s="12"/>
      <c r="GL62" s="12"/>
      <c r="GM62" s="12"/>
      <c r="GN62" s="12"/>
      <c r="GO62" s="12"/>
      <c r="GP62" s="12"/>
    </row>
    <row r="63" spans="1:198" x14ac:dyDescent="0.2">
      <c r="A63" s="10" t="s">
        <v>61</v>
      </c>
      <c r="B63" s="6">
        <v>10474.260883384321</v>
      </c>
      <c r="C63" s="9"/>
      <c r="D63" s="11">
        <f t="shared" si="1"/>
        <v>25713.981086153035</v>
      </c>
      <c r="E63" s="11">
        <f t="shared" si="0"/>
        <v>8.8865486814475335E-6</v>
      </c>
      <c r="F63" s="9"/>
      <c r="G63" s="15"/>
      <c r="H63" s="15"/>
      <c r="I63" s="15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</row>
    <row r="64" spans="1:198" x14ac:dyDescent="0.2">
      <c r="A64" s="10" t="s">
        <v>62</v>
      </c>
      <c r="B64" s="6">
        <v>13573.854209372159</v>
      </c>
      <c r="C64" s="13"/>
      <c r="D64" s="11">
        <f t="shared" si="1"/>
        <v>26310.029008275116</v>
      </c>
      <c r="E64" s="11">
        <f t="shared" si="0"/>
        <v>7.5484655552759476E-6</v>
      </c>
      <c r="F64" s="13"/>
      <c r="G64" s="19"/>
      <c r="H64" s="19"/>
      <c r="I64" s="19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</row>
    <row r="65" spans="1:198" x14ac:dyDescent="0.2">
      <c r="A65" s="10" t="s">
        <v>63</v>
      </c>
      <c r="B65" s="6">
        <v>20583.079999999998</v>
      </c>
      <c r="C65" s="9"/>
      <c r="D65" s="11">
        <f t="shared" si="1"/>
        <v>26906.076930397197</v>
      </c>
      <c r="E65" s="11">
        <f t="shared" si="0"/>
        <v>6.3674903731953742E-6</v>
      </c>
      <c r="F65" s="9"/>
      <c r="G65" s="15"/>
      <c r="H65" s="15"/>
      <c r="I65" s="15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</row>
    <row r="66" spans="1:198" x14ac:dyDescent="0.2">
      <c r="A66" s="10" t="s">
        <v>64</v>
      </c>
      <c r="B66" s="6">
        <v>12029.8464</v>
      </c>
      <c r="C66" s="7"/>
      <c r="D66" s="11">
        <f t="shared" si="1"/>
        <v>27502.124852519279</v>
      </c>
      <c r="E66" s="11">
        <f t="shared" si="0"/>
        <v>5.3341101851040329E-6</v>
      </c>
      <c r="F66" s="7"/>
      <c r="G66" s="11"/>
      <c r="H66" s="11"/>
      <c r="I66" s="11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9"/>
      <c r="BY66" s="9"/>
      <c r="BZ66" s="9"/>
      <c r="CA66" s="9"/>
      <c r="CB66" s="9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</row>
    <row r="67" spans="1:198" x14ac:dyDescent="0.2">
      <c r="A67" s="10" t="s">
        <v>65</v>
      </c>
      <c r="B67" s="6">
        <v>4187.4443520000004</v>
      </c>
      <c r="C67" s="7"/>
      <c r="D67" s="11">
        <f t="shared" si="1"/>
        <v>28098.17277464136</v>
      </c>
      <c r="E67" s="11">
        <f t="shared" si="0"/>
        <v>4.4375139785553571E-6</v>
      </c>
      <c r="F67" s="7"/>
      <c r="G67" s="11"/>
      <c r="H67" s="11"/>
      <c r="I67" s="11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12"/>
      <c r="BY67" s="12"/>
      <c r="BZ67" s="12"/>
      <c r="CA67" s="12"/>
      <c r="CB67" s="12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</row>
    <row r="68" spans="1:198" x14ac:dyDescent="0.2">
      <c r="A68" s="10" t="s">
        <v>66</v>
      </c>
      <c r="B68" s="6">
        <v>19050</v>
      </c>
      <c r="C68" s="8"/>
      <c r="D68" s="11">
        <f t="shared" si="1"/>
        <v>28694.220696763441</v>
      </c>
      <c r="E68" s="11">
        <f t="shared" si="0"/>
        <v>3.6660767421117271E-6</v>
      </c>
      <c r="F68" s="8"/>
      <c r="G68" s="17"/>
      <c r="H68" s="17"/>
      <c r="I68" s="17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9"/>
      <c r="BY68" s="9"/>
      <c r="BZ68" s="9"/>
      <c r="CA68" s="9"/>
      <c r="CB68" s="9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</row>
    <row r="69" spans="1:198" x14ac:dyDescent="0.2">
      <c r="A69" s="10" t="s">
        <v>67</v>
      </c>
      <c r="B69" s="6">
        <v>14733.766799999999</v>
      </c>
      <c r="C69" s="8"/>
      <c r="D69" s="11">
        <f t="shared" si="1"/>
        <v>29290.268618885522</v>
      </c>
      <c r="E69" s="11">
        <f t="shared" ref="E69:E76" si="2">_xlfn.NORM.DIST(D69,E$1,E$2,0)</f>
        <v>3.0077894771978894E-6</v>
      </c>
      <c r="F69" s="8"/>
      <c r="G69" s="17"/>
      <c r="H69" s="17"/>
      <c r="I69" s="17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9"/>
      <c r="BY69" s="9"/>
      <c r="BZ69" s="9"/>
      <c r="CA69" s="9"/>
      <c r="CB69" s="9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</row>
    <row r="70" spans="1:198" x14ac:dyDescent="0.2">
      <c r="A70" s="10" t="s">
        <v>68</v>
      </c>
      <c r="B70" s="6">
        <v>10149.411384000001</v>
      </c>
      <c r="C70" s="12"/>
      <c r="D70" s="11">
        <f t="shared" ref="D70:D76" si="3">D69+(E$2*3/36)</f>
        <v>29886.316541007604</v>
      </c>
      <c r="E70" s="11">
        <f t="shared" si="2"/>
        <v>2.4506279672898443E-6</v>
      </c>
      <c r="F70" s="12"/>
      <c r="G70" s="16"/>
      <c r="H70" s="16"/>
      <c r="I70" s="16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9"/>
      <c r="BY70" s="9"/>
      <c r="BZ70" s="9"/>
      <c r="CA70" s="9"/>
      <c r="CB70" s="9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</row>
    <row r="71" spans="1:198" x14ac:dyDescent="0.2">
      <c r="A71" s="10" t="s">
        <v>69</v>
      </c>
      <c r="B71" s="6">
        <v>12515.511372000001</v>
      </c>
      <c r="C71" s="14"/>
      <c r="D71" s="11">
        <f t="shared" si="3"/>
        <v>30482.364463129685</v>
      </c>
      <c r="E71" s="11">
        <f t="shared" si="2"/>
        <v>1.9828570304581977E-6</v>
      </c>
      <c r="F71" s="14"/>
      <c r="G71" s="18"/>
      <c r="H71" s="18"/>
      <c r="I71" s="18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9"/>
      <c r="BY71" s="9"/>
      <c r="BZ71" s="9"/>
      <c r="CA71" s="9"/>
      <c r="CB71" s="9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</row>
    <row r="72" spans="1:198" x14ac:dyDescent="0.2">
      <c r="A72" s="10" t="s">
        <v>70</v>
      </c>
      <c r="B72" s="6">
        <v>9949.3535027249982</v>
      </c>
      <c r="C72" s="7"/>
      <c r="D72" s="11">
        <f t="shared" si="3"/>
        <v>31078.412385251766</v>
      </c>
      <c r="E72" s="11">
        <f t="shared" si="2"/>
        <v>1.5932703843712185E-6</v>
      </c>
      <c r="F72" s="7"/>
      <c r="G72" s="11"/>
      <c r="H72" s="11"/>
      <c r="I72" s="11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8"/>
      <c r="BY72" s="8"/>
      <c r="BZ72" s="8"/>
      <c r="CA72" s="8"/>
      <c r="CB72" s="8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</row>
    <row r="73" spans="1:198" x14ac:dyDescent="0.2">
      <c r="A73" s="10" t="s">
        <v>71</v>
      </c>
      <c r="B73" s="6">
        <v>14716.8</v>
      </c>
      <c r="C73" s="7"/>
      <c r="D73" s="11">
        <f t="shared" si="3"/>
        <v>31674.460307373847</v>
      </c>
      <c r="E73" s="11">
        <f t="shared" si="2"/>
        <v>1.271369040990252E-6</v>
      </c>
      <c r="F73" s="7"/>
      <c r="G73" s="11"/>
      <c r="H73" s="11"/>
      <c r="I73" s="11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9"/>
      <c r="BY73" s="9"/>
      <c r="BZ73" s="9"/>
      <c r="CA73" s="9"/>
      <c r="CB73" s="9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</row>
    <row r="74" spans="1:198" x14ac:dyDescent="0.2">
      <c r="A74" s="10" t="s">
        <v>72</v>
      </c>
      <c r="B74" s="6">
        <v>12168.766080000001</v>
      </c>
      <c r="C74" s="7"/>
      <c r="D74" s="11">
        <f t="shared" si="3"/>
        <v>32270.508229495928</v>
      </c>
      <c r="E74" s="11">
        <f t="shared" si="2"/>
        <v>1.0074832768134981E-6</v>
      </c>
      <c r="F74" s="7"/>
      <c r="G74" s="11"/>
      <c r="H74" s="11"/>
      <c r="I74" s="11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9"/>
      <c r="BY74" s="9"/>
      <c r="BZ74" s="9"/>
      <c r="CA74" s="9"/>
      <c r="CB74" s="9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</row>
    <row r="75" spans="1:198" x14ac:dyDescent="0.2">
      <c r="A75" s="10" t="s">
        <v>73</v>
      </c>
      <c r="B75" s="6">
        <v>10100</v>
      </c>
      <c r="C75" s="8"/>
      <c r="D75" s="11">
        <f t="shared" si="3"/>
        <v>32866.55615161801</v>
      </c>
      <c r="E75" s="11">
        <f t="shared" si="2"/>
        <v>7.9284469824395872E-7</v>
      </c>
      <c r="F75" s="8"/>
      <c r="G75" s="17"/>
      <c r="H75" s="17"/>
      <c r="I75" s="17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9"/>
      <c r="BY75" s="9"/>
      <c r="BZ75" s="9"/>
      <c r="CA75" s="9"/>
      <c r="CB75" s="9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</row>
    <row r="76" spans="1:198" x14ac:dyDescent="0.2">
      <c r="A76" s="10" t="s">
        <v>74</v>
      </c>
      <c r="B76" s="6">
        <v>3979.7911999999997</v>
      </c>
      <c r="C76" s="8"/>
      <c r="D76" s="11">
        <f t="shared" si="3"/>
        <v>33462.604073740091</v>
      </c>
      <c r="E76" s="11">
        <f t="shared" si="2"/>
        <v>6.1961578471736919E-7</v>
      </c>
      <c r="F76" s="8"/>
      <c r="G76" s="17"/>
      <c r="H76" s="17"/>
      <c r="I76" s="17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9"/>
      <c r="BY76" s="9"/>
      <c r="BZ76" s="9"/>
      <c r="CA76" s="9"/>
      <c r="CB76" s="9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</row>
    <row r="77" spans="1:198" x14ac:dyDescent="0.2">
      <c r="A77" s="10" t="s">
        <v>75</v>
      </c>
      <c r="B77" s="6">
        <v>13491.671943999998</v>
      </c>
      <c r="C77" s="8"/>
      <c r="D77" s="11"/>
      <c r="E77" s="17"/>
      <c r="F77" s="8"/>
      <c r="G77" s="17"/>
      <c r="H77" s="17"/>
      <c r="I77" s="17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9"/>
      <c r="BY77" s="9"/>
      <c r="BZ77" s="9"/>
      <c r="CA77" s="9"/>
      <c r="CB77" s="9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</row>
    <row r="78" spans="1:198" x14ac:dyDescent="0.2">
      <c r="A78" s="10" t="s">
        <v>76</v>
      </c>
      <c r="B78" s="6">
        <v>12480.097111199999</v>
      </c>
      <c r="C78" s="13"/>
      <c r="D78" s="11"/>
      <c r="E78" s="19"/>
      <c r="F78" s="13"/>
      <c r="G78" s="19"/>
      <c r="H78" s="19"/>
      <c r="I78" s="19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</row>
    <row r="79" spans="1:198" x14ac:dyDescent="0.2">
      <c r="A79" s="10" t="s">
        <v>77</v>
      </c>
      <c r="B79" s="6">
        <v>7040.1638400000002</v>
      </c>
      <c r="C79" s="7"/>
      <c r="D79" s="11"/>
      <c r="E79" s="11"/>
      <c r="F79" s="7"/>
      <c r="G79" s="11"/>
      <c r="H79" s="11"/>
      <c r="I79" s="11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9"/>
      <c r="BY79" s="9"/>
      <c r="BZ79" s="9"/>
      <c r="CA79" s="9"/>
      <c r="CB79" s="9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</row>
    <row r="80" spans="1:198" x14ac:dyDescent="0.2">
      <c r="A80" s="10" t="s">
        <v>78</v>
      </c>
      <c r="B80" s="6">
        <v>5643.4275450000005</v>
      </c>
      <c r="C80" s="8"/>
      <c r="D80" s="11"/>
      <c r="E80" s="17"/>
      <c r="F80" s="8"/>
      <c r="G80" s="17"/>
      <c r="H80" s="17"/>
      <c r="I80" s="17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9"/>
      <c r="BY80" s="9"/>
      <c r="BZ80" s="9"/>
      <c r="CA80" s="9"/>
      <c r="CB80" s="9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</row>
    <row r="81" spans="1:198" x14ac:dyDescent="0.2">
      <c r="A81" s="10" t="s">
        <v>79</v>
      </c>
      <c r="B81" s="6">
        <v>8637.247234880002</v>
      </c>
      <c r="C81" s="8"/>
      <c r="D81" s="11"/>
      <c r="E81" s="17"/>
      <c r="F81" s="8"/>
      <c r="G81" s="17"/>
      <c r="H81" s="17"/>
      <c r="I81" s="17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12"/>
      <c r="BY81" s="12"/>
      <c r="BZ81" s="12"/>
      <c r="CA81" s="12"/>
      <c r="CB81" s="12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</row>
    <row r="82" spans="1:198" x14ac:dyDescent="0.2">
      <c r="A82" s="10" t="s">
        <v>80</v>
      </c>
      <c r="B82" s="6">
        <v>8507.3300999999992</v>
      </c>
      <c r="C82" s="9"/>
      <c r="D82" s="11"/>
      <c r="E82" s="15"/>
      <c r="F82" s="9"/>
      <c r="G82" s="15"/>
      <c r="H82" s="15"/>
      <c r="I82" s="15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</row>
    <row r="83" spans="1:198" x14ac:dyDescent="0.2">
      <c r="A83" s="10" t="s">
        <v>81</v>
      </c>
      <c r="B83" s="6">
        <v>33337.019999999997</v>
      </c>
      <c r="C83" s="9"/>
      <c r="D83" s="11"/>
      <c r="E83" s="15"/>
      <c r="F83" s="9"/>
      <c r="G83" s="15"/>
      <c r="H83" s="15"/>
      <c r="I83" s="15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</row>
    <row r="84" spans="1:198" x14ac:dyDescent="0.2">
      <c r="A84" s="10" t="s">
        <v>82</v>
      </c>
      <c r="B84" s="6">
        <v>5973.5099999999993</v>
      </c>
      <c r="C84" s="12"/>
      <c r="D84" s="11"/>
      <c r="E84" s="16"/>
      <c r="F84" s="12"/>
      <c r="G84" s="16"/>
      <c r="H84" s="16"/>
      <c r="I84" s="16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8"/>
      <c r="BY84" s="8"/>
      <c r="BZ84" s="8"/>
      <c r="CA84" s="8"/>
      <c r="CB84" s="8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</row>
    <row r="85" spans="1:198" x14ac:dyDescent="0.2">
      <c r="A85" s="10" t="s">
        <v>83</v>
      </c>
      <c r="B85" s="6">
        <v>6780.7012800000002</v>
      </c>
      <c r="C85" s="9"/>
      <c r="D85" s="11"/>
      <c r="E85" s="15"/>
      <c r="F85" s="9"/>
      <c r="G85" s="15"/>
      <c r="H85" s="15"/>
      <c r="I85" s="15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12"/>
      <c r="BY85" s="12"/>
      <c r="BZ85" s="12"/>
      <c r="CA85" s="12"/>
      <c r="CB85" s="12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</row>
    <row r="86" spans="1:198" x14ac:dyDescent="0.2">
      <c r="A86" s="10" t="s">
        <v>84</v>
      </c>
      <c r="B86" s="6">
        <v>12078</v>
      </c>
      <c r="C86" s="9"/>
      <c r="D86" s="15"/>
      <c r="E86" s="15"/>
      <c r="F86" s="9"/>
      <c r="G86" s="15"/>
      <c r="H86" s="15"/>
      <c r="I86" s="15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12"/>
      <c r="BY86" s="12"/>
      <c r="BZ86" s="12"/>
      <c r="CA86" s="12"/>
      <c r="CB86" s="12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</row>
    <row r="87" spans="1:198" x14ac:dyDescent="0.2">
      <c r="A87" s="10" t="s">
        <v>85</v>
      </c>
      <c r="B87" s="6">
        <v>8289.594720000001</v>
      </c>
      <c r="C87" s="9"/>
      <c r="D87" s="15"/>
      <c r="E87" s="15"/>
      <c r="F87" s="9"/>
      <c r="G87" s="15"/>
      <c r="H87" s="15"/>
      <c r="I87" s="15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12"/>
      <c r="BY87" s="12"/>
      <c r="BZ87" s="12"/>
      <c r="CA87" s="12"/>
      <c r="CB87" s="12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</row>
    <row r="88" spans="1:198" x14ac:dyDescent="0.2">
      <c r="A88" s="20" t="s">
        <v>86</v>
      </c>
      <c r="B88" s="6">
        <v>12303.42</v>
      </c>
      <c r="C88" s="9"/>
      <c r="D88" s="15"/>
      <c r="E88" s="15"/>
      <c r="F88" s="9"/>
      <c r="G88" s="15"/>
      <c r="H88" s="15"/>
      <c r="I88" s="15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</row>
    <row r="89" spans="1:198" x14ac:dyDescent="0.2">
      <c r="A89" s="10" t="s">
        <v>87</v>
      </c>
      <c r="B89" s="6">
        <v>7412.1220799999992</v>
      </c>
      <c r="C89" s="9"/>
      <c r="D89" s="15"/>
      <c r="E89" s="15"/>
      <c r="F89" s="9"/>
      <c r="G89" s="15"/>
      <c r="H89" s="15"/>
      <c r="I89" s="15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</row>
    <row r="90" spans="1:198" x14ac:dyDescent="0.2">
      <c r="A90" s="20" t="s">
        <v>88</v>
      </c>
      <c r="B90" s="6">
        <v>4770</v>
      </c>
      <c r="C90" s="9"/>
      <c r="D90" s="15"/>
      <c r="E90" s="15"/>
      <c r="F90" s="9"/>
      <c r="G90" s="15"/>
      <c r="H90" s="15"/>
      <c r="I90" s="15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</row>
    <row r="91" spans="1:198" x14ac:dyDescent="0.2">
      <c r="A91" s="20" t="s">
        <v>89</v>
      </c>
      <c r="B91" s="6">
        <v>7985.7527399999999</v>
      </c>
      <c r="C91" s="9"/>
      <c r="D91" s="15"/>
      <c r="E91" s="15"/>
      <c r="F91" s="9"/>
      <c r="G91" s="15"/>
      <c r="H91" s="15"/>
      <c r="I91" s="15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</row>
    <row r="92" spans="1:198" x14ac:dyDescent="0.2">
      <c r="A92" s="20" t="s">
        <v>90</v>
      </c>
      <c r="B92" s="6">
        <v>11443.866</v>
      </c>
      <c r="C92" s="12"/>
      <c r="D92" s="16"/>
      <c r="E92" s="16"/>
      <c r="F92" s="12"/>
      <c r="G92" s="16"/>
      <c r="H92" s="16"/>
      <c r="I92" s="16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9"/>
      <c r="BY92" s="9"/>
      <c r="BZ92" s="9"/>
      <c r="CA92" s="9"/>
      <c r="CB92" s="9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</row>
    <row r="93" spans="1:198" x14ac:dyDescent="0.2">
      <c r="A93" s="20" t="s">
        <v>91</v>
      </c>
      <c r="B93" s="6">
        <v>12899.948544000003</v>
      </c>
      <c r="C93" s="8"/>
      <c r="D93" s="17"/>
      <c r="E93" s="17"/>
      <c r="F93" s="8"/>
      <c r="G93" s="17"/>
      <c r="H93" s="17"/>
      <c r="I93" s="17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9"/>
      <c r="BY93" s="9"/>
      <c r="BZ93" s="9"/>
      <c r="CA93" s="9"/>
      <c r="CB93" s="9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</row>
    <row r="94" spans="1:198" x14ac:dyDescent="0.2">
      <c r="A94" s="20" t="s">
        <v>92</v>
      </c>
      <c r="B94" s="6">
        <v>14900</v>
      </c>
      <c r="C94" s="8"/>
      <c r="D94" s="17"/>
      <c r="E94" s="17"/>
      <c r="F94" s="8"/>
      <c r="G94" s="17"/>
      <c r="H94" s="17"/>
      <c r="I94" s="17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9"/>
      <c r="BY94" s="9"/>
      <c r="BZ94" s="9"/>
      <c r="CA94" s="9"/>
      <c r="CB94" s="9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</row>
    <row r="95" spans="1:198" x14ac:dyDescent="0.2">
      <c r="A95" s="20" t="s">
        <v>93</v>
      </c>
      <c r="B95" s="6">
        <v>9662.3981999999978</v>
      </c>
      <c r="C95" s="12"/>
      <c r="D95" s="16"/>
      <c r="E95" s="16"/>
      <c r="F95" s="12"/>
      <c r="G95" s="16"/>
      <c r="H95" s="16"/>
      <c r="I95" s="16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9"/>
      <c r="BY95" s="9"/>
      <c r="BZ95" s="9"/>
      <c r="CA95" s="9"/>
      <c r="CB95" s="9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</row>
    <row r="96" spans="1:198" x14ac:dyDescent="0.2">
      <c r="A96" s="20" t="s">
        <v>94</v>
      </c>
      <c r="B96" s="6">
        <v>11302.157568000001</v>
      </c>
      <c r="C96" s="8"/>
      <c r="D96" s="17"/>
      <c r="E96" s="17"/>
      <c r="F96" s="8"/>
      <c r="G96" s="17"/>
      <c r="H96" s="17"/>
      <c r="I96" s="17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9"/>
      <c r="BY96" s="9"/>
      <c r="BZ96" s="9"/>
      <c r="CA96" s="9"/>
      <c r="CB96" s="9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</row>
    <row r="97" spans="1:198" x14ac:dyDescent="0.2">
      <c r="A97" s="20" t="s">
        <v>95</v>
      </c>
      <c r="B97" s="6">
        <v>8267.3228999999992</v>
      </c>
      <c r="C97" s="9"/>
      <c r="D97" s="15"/>
      <c r="E97" s="15"/>
      <c r="F97" s="9"/>
      <c r="G97" s="15"/>
      <c r="H97" s="15"/>
      <c r="I97" s="15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8"/>
      <c r="BY97" s="8"/>
      <c r="BZ97" s="8"/>
      <c r="CA97" s="8"/>
      <c r="CB97" s="8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12"/>
      <c r="GH97" s="12"/>
      <c r="GI97" s="12"/>
      <c r="GJ97" s="12"/>
      <c r="GK97" s="12"/>
      <c r="GL97" s="12"/>
      <c r="GM97" s="12"/>
      <c r="GN97" s="12"/>
      <c r="GO97" s="12"/>
      <c r="GP97" s="12"/>
    </row>
    <row r="98" spans="1:198" x14ac:dyDescent="0.2">
      <c r="A98" s="20" t="s">
        <v>96</v>
      </c>
      <c r="B98" s="6">
        <v>8886.51</v>
      </c>
      <c r="C98" s="13"/>
      <c r="D98" s="19"/>
      <c r="E98" s="19"/>
      <c r="F98" s="13"/>
      <c r="G98" s="19"/>
      <c r="H98" s="19"/>
      <c r="I98" s="19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</row>
    <row r="99" spans="1:198" x14ac:dyDescent="0.2">
      <c r="A99" s="20" t="s">
        <v>97</v>
      </c>
      <c r="B99" s="6">
        <v>5962.1183999999994</v>
      </c>
      <c r="C99" s="13"/>
      <c r="D99" s="19"/>
      <c r="E99" s="19"/>
      <c r="F99" s="13"/>
      <c r="G99" s="19"/>
      <c r="H99" s="19"/>
      <c r="I99" s="19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</row>
    <row r="100" spans="1:198" x14ac:dyDescent="0.2">
      <c r="A100" s="20" t="s">
        <v>98</v>
      </c>
      <c r="B100" s="6">
        <v>55880</v>
      </c>
      <c r="C100" s="13"/>
      <c r="D100" s="19"/>
      <c r="E100" s="19"/>
      <c r="F100" s="13"/>
      <c r="G100" s="19"/>
      <c r="H100" s="19"/>
      <c r="I100" s="19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</row>
    <row r="101" spans="1:198" x14ac:dyDescent="0.2">
      <c r="A101" s="20" t="s">
        <v>99</v>
      </c>
      <c r="B101" s="6">
        <v>13310</v>
      </c>
      <c r="C101" s="13"/>
      <c r="D101" s="19"/>
      <c r="E101" s="19"/>
      <c r="F101" s="13"/>
      <c r="G101" s="19"/>
      <c r="H101" s="19"/>
      <c r="I101" s="19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</row>
    <row r="102" spans="1:198" x14ac:dyDescent="0.2">
      <c r="A102" s="20" t="s">
        <v>100</v>
      </c>
      <c r="B102" s="6">
        <v>7075.4429857575014</v>
      </c>
      <c r="C102" s="13"/>
      <c r="D102" s="19"/>
      <c r="E102" s="19"/>
      <c r="F102" s="13"/>
      <c r="G102" s="19"/>
      <c r="H102" s="19"/>
      <c r="I102" s="19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</row>
    <row r="103" spans="1:198" x14ac:dyDescent="0.2">
      <c r="A103" s="20" t="s">
        <v>101</v>
      </c>
      <c r="B103" s="6">
        <v>14690.7255</v>
      </c>
      <c r="C103" s="13"/>
      <c r="D103" s="19"/>
      <c r="E103" s="19"/>
      <c r="F103" s="13"/>
      <c r="G103" s="19"/>
      <c r="H103" s="19"/>
      <c r="I103" s="19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</row>
    <row r="104" spans="1:198" x14ac:dyDescent="0.2">
      <c r="A104" s="20" t="s">
        <v>102</v>
      </c>
      <c r="B104" s="6">
        <v>41922.399999999994</v>
      </c>
      <c r="C104" s="13"/>
      <c r="D104" s="19"/>
      <c r="E104" s="19"/>
      <c r="F104" s="13"/>
      <c r="G104" s="19"/>
      <c r="H104" s="19"/>
      <c r="I104" s="19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</row>
    <row r="105" spans="1:198" x14ac:dyDescent="0.2">
      <c r="A105" s="20" t="s">
        <v>103</v>
      </c>
      <c r="B105" s="6">
        <v>15128.776224000001</v>
      </c>
      <c r="C105" s="13"/>
      <c r="D105" s="19"/>
      <c r="E105" s="19"/>
      <c r="F105" s="13"/>
      <c r="G105" s="19"/>
      <c r="H105" s="19"/>
      <c r="I105" s="19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</row>
    <row r="106" spans="1:198" x14ac:dyDescent="0.2">
      <c r="A106" s="20" t="s">
        <v>104</v>
      </c>
      <c r="B106" s="6">
        <v>7929.9621665753421</v>
      </c>
      <c r="C106" s="13"/>
      <c r="D106" s="19"/>
      <c r="E106" s="19"/>
      <c r="F106" s="13"/>
      <c r="G106" s="19"/>
      <c r="H106" s="19"/>
      <c r="I106" s="19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</row>
    <row r="107" spans="1:198" x14ac:dyDescent="0.2">
      <c r="A107" s="20" t="s">
        <v>105</v>
      </c>
      <c r="B107" s="6">
        <v>13193.1072</v>
      </c>
      <c r="C107" s="13"/>
      <c r="D107" s="19"/>
      <c r="E107" s="19"/>
      <c r="F107" s="13"/>
      <c r="G107" s="19"/>
      <c r="H107" s="19"/>
      <c r="I107" s="19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</row>
    <row r="108" spans="1:198" x14ac:dyDescent="0.2">
      <c r="A108" s="20" t="s">
        <v>106</v>
      </c>
      <c r="B108" s="6">
        <v>6772.889424</v>
      </c>
      <c r="C108" s="13"/>
      <c r="D108" s="19"/>
      <c r="E108" s="19"/>
      <c r="F108" s="13"/>
      <c r="G108" s="19"/>
      <c r="H108" s="19"/>
      <c r="I108" s="19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</row>
    <row r="109" spans="1:198" x14ac:dyDescent="0.2">
      <c r="A109" s="20" t="s">
        <v>107</v>
      </c>
      <c r="B109" s="6">
        <v>8372</v>
      </c>
      <c r="C109" s="13"/>
      <c r="D109" s="19"/>
      <c r="E109" s="19"/>
      <c r="F109" s="13"/>
      <c r="G109" s="19"/>
      <c r="H109" s="19"/>
      <c r="I109" s="19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</row>
    <row r="110" spans="1:198" x14ac:dyDescent="0.2">
      <c r="A110" s="20" t="s">
        <v>108</v>
      </c>
      <c r="B110" s="6">
        <v>16973.101600000002</v>
      </c>
      <c r="C110" s="13"/>
      <c r="D110" s="19"/>
      <c r="E110" s="19"/>
      <c r="F110" s="13"/>
      <c r="G110" s="19"/>
      <c r="H110" s="19"/>
      <c r="I110" s="19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</row>
    <row r="111" spans="1:198" x14ac:dyDescent="0.2">
      <c r="A111" s="20" t="s">
        <v>109</v>
      </c>
      <c r="B111" s="6">
        <v>7056.0000000000009</v>
      </c>
      <c r="C111" s="13"/>
      <c r="D111" s="19"/>
      <c r="E111" s="19"/>
      <c r="F111" s="13"/>
      <c r="G111" s="19"/>
      <c r="H111" s="19"/>
      <c r="I111" s="19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</row>
    <row r="112" spans="1:198" x14ac:dyDescent="0.2">
      <c r="A112" s="20" t="s">
        <v>110</v>
      </c>
      <c r="B112" s="6">
        <v>12767.875312499998</v>
      </c>
      <c r="C112" s="13"/>
      <c r="D112" s="19"/>
      <c r="E112" s="19"/>
      <c r="F112" s="13"/>
      <c r="G112" s="19"/>
      <c r="H112" s="19"/>
      <c r="I112" s="19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</row>
    <row r="113" spans="1:198" x14ac:dyDescent="0.2">
      <c r="A113" s="20" t="s">
        <v>111</v>
      </c>
      <c r="B113" s="6">
        <v>4674.1629620000003</v>
      </c>
      <c r="C113" s="13"/>
      <c r="D113" s="19"/>
      <c r="E113" s="19"/>
      <c r="F113" s="13"/>
      <c r="G113" s="19"/>
      <c r="H113" s="19"/>
      <c r="I113" s="19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</row>
    <row r="114" spans="1:198" x14ac:dyDescent="0.2">
      <c r="A114" s="20" t="s">
        <v>112</v>
      </c>
      <c r="B114" s="6">
        <v>2835</v>
      </c>
      <c r="C114" s="13"/>
      <c r="D114" s="19"/>
      <c r="E114" s="19"/>
      <c r="F114" s="13"/>
      <c r="G114" s="19"/>
      <c r="H114" s="19"/>
      <c r="I114" s="19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</row>
    <row r="115" spans="1:198" x14ac:dyDescent="0.2">
      <c r="A115" s="20" t="s">
        <v>113</v>
      </c>
      <c r="B115" s="6">
        <v>6115.948144</v>
      </c>
      <c r="C115" s="13"/>
      <c r="D115" s="19"/>
      <c r="E115" s="19"/>
      <c r="F115" s="13"/>
      <c r="G115" s="19"/>
      <c r="H115" s="19"/>
      <c r="I115" s="19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</row>
    <row r="116" spans="1:198" x14ac:dyDescent="0.2">
      <c r="A116" s="20" t="s">
        <v>114</v>
      </c>
      <c r="B116" s="6">
        <v>8222.9499999999989</v>
      </c>
      <c r="C116" s="13"/>
      <c r="D116" s="19"/>
      <c r="E116" s="19"/>
      <c r="F116" s="13"/>
      <c r="G116" s="19"/>
      <c r="H116" s="19"/>
      <c r="I116" s="19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</row>
    <row r="117" spans="1:198" x14ac:dyDescent="0.2">
      <c r="A117" s="20" t="s">
        <v>115</v>
      </c>
      <c r="B117" s="6">
        <v>11440</v>
      </c>
      <c r="C117" s="13"/>
      <c r="D117" s="19"/>
      <c r="E117" s="19"/>
      <c r="F117" s="13"/>
      <c r="G117" s="19"/>
      <c r="H117" s="19"/>
      <c r="I117" s="19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</row>
    <row r="118" spans="1:198" x14ac:dyDescent="0.2">
      <c r="A118" s="20" t="s">
        <v>116</v>
      </c>
      <c r="B118" s="6">
        <v>7038</v>
      </c>
      <c r="C118" s="13"/>
      <c r="D118" s="19"/>
      <c r="E118" s="19"/>
      <c r="F118" s="13"/>
      <c r="G118" s="19"/>
      <c r="H118" s="19"/>
      <c r="I118" s="19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</row>
    <row r="119" spans="1:198" x14ac:dyDescent="0.2">
      <c r="A119" s="20" t="s">
        <v>117</v>
      </c>
      <c r="B119" s="6">
        <v>7608.5752600000005</v>
      </c>
      <c r="C119" s="13"/>
      <c r="D119" s="19"/>
      <c r="E119" s="19"/>
      <c r="F119" s="13"/>
      <c r="G119" s="19"/>
      <c r="H119" s="19"/>
      <c r="I119" s="19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</row>
    <row r="120" spans="1:198" x14ac:dyDescent="0.2">
      <c r="A120" s="20" t="s">
        <v>118</v>
      </c>
      <c r="B120" s="6">
        <v>20206.991999999998</v>
      </c>
      <c r="C120" s="13"/>
      <c r="D120" s="19"/>
      <c r="E120" s="19"/>
      <c r="F120" s="13"/>
      <c r="G120" s="19"/>
      <c r="H120" s="19"/>
      <c r="I120" s="19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</row>
    <row r="121" spans="1:198" x14ac:dyDescent="0.2">
      <c r="A121" s="20" t="s">
        <v>119</v>
      </c>
      <c r="B121" s="6">
        <v>28080</v>
      </c>
      <c r="C121" s="13"/>
      <c r="D121" s="19"/>
      <c r="E121" s="19"/>
      <c r="F121" s="13"/>
      <c r="G121" s="19"/>
      <c r="H121" s="19"/>
      <c r="I121" s="19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</row>
    <row r="122" spans="1:198" x14ac:dyDescent="0.2">
      <c r="A122" s="20" t="s">
        <v>120</v>
      </c>
      <c r="B122" s="6">
        <v>10730.4913</v>
      </c>
      <c r="C122" s="13"/>
      <c r="D122" s="19"/>
      <c r="E122" s="19"/>
      <c r="F122" s="13"/>
      <c r="G122" s="19"/>
      <c r="H122" s="19"/>
      <c r="I122" s="19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</row>
    <row r="123" spans="1:198" x14ac:dyDescent="0.2">
      <c r="A123" s="20" t="s">
        <v>121</v>
      </c>
      <c r="B123" s="6">
        <v>7265.3624999999993</v>
      </c>
      <c r="C123" s="13"/>
      <c r="D123" s="19"/>
      <c r="E123" s="19"/>
      <c r="F123" s="13"/>
      <c r="G123" s="19"/>
      <c r="H123" s="19"/>
      <c r="I123" s="19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</row>
    <row r="124" spans="1:198" x14ac:dyDescent="0.2">
      <c r="A124" s="20" t="s">
        <v>122</v>
      </c>
      <c r="B124" s="6">
        <v>11542.41</v>
      </c>
      <c r="C124" s="13"/>
      <c r="D124" s="19"/>
      <c r="E124" s="19"/>
      <c r="F124" s="13"/>
      <c r="G124" s="19"/>
      <c r="H124" s="19"/>
      <c r="I124" s="19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</row>
    <row r="125" spans="1:198" x14ac:dyDescent="0.2">
      <c r="A125" s="20" t="s">
        <v>123</v>
      </c>
      <c r="B125" s="6">
        <v>6349.915</v>
      </c>
      <c r="C125" s="13"/>
      <c r="D125" s="19"/>
      <c r="E125" s="19"/>
      <c r="F125" s="13"/>
      <c r="G125" s="19"/>
      <c r="H125" s="19"/>
      <c r="I125" s="19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</row>
    <row r="126" spans="1:198" x14ac:dyDescent="0.2">
      <c r="A126" s="20" t="s">
        <v>124</v>
      </c>
      <c r="B126" s="6">
        <v>8355.9349499999989</v>
      </c>
      <c r="C126" s="13"/>
      <c r="D126" s="19"/>
      <c r="E126" s="19"/>
      <c r="F126" s="13"/>
      <c r="G126" s="19"/>
      <c r="H126" s="19"/>
      <c r="I126" s="19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</row>
    <row r="127" spans="1:198" x14ac:dyDescent="0.2">
      <c r="A127" s="20" t="s">
        <v>125</v>
      </c>
      <c r="B127" s="6">
        <v>8346</v>
      </c>
      <c r="C127" s="13"/>
      <c r="D127" s="19"/>
      <c r="E127" s="19"/>
      <c r="F127" s="13"/>
      <c r="G127" s="19"/>
      <c r="H127" s="19"/>
      <c r="I127" s="19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</row>
    <row r="128" spans="1:198" x14ac:dyDescent="0.2">
      <c r="A128" s="20" t="s">
        <v>126</v>
      </c>
      <c r="B128" s="6">
        <v>7326.0000000000009</v>
      </c>
      <c r="C128" s="13"/>
      <c r="D128" s="19"/>
      <c r="E128" s="19"/>
      <c r="F128" s="13"/>
      <c r="G128" s="19"/>
      <c r="H128" s="19"/>
      <c r="I128" s="19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</row>
    <row r="129" spans="1:198" x14ac:dyDescent="0.2">
      <c r="A129" s="20" t="s">
        <v>127</v>
      </c>
      <c r="B129" s="6">
        <v>12951.922</v>
      </c>
      <c r="C129" s="13"/>
      <c r="D129" s="19"/>
      <c r="E129" s="19"/>
      <c r="F129" s="13"/>
      <c r="G129" s="19"/>
      <c r="H129" s="19"/>
      <c r="I129" s="19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</row>
    <row r="130" spans="1:198" x14ac:dyDescent="0.2">
      <c r="A130" s="20" t="s">
        <v>128</v>
      </c>
      <c r="B130" s="6">
        <v>5411.8460000000005</v>
      </c>
      <c r="C130" s="13"/>
      <c r="D130" s="19"/>
      <c r="E130" s="19"/>
      <c r="F130" s="13"/>
      <c r="G130" s="19"/>
      <c r="H130" s="19"/>
      <c r="I130" s="19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</row>
    <row r="131" spans="1:198" x14ac:dyDescent="0.2">
      <c r="A131" s="20" t="s">
        <v>129</v>
      </c>
      <c r="B131" s="6">
        <v>11700</v>
      </c>
      <c r="C131" s="13"/>
      <c r="D131" s="19"/>
      <c r="E131" s="19"/>
      <c r="F131" s="13"/>
      <c r="G131" s="19"/>
      <c r="H131" s="19"/>
      <c r="I131" s="19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</row>
    <row r="132" spans="1:198" x14ac:dyDescent="0.2">
      <c r="A132" s="20" t="s">
        <v>130</v>
      </c>
      <c r="B132" s="6">
        <v>8208</v>
      </c>
      <c r="C132" s="13"/>
      <c r="D132" s="19"/>
      <c r="E132" s="19"/>
      <c r="F132" s="13"/>
      <c r="G132" s="19"/>
      <c r="H132" s="19"/>
      <c r="I132" s="19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</row>
    <row r="133" spans="1:198" x14ac:dyDescent="0.2">
      <c r="A133" s="20" t="s">
        <v>131</v>
      </c>
      <c r="B133" s="6">
        <v>7568</v>
      </c>
      <c r="C133" s="13"/>
      <c r="D133" s="19"/>
      <c r="E133" s="19"/>
      <c r="F133" s="13"/>
      <c r="G133" s="19"/>
      <c r="H133" s="19"/>
      <c r="I133" s="19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</row>
    <row r="134" spans="1:198" x14ac:dyDescent="0.2">
      <c r="A134" s="20" t="s">
        <v>132</v>
      </c>
      <c r="B134" s="6">
        <v>5405</v>
      </c>
      <c r="C134" s="13"/>
      <c r="D134" s="19"/>
      <c r="E134" s="19"/>
      <c r="F134" s="13"/>
      <c r="G134" s="19"/>
      <c r="H134" s="19"/>
      <c r="I134" s="19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</row>
    <row r="135" spans="1:198" x14ac:dyDescent="0.2">
      <c r="A135" s="20" t="s">
        <v>133</v>
      </c>
      <c r="B135" s="6">
        <v>6307</v>
      </c>
      <c r="C135" s="13"/>
      <c r="D135" s="19"/>
      <c r="E135" s="19"/>
      <c r="F135" s="13"/>
      <c r="G135" s="19"/>
      <c r="H135" s="19"/>
      <c r="I135" s="19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</row>
    <row r="136" spans="1:198" x14ac:dyDescent="0.2">
      <c r="A136" s="20" t="s">
        <v>134</v>
      </c>
      <c r="B136" s="6">
        <v>6400</v>
      </c>
      <c r="C136" s="13"/>
      <c r="D136" s="19"/>
      <c r="E136" s="19"/>
      <c r="F136" s="13"/>
      <c r="G136" s="19"/>
      <c r="H136" s="19"/>
      <c r="I136" s="19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</row>
    <row r="137" spans="1:198" x14ac:dyDescent="0.2">
      <c r="A137" s="20" t="s">
        <v>135</v>
      </c>
      <c r="B137" s="6">
        <v>6850.0000000000009</v>
      </c>
      <c r="C137" s="13"/>
      <c r="D137" s="19"/>
      <c r="E137" s="19"/>
      <c r="F137" s="13"/>
      <c r="G137" s="19"/>
      <c r="H137" s="19"/>
      <c r="I137" s="19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</row>
    <row r="138" spans="1:198" x14ac:dyDescent="0.2">
      <c r="A138" s="20" t="s">
        <v>136</v>
      </c>
      <c r="B138" s="6">
        <v>10782.72</v>
      </c>
      <c r="C138" s="13"/>
      <c r="D138" s="19"/>
      <c r="E138" s="19"/>
      <c r="F138" s="13"/>
      <c r="G138" s="19"/>
      <c r="H138" s="19"/>
      <c r="I138" s="19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</row>
    <row r="139" spans="1:198" x14ac:dyDescent="0.2">
      <c r="A139" s="20" t="s">
        <v>137</v>
      </c>
      <c r="B139" s="6">
        <v>7168.7999999999993</v>
      </c>
      <c r="C139" s="13"/>
      <c r="D139" s="19"/>
      <c r="E139" s="19"/>
      <c r="F139" s="13"/>
      <c r="G139" s="19"/>
      <c r="H139" s="19"/>
      <c r="I139" s="19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</row>
    <row r="140" spans="1:198" x14ac:dyDescent="0.2">
      <c r="A140" s="20" t="s">
        <v>138</v>
      </c>
      <c r="B140" s="6">
        <v>3192</v>
      </c>
      <c r="C140" s="13"/>
      <c r="D140" s="19"/>
      <c r="E140" s="19"/>
      <c r="F140" s="13"/>
      <c r="G140" s="19"/>
      <c r="H140" s="19"/>
      <c r="I140" s="19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</row>
    <row r="141" spans="1:198" x14ac:dyDescent="0.2">
      <c r="A141" s="20" t="s">
        <v>139</v>
      </c>
      <c r="B141" s="6">
        <v>11732.550000000001</v>
      </c>
      <c r="C141" s="13"/>
      <c r="D141" s="19"/>
      <c r="E141" s="19"/>
      <c r="F141" s="13"/>
      <c r="G141" s="19"/>
      <c r="H141" s="19"/>
      <c r="I141" s="19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</row>
    <row r="142" spans="1:198" x14ac:dyDescent="0.2">
      <c r="A142" s="20" t="s">
        <v>140</v>
      </c>
      <c r="B142" s="6">
        <v>5640</v>
      </c>
      <c r="C142" s="13"/>
      <c r="D142" s="19"/>
      <c r="E142" s="19"/>
      <c r="F142" s="13"/>
      <c r="G142" s="19"/>
      <c r="H142" s="19"/>
      <c r="I142" s="19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</row>
    <row r="143" spans="1:198" x14ac:dyDescent="0.2">
      <c r="A143" s="20" t="s">
        <v>141</v>
      </c>
      <c r="B143" s="6">
        <v>8774.5</v>
      </c>
      <c r="C143" s="13"/>
      <c r="D143" s="19"/>
      <c r="E143" s="19"/>
      <c r="F143" s="13"/>
      <c r="G143" s="19"/>
      <c r="H143" s="19"/>
      <c r="I143" s="19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</row>
    <row r="144" spans="1:198" x14ac:dyDescent="0.2">
      <c r="A144" s="20" t="s">
        <v>142</v>
      </c>
      <c r="B144" s="6">
        <v>12807.900000000001</v>
      </c>
      <c r="C144" s="13"/>
      <c r="D144" s="19"/>
      <c r="E144" s="19"/>
      <c r="F144" s="13"/>
      <c r="G144" s="19"/>
      <c r="H144" s="19"/>
      <c r="I144" s="19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</row>
    <row r="145" spans="1:198" x14ac:dyDescent="0.2">
      <c r="A145" s="20" t="s">
        <v>143</v>
      </c>
      <c r="B145" s="6">
        <v>6570</v>
      </c>
      <c r="C145" s="13"/>
      <c r="D145" s="19"/>
      <c r="E145" s="19"/>
      <c r="F145" s="13"/>
      <c r="G145" s="19"/>
      <c r="H145" s="19"/>
      <c r="I145" s="19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</row>
    <row r="146" spans="1:198" x14ac:dyDescent="0.2">
      <c r="A146" s="20" t="s">
        <v>144</v>
      </c>
      <c r="B146" s="6">
        <v>13100</v>
      </c>
      <c r="C146" s="13"/>
      <c r="D146" s="19"/>
      <c r="E146" s="19"/>
      <c r="F146" s="13"/>
      <c r="G146" s="19"/>
      <c r="H146" s="19"/>
      <c r="I146" s="19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</row>
    <row r="147" spans="1:198" x14ac:dyDescent="0.2">
      <c r="A147" s="20" t="s">
        <v>145</v>
      </c>
      <c r="B147" s="6">
        <v>11024</v>
      </c>
      <c r="C147" s="13"/>
      <c r="D147" s="19"/>
      <c r="E147" s="19"/>
      <c r="F147" s="13"/>
      <c r="G147" s="19"/>
      <c r="H147" s="19"/>
      <c r="I147" s="19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</row>
    <row r="148" spans="1:198" x14ac:dyDescent="0.2">
      <c r="A148" s="20" t="s">
        <v>146</v>
      </c>
      <c r="B148" s="6">
        <v>13259.9961</v>
      </c>
      <c r="C148" s="13"/>
      <c r="D148" s="19"/>
      <c r="E148" s="19"/>
      <c r="F148" s="13"/>
      <c r="G148" s="19"/>
      <c r="H148" s="19"/>
      <c r="I148" s="19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</row>
    <row r="149" spans="1:198" x14ac:dyDescent="0.2">
      <c r="A149" s="20" t="s">
        <v>147</v>
      </c>
      <c r="B149" s="6">
        <v>5440</v>
      </c>
      <c r="C149" s="13"/>
      <c r="D149" s="19"/>
      <c r="E149" s="19"/>
      <c r="F149" s="13"/>
      <c r="G149" s="19"/>
      <c r="H149" s="19"/>
      <c r="I149" s="19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</row>
    <row r="150" spans="1:198" x14ac:dyDescent="0.2">
      <c r="A150" s="20" t="s">
        <v>148</v>
      </c>
      <c r="B150" s="6">
        <v>4235</v>
      </c>
      <c r="C150" s="13"/>
      <c r="D150" s="19"/>
      <c r="E150" s="19"/>
      <c r="F150" s="13"/>
      <c r="G150" s="19"/>
      <c r="H150" s="19"/>
      <c r="I150" s="19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</row>
    <row r="151" spans="1:198" x14ac:dyDescent="0.2">
      <c r="A151" s="20" t="s">
        <v>149</v>
      </c>
      <c r="B151" s="6">
        <v>24990</v>
      </c>
      <c r="C151" s="13"/>
      <c r="D151" s="19"/>
      <c r="E151" s="19"/>
      <c r="F151" s="13"/>
      <c r="G151" s="19"/>
      <c r="H151" s="19"/>
      <c r="I151" s="19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</row>
    <row r="152" spans="1:198" x14ac:dyDescent="0.2">
      <c r="A152" s="20" t="s">
        <v>150</v>
      </c>
      <c r="B152" s="6">
        <v>4150</v>
      </c>
      <c r="C152" s="13"/>
      <c r="D152" s="19"/>
      <c r="E152" s="19"/>
      <c r="F152" s="13"/>
      <c r="G152" s="19"/>
      <c r="H152" s="19"/>
      <c r="I152" s="19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</row>
    <row r="153" spans="1:198" x14ac:dyDescent="0.2">
      <c r="A153" s="20" t="s">
        <v>151</v>
      </c>
      <c r="B153" s="6">
        <v>9090</v>
      </c>
      <c r="C153" s="13"/>
      <c r="D153" s="19"/>
      <c r="E153" s="19"/>
      <c r="F153" s="13"/>
      <c r="G153" s="19"/>
      <c r="H153" s="19"/>
      <c r="I153" s="19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</row>
    <row r="154" spans="1:198" x14ac:dyDescent="0.2">
      <c r="A154" s="20" t="s">
        <v>152</v>
      </c>
      <c r="B154" s="6">
        <v>6885</v>
      </c>
      <c r="C154" s="13"/>
      <c r="D154" s="19"/>
      <c r="E154" s="19"/>
      <c r="F154" s="13"/>
      <c r="G154" s="19"/>
      <c r="H154" s="19"/>
      <c r="I154" s="19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</row>
    <row r="155" spans="1:198" x14ac:dyDescent="0.2">
      <c r="A155" s="20" t="s">
        <v>153</v>
      </c>
      <c r="B155" s="6">
        <v>16660</v>
      </c>
      <c r="C155" s="13"/>
      <c r="D155" s="19"/>
      <c r="E155" s="19"/>
      <c r="F155" s="13"/>
      <c r="G155" s="19"/>
      <c r="H155" s="19"/>
      <c r="I155" s="19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</row>
    <row r="156" spans="1:198" x14ac:dyDescent="0.2">
      <c r="A156" s="20" t="s">
        <v>154</v>
      </c>
      <c r="B156" s="6">
        <v>11620</v>
      </c>
      <c r="C156" s="13"/>
      <c r="D156" s="19"/>
      <c r="E156" s="19"/>
      <c r="F156" s="13"/>
      <c r="G156" s="19"/>
      <c r="H156" s="19"/>
      <c r="I156" s="19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</row>
    <row r="157" spans="1:198" x14ac:dyDescent="0.2">
      <c r="A157" s="20" t="s">
        <v>155</v>
      </c>
      <c r="B157" s="6">
        <v>7920</v>
      </c>
      <c r="C157" s="13"/>
      <c r="D157" s="19"/>
      <c r="E157" s="19"/>
      <c r="F157" s="13"/>
      <c r="G157" s="19"/>
      <c r="H157" s="19"/>
      <c r="I157" s="19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</row>
    <row r="158" spans="1:198" x14ac:dyDescent="0.2">
      <c r="A158" s="20" t="s">
        <v>156</v>
      </c>
      <c r="B158" s="6">
        <v>12240</v>
      </c>
      <c r="C158" s="13"/>
      <c r="D158" s="19"/>
      <c r="E158" s="19"/>
      <c r="F158" s="13"/>
      <c r="G158" s="19"/>
      <c r="H158" s="19"/>
      <c r="I158" s="19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</row>
    <row r="159" spans="1:198" x14ac:dyDescent="0.2">
      <c r="A159" s="20" t="s">
        <v>157</v>
      </c>
      <c r="B159" s="6">
        <v>25840.499999999996</v>
      </c>
      <c r="C159" s="13"/>
      <c r="D159" s="19"/>
      <c r="E159" s="19"/>
      <c r="F159" s="13"/>
      <c r="G159" s="19"/>
      <c r="H159" s="19"/>
      <c r="I159" s="19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</row>
    <row r="160" spans="1:198" x14ac:dyDescent="0.2">
      <c r="A160" s="20" t="s">
        <v>158</v>
      </c>
      <c r="B160" s="6">
        <v>4480</v>
      </c>
      <c r="C160" s="13"/>
      <c r="D160" s="19"/>
      <c r="E160" s="19"/>
      <c r="F160" s="13"/>
      <c r="G160" s="19"/>
      <c r="H160" s="19"/>
      <c r="I160" s="19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</row>
    <row r="161" spans="1:198" x14ac:dyDescent="0.2">
      <c r="A161" s="20" t="s">
        <v>159</v>
      </c>
      <c r="B161" s="6">
        <v>8320</v>
      </c>
      <c r="C161" s="13"/>
      <c r="D161" s="19"/>
      <c r="E161" s="19"/>
      <c r="F161" s="13"/>
      <c r="G161" s="19"/>
      <c r="H161" s="19"/>
      <c r="I161" s="19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</row>
    <row r="162" spans="1:198" x14ac:dyDescent="0.2">
      <c r="A162" s="20" t="s">
        <v>160</v>
      </c>
      <c r="B162" s="6">
        <v>13000</v>
      </c>
      <c r="C162" s="13"/>
      <c r="D162" s="19"/>
      <c r="E162" s="19"/>
      <c r="F162" s="13"/>
      <c r="G162" s="19"/>
      <c r="H162" s="19"/>
      <c r="I162" s="19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</row>
    <row r="163" spans="1:198" x14ac:dyDescent="0.2">
      <c r="A163" s="20" t="s">
        <v>161</v>
      </c>
      <c r="B163" s="6">
        <v>7420</v>
      </c>
      <c r="C163" s="13"/>
      <c r="D163" s="19"/>
      <c r="E163" s="19"/>
      <c r="F163" s="13"/>
      <c r="G163" s="19"/>
      <c r="H163" s="19"/>
      <c r="I163" s="19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</row>
    <row r="164" spans="1:198" x14ac:dyDescent="0.2">
      <c r="A164" s="20" t="s">
        <v>162</v>
      </c>
      <c r="B164" s="6">
        <v>6984</v>
      </c>
      <c r="C164" s="13"/>
      <c r="D164" s="19"/>
      <c r="E164" s="19"/>
      <c r="F164" s="13"/>
      <c r="G164" s="19"/>
      <c r="H164" s="19"/>
      <c r="I164" s="19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</row>
    <row r="165" spans="1:198" x14ac:dyDescent="0.2">
      <c r="A165" s="20" t="s">
        <v>163</v>
      </c>
      <c r="B165" s="6">
        <v>7995</v>
      </c>
      <c r="C165" s="13"/>
      <c r="D165" s="19"/>
      <c r="E165" s="19"/>
      <c r="F165" s="13"/>
      <c r="G165" s="19"/>
      <c r="H165" s="19"/>
      <c r="I165" s="19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</row>
    <row r="166" spans="1:198" x14ac:dyDescent="0.2">
      <c r="A166" s="20" t="s">
        <v>164</v>
      </c>
      <c r="B166" s="6">
        <v>16940</v>
      </c>
      <c r="C166" s="13"/>
      <c r="D166" s="19"/>
      <c r="E166" s="19"/>
      <c r="F166" s="13"/>
      <c r="G166" s="19"/>
      <c r="H166" s="19"/>
      <c r="I166" s="19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</row>
    <row r="167" spans="1:198" x14ac:dyDescent="0.2">
      <c r="A167" s="20" t="s">
        <v>165</v>
      </c>
      <c r="B167" s="6">
        <v>9425</v>
      </c>
      <c r="C167" s="13"/>
      <c r="D167" s="19"/>
      <c r="E167" s="19"/>
      <c r="F167" s="13"/>
      <c r="G167" s="19"/>
      <c r="H167" s="19"/>
      <c r="I167" s="19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</row>
    <row r="168" spans="1:198" x14ac:dyDescent="0.2">
      <c r="A168" s="20" t="s">
        <v>166</v>
      </c>
      <c r="B168" s="6">
        <v>9425</v>
      </c>
      <c r="C168" s="13"/>
      <c r="D168" s="19"/>
      <c r="E168" s="19"/>
      <c r="F168" s="13"/>
      <c r="G168" s="19"/>
      <c r="H168" s="19"/>
      <c r="I168" s="19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</row>
    <row r="169" spans="1:198" x14ac:dyDescent="0.2">
      <c r="A169" s="20" t="s">
        <v>167</v>
      </c>
      <c r="B169" s="6">
        <v>12720</v>
      </c>
      <c r="C169" s="13"/>
      <c r="D169" s="19"/>
      <c r="E169" s="19"/>
      <c r="F169" s="13"/>
      <c r="G169" s="19"/>
      <c r="H169" s="19"/>
      <c r="I169" s="19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</row>
    <row r="170" spans="1:198" x14ac:dyDescent="0.2">
      <c r="A170" s="20" t="s">
        <v>168</v>
      </c>
      <c r="B170" s="6">
        <v>4770</v>
      </c>
      <c r="C170" s="13"/>
      <c r="D170" s="19"/>
      <c r="E170" s="19"/>
      <c r="F170" s="13"/>
      <c r="G170" s="19"/>
      <c r="H170" s="19"/>
      <c r="I170" s="19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</row>
    <row r="171" spans="1:198" x14ac:dyDescent="0.2">
      <c r="A171" s="20" t="s">
        <v>169</v>
      </c>
      <c r="B171" s="6">
        <v>12560</v>
      </c>
      <c r="C171" s="13"/>
      <c r="D171" s="19"/>
      <c r="E171" s="19"/>
      <c r="F171" s="13"/>
      <c r="G171" s="19"/>
      <c r="H171" s="19"/>
      <c r="I171" s="19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</row>
    <row r="172" spans="1:198" x14ac:dyDescent="0.2">
      <c r="A172" s="20" t="s">
        <v>170</v>
      </c>
      <c r="B172" s="6">
        <v>14100</v>
      </c>
      <c r="C172" s="13"/>
      <c r="D172" s="19"/>
      <c r="E172" s="19"/>
      <c r="F172" s="13"/>
      <c r="G172" s="19"/>
      <c r="H172" s="19"/>
      <c r="I172" s="19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</row>
    <row r="173" spans="1:198" x14ac:dyDescent="0.2">
      <c r="A173" s="20" t="s">
        <v>171</v>
      </c>
      <c r="B173" s="6">
        <v>8109</v>
      </c>
      <c r="C173" s="13"/>
      <c r="D173" s="19"/>
      <c r="E173" s="19"/>
      <c r="F173" s="13"/>
      <c r="G173" s="19"/>
      <c r="H173" s="19"/>
      <c r="I173" s="19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</row>
    <row r="174" spans="1:198" x14ac:dyDescent="0.2">
      <c r="A174" s="20" t="s">
        <v>172</v>
      </c>
      <c r="B174" s="6">
        <v>15480</v>
      </c>
      <c r="C174" s="13"/>
      <c r="D174" s="19"/>
      <c r="E174" s="19"/>
      <c r="F174" s="13"/>
      <c r="G174" s="19"/>
      <c r="H174" s="19"/>
      <c r="I174" s="19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</row>
    <row r="175" spans="1:198" x14ac:dyDescent="0.2">
      <c r="A175" s="20" t="s">
        <v>173</v>
      </c>
      <c r="B175" s="6">
        <v>4554</v>
      </c>
      <c r="C175" s="13"/>
      <c r="D175" s="19"/>
      <c r="E175" s="19"/>
      <c r="F175" s="13"/>
      <c r="G175" s="19"/>
      <c r="H175" s="19"/>
      <c r="I175" s="19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</row>
    <row r="176" spans="1:198" x14ac:dyDescent="0.2">
      <c r="A176" s="20" t="s">
        <v>174</v>
      </c>
      <c r="B176" s="6">
        <v>7125</v>
      </c>
      <c r="C176" s="13"/>
      <c r="D176" s="19"/>
      <c r="E176" s="19"/>
      <c r="F176" s="13"/>
      <c r="G176" s="19"/>
      <c r="H176" s="19"/>
      <c r="I176" s="19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</row>
    <row r="177" spans="1:198" x14ac:dyDescent="0.2">
      <c r="A177" s="20" t="s">
        <v>175</v>
      </c>
      <c r="B177" s="6">
        <v>7760</v>
      </c>
      <c r="C177" s="13"/>
      <c r="D177" s="19"/>
      <c r="E177" s="19"/>
      <c r="F177" s="13"/>
      <c r="G177" s="19"/>
      <c r="H177" s="19"/>
      <c r="I177" s="19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</row>
    <row r="178" spans="1:198" x14ac:dyDescent="0.2">
      <c r="A178" s="20" t="s">
        <v>176</v>
      </c>
      <c r="B178" s="6">
        <v>10270</v>
      </c>
      <c r="C178" s="13"/>
      <c r="D178" s="19"/>
      <c r="E178" s="19"/>
      <c r="F178" s="13"/>
      <c r="G178" s="19"/>
      <c r="H178" s="19"/>
      <c r="I178" s="19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</row>
    <row r="179" spans="1:198" x14ac:dyDescent="0.2">
      <c r="A179" s="20" t="s">
        <v>177</v>
      </c>
      <c r="B179" s="6">
        <v>11900</v>
      </c>
      <c r="C179" s="13"/>
      <c r="D179" s="19"/>
      <c r="E179" s="19"/>
      <c r="F179" s="13"/>
      <c r="G179" s="19"/>
      <c r="H179" s="19"/>
      <c r="I179" s="19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</row>
    <row r="180" spans="1:198" x14ac:dyDescent="0.2">
      <c r="A180" s="20" t="s">
        <v>178</v>
      </c>
      <c r="B180" s="6">
        <v>13000</v>
      </c>
      <c r="C180" s="13"/>
      <c r="D180" s="19"/>
      <c r="E180" s="19"/>
      <c r="F180" s="13"/>
      <c r="G180" s="19"/>
      <c r="H180" s="19"/>
      <c r="I180" s="19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</row>
    <row r="181" spans="1:198" x14ac:dyDescent="0.2">
      <c r="A181" s="20" t="s">
        <v>179</v>
      </c>
      <c r="B181" s="6">
        <v>8255</v>
      </c>
      <c r="C181" s="13"/>
      <c r="D181" s="19"/>
      <c r="E181" s="19"/>
      <c r="F181" s="13"/>
      <c r="G181" s="19"/>
      <c r="H181" s="19"/>
      <c r="I181" s="19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</row>
    <row r="182" spans="1:198" x14ac:dyDescent="0.2">
      <c r="A182" s="22" t="s">
        <v>180</v>
      </c>
      <c r="B182" s="23">
        <v>11440</v>
      </c>
      <c r="C182" s="13"/>
      <c r="D182" s="19"/>
      <c r="E182" s="19"/>
      <c r="F182" s="13"/>
      <c r="G182" s="19"/>
      <c r="H182" s="19"/>
      <c r="I182" s="19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</row>
  </sheetData>
  <phoneticPr fontId="1" type="noConversion"/>
  <pageMargins left="0.7" right="0.7" top="0.75" bottom="0.75" header="0.3" footer="0.3"/>
  <pageSetup paperSize="9" orientation="portrait" r:id="rId1"/>
  <ignoredErrors>
    <ignoredError sqref="A4:A182 B4:B182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基本工资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2018-07-23T14:52:39Z</dcterms:modified>
</cp:coreProperties>
</file>