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/>
  <xr:revisionPtr revIDLastSave="0" documentId="13_ncr:1_{F9040922-BDD9-4DF6-8393-FEAAEA32559D}" xr6:coauthVersionLast="38" xr6:coauthVersionMax="38" xr10:uidLastSave="{00000000-0000-0000-0000-000000000000}"/>
  <bookViews>
    <workbookView xWindow="0" yWindow="0" windowWidth="28800" windowHeight="13920" xr2:uid="{00000000-000D-0000-FFFF-FFFF00000000}"/>
  </bookViews>
  <sheets>
    <sheet name="Sheet1" sheetId="1" r:id="rId1"/>
    <sheet name="Sheet2" sheetId="2" r:id="rId2"/>
    <sheet name="Sheet3" sheetId="6" r:id="rId3"/>
    <sheet name="Sheet4" sheetId="5" r:id="rId4"/>
    <sheet name="Sheet5" sheetId="8" r:id="rId5"/>
    <sheet name="参考数据" sheetId="3" r:id="rId6"/>
    <sheet name="参考资料" sheetId="4" r:id="rId7"/>
    <sheet name="分区域" sheetId="7" r:id="rId8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4" i="5" l="1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D5" i="6"/>
  <c r="D34" i="6"/>
  <c r="D35" i="6"/>
  <c r="D36" i="6"/>
  <c r="D37" i="6"/>
  <c r="D6" i="6"/>
  <c r="D7" i="6"/>
  <c r="D8" i="6"/>
  <c r="D9" i="6"/>
  <c r="D10" i="6"/>
  <c r="D11" i="6"/>
  <c r="D38" i="6"/>
  <c r="D12" i="6"/>
  <c r="D13" i="6"/>
  <c r="D39" i="6"/>
  <c r="D40" i="6"/>
  <c r="D14" i="6"/>
  <c r="D41" i="6"/>
  <c r="D15" i="6"/>
  <c r="D16" i="6"/>
  <c r="D17" i="6"/>
  <c r="D18" i="6"/>
  <c r="D42" i="6"/>
  <c r="D19" i="6"/>
  <c r="D43" i="6"/>
  <c r="D44" i="6"/>
  <c r="D45" i="6"/>
  <c r="D46" i="6"/>
  <c r="D20" i="6"/>
  <c r="D21" i="6"/>
  <c r="D47" i="6"/>
  <c r="D22" i="6"/>
  <c r="D23" i="6"/>
  <c r="D48" i="6"/>
  <c r="D24" i="6"/>
  <c r="D49" i="6"/>
  <c r="D50" i="6"/>
  <c r="D25" i="6"/>
  <c r="D26" i="6"/>
  <c r="D27" i="6"/>
  <c r="D51" i="6"/>
  <c r="D28" i="6"/>
  <c r="D52" i="6"/>
  <c r="D53" i="6"/>
  <c r="D29" i="6"/>
  <c r="D30" i="6"/>
  <c r="D54" i="6"/>
  <c r="D31" i="6"/>
  <c r="D32" i="6"/>
  <c r="D33" i="6"/>
  <c r="D4" i="6"/>
  <c r="E33" i="6"/>
  <c r="E32" i="6"/>
  <c r="E31" i="6"/>
  <c r="E54" i="6"/>
  <c r="E30" i="6"/>
  <c r="E29" i="6"/>
  <c r="E53" i="6"/>
  <c r="E52" i="6"/>
  <c r="E28" i="6"/>
  <c r="E51" i="6"/>
  <c r="E27" i="6"/>
  <c r="E26" i="6"/>
  <c r="E25" i="6"/>
  <c r="E50" i="6"/>
  <c r="E49" i="6"/>
  <c r="E24" i="6"/>
  <c r="E48" i="6"/>
  <c r="E23" i="6"/>
  <c r="E22" i="6"/>
  <c r="E47" i="6"/>
  <c r="E21" i="6"/>
  <c r="E20" i="6"/>
  <c r="E46" i="6"/>
  <c r="E45" i="6"/>
  <c r="E44" i="6"/>
  <c r="E43" i="6"/>
  <c r="E19" i="6"/>
  <c r="E42" i="6"/>
  <c r="E18" i="6"/>
  <c r="E17" i="6"/>
  <c r="E16" i="6"/>
  <c r="E15" i="6"/>
  <c r="E41" i="6"/>
  <c r="E14" i="6"/>
  <c r="E40" i="6"/>
  <c r="E39" i="6"/>
  <c r="E13" i="6"/>
  <c r="E12" i="6"/>
  <c r="E38" i="6"/>
  <c r="E11" i="6"/>
  <c r="E10" i="6"/>
  <c r="E9" i="6"/>
  <c r="E8" i="6"/>
  <c r="E7" i="6"/>
  <c r="E6" i="6"/>
  <c r="E37" i="6"/>
  <c r="E36" i="6"/>
  <c r="E35" i="6"/>
  <c r="E34" i="6"/>
  <c r="E5" i="6"/>
  <c r="E4" i="6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4" i="1"/>
</calcChain>
</file>

<file path=xl/sharedStrings.xml><?xml version="1.0" encoding="utf-8"?>
<sst xmlns="http://schemas.openxmlformats.org/spreadsheetml/2006/main" count="990" uniqueCount="433">
  <si>
    <t>州</t>
    <phoneticPr fontId="3" type="noConversion"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</si>
  <si>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</si>
  <si>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</si>
  <si>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</si>
  <si>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</si>
  <si>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</si>
  <si>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</si>
  <si>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</si>
  <si>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</si>
  <si>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</si>
  <si>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</si>
  <si>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</si>
  <si>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</si>
  <si>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</si>
  <si>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</si>
  <si>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</si>
  <si>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</si>
  <si>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</si>
  <si>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</si>
  <si>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</si>
  <si>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</si>
  <si>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</si>
  <si>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</si>
  <si>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</si>
  <si>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</si>
  <si>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</si>
  <si>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</si>
  <si>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</si>
  <si>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</si>
  <si>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</si>
  <si>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</si>
  <si>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</si>
  <si>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</si>
  <si>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</si>
  <si>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</si>
  <si>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</si>
  <si>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</si>
  <si>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</si>
  <si>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</si>
  <si>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</si>
  <si>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</si>
  <si>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</si>
  <si>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</si>
  <si>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</si>
  <si>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</si>
  <si>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</si>
  <si>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</si>
  <si>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</si>
  <si>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</si>
  <si>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</si>
  <si>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</si>
  <si>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</si>
  <si>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GeoFips</t>
  </si>
  <si>
    <t>GeoName</t>
  </si>
  <si>
    <t>LineCode</t>
  </si>
  <si>
    <t>2008</t>
  </si>
  <si>
    <t>2009</t>
  </si>
  <si>
    <t>2010</t>
  </si>
  <si>
    <t>2011</t>
  </si>
  <si>
    <t>2012</t>
  </si>
  <si>
    <t>2013</t>
  </si>
  <si>
    <t>2014</t>
  </si>
  <si>
    <t>2015</t>
  </si>
  <si>
    <t>00000</t>
  </si>
  <si>
    <t>United States</t>
  </si>
  <si>
    <t>2</t>
  </si>
  <si>
    <t>01000</t>
  </si>
  <si>
    <t>02000</t>
  </si>
  <si>
    <t>04000</t>
  </si>
  <si>
    <t>05000</t>
  </si>
  <si>
    <t>06000</t>
  </si>
  <si>
    <t>08000</t>
  </si>
  <si>
    <t>09000</t>
  </si>
  <si>
    <t>10000</t>
  </si>
  <si>
    <t>11000</t>
  </si>
  <si>
    <t>12000</t>
  </si>
  <si>
    <t>13000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</si>
  <si>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</si>
  <si>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</si>
  <si>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</si>
  <si>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</si>
  <si>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</si>
  <si>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</si>
  <si>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</si>
  <si>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</si>
  <si>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</si>
  <si>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</si>
  <si>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</si>
  <si>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</si>
  <si>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</si>
  <si>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</si>
  <si>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</si>
  <si>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</si>
  <si>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</si>
  <si>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</si>
  <si>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</si>
  <si>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</si>
  <si>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</si>
  <si>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</si>
  <si>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</si>
  <si>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</si>
  <si>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</si>
  <si>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</si>
  <si>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</si>
  <si>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</si>
  <si>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</si>
  <si>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</si>
  <si>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</si>
  <si>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</si>
  <si>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</si>
  <si>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</si>
  <si>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</si>
  <si>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</si>
  <si>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53000</t>
  </si>
  <si>
    <t>54000</t>
  </si>
  <si>
    <t>55000</t>
  </si>
  <si>
    <t>56000</t>
  </si>
  <si>
    <t>区域价格指数</t>
    <phoneticPr fontId="3" type="noConversion"/>
  </si>
  <si>
    <t>data</t>
    <phoneticPr fontId="3" type="noConversion"/>
  </si>
  <si>
    <t>x</t>
    <phoneticPr fontId="3" type="noConversion"/>
  </si>
  <si>
    <t>y</t>
    <phoneticPr fontId="3" type="noConversion"/>
  </si>
  <si>
    <t>首府</t>
  </si>
  <si>
    <t>首府英文名</t>
  </si>
  <si>
    <t>阿拉巴马州</t>
  </si>
  <si>
    <t>AL</t>
  </si>
  <si>
    <t>蒙哥马利</t>
  </si>
  <si>
    <t>Montgomery</t>
  </si>
  <si>
    <t>阿拉斯加州</t>
  </si>
  <si>
    <t>AK</t>
  </si>
  <si>
    <t>朱诺</t>
  </si>
  <si>
    <t>Juneau</t>
  </si>
  <si>
    <t>亚利桑那州</t>
  </si>
  <si>
    <t>AZ</t>
  </si>
  <si>
    <t>菲尼克斯</t>
  </si>
  <si>
    <t>Phoenix</t>
  </si>
  <si>
    <t>阿肯色州</t>
  </si>
  <si>
    <t>AR</t>
  </si>
  <si>
    <t>小石城</t>
  </si>
  <si>
    <t>Little rock</t>
  </si>
  <si>
    <t>加利福尼亚州</t>
  </si>
  <si>
    <t>CA</t>
  </si>
  <si>
    <t>萨克拉门托</t>
  </si>
  <si>
    <t>Sacramento</t>
  </si>
  <si>
    <t>科罗拉多州</t>
  </si>
  <si>
    <t>CO</t>
  </si>
  <si>
    <t>丹佛</t>
  </si>
  <si>
    <t>Denver</t>
  </si>
  <si>
    <t>康涅狄格州</t>
  </si>
  <si>
    <t>CT</t>
  </si>
  <si>
    <t>哈特福德</t>
  </si>
  <si>
    <t>Hartford</t>
  </si>
  <si>
    <t>特拉华州</t>
  </si>
  <si>
    <t>DE</t>
  </si>
  <si>
    <t>多佛</t>
  </si>
  <si>
    <t>Dover</t>
  </si>
  <si>
    <t>佛罗里达州</t>
  </si>
  <si>
    <t>FL</t>
  </si>
  <si>
    <t>塔拉哈西</t>
  </si>
  <si>
    <t>Tallahassee</t>
  </si>
  <si>
    <t>乔治亚州</t>
  </si>
  <si>
    <t>GA</t>
  </si>
  <si>
    <t>亚特兰大</t>
  </si>
  <si>
    <t>Atlanta</t>
  </si>
  <si>
    <t>夏威夷州</t>
  </si>
  <si>
    <t>HI</t>
  </si>
  <si>
    <t>檀香山</t>
  </si>
  <si>
    <t>Honolulu</t>
  </si>
  <si>
    <t>爱达荷州</t>
  </si>
  <si>
    <t>ID</t>
  </si>
  <si>
    <t>博伊西</t>
  </si>
  <si>
    <t>Boise</t>
  </si>
  <si>
    <t>伊利诺斯州</t>
  </si>
  <si>
    <t>IL</t>
  </si>
  <si>
    <t>斯普林菲尔德</t>
  </si>
  <si>
    <t>Springfield</t>
  </si>
  <si>
    <t>印第安纳州</t>
  </si>
  <si>
    <t>IN</t>
  </si>
  <si>
    <t>印第安纳波利斯</t>
  </si>
  <si>
    <t>Indianapolis</t>
  </si>
  <si>
    <t>爱荷华州</t>
  </si>
  <si>
    <t>IA</t>
  </si>
  <si>
    <t>得梅因</t>
  </si>
  <si>
    <t>Des Moines</t>
  </si>
  <si>
    <t>堪萨斯州</t>
  </si>
  <si>
    <t>KS</t>
  </si>
  <si>
    <t>托皮卡</t>
  </si>
  <si>
    <t>Topeka</t>
  </si>
  <si>
    <t>肯塔基州</t>
  </si>
  <si>
    <t>KY</t>
  </si>
  <si>
    <t>法兰克福</t>
  </si>
  <si>
    <t>Frankfort</t>
  </si>
  <si>
    <t>路易斯安那州</t>
  </si>
  <si>
    <t>LA</t>
  </si>
  <si>
    <t>巴吞鲁日</t>
  </si>
  <si>
    <t>Baton Rouge</t>
  </si>
  <si>
    <t>缅因州</t>
  </si>
  <si>
    <t>ME</t>
  </si>
  <si>
    <t>奥古斯塔</t>
  </si>
  <si>
    <t>Augusta</t>
  </si>
  <si>
    <t>马里兰州</t>
  </si>
  <si>
    <t>MD</t>
  </si>
  <si>
    <t>安纳波利斯</t>
  </si>
  <si>
    <t>Annapolis</t>
  </si>
  <si>
    <t>马萨诸塞州</t>
  </si>
  <si>
    <t>MA</t>
  </si>
  <si>
    <t>波士顿</t>
  </si>
  <si>
    <t>Boston</t>
  </si>
  <si>
    <t>密歇根州</t>
  </si>
  <si>
    <t>MI</t>
  </si>
  <si>
    <t>兰辛</t>
  </si>
  <si>
    <t>Lansing</t>
  </si>
  <si>
    <t>明尼苏达州</t>
  </si>
  <si>
    <t>MN</t>
  </si>
  <si>
    <t>圣保罗</t>
  </si>
  <si>
    <t>St. Paul</t>
  </si>
  <si>
    <t>密西西比州</t>
  </si>
  <si>
    <t>MS</t>
  </si>
  <si>
    <t>杰克逊</t>
  </si>
  <si>
    <t>Jackson</t>
  </si>
  <si>
    <t>密苏里州</t>
  </si>
  <si>
    <t>MO</t>
  </si>
  <si>
    <t>杰斐逊城</t>
  </si>
  <si>
    <t>Jefferson City</t>
  </si>
  <si>
    <t>蒙大拿州</t>
  </si>
  <si>
    <t>MT</t>
  </si>
  <si>
    <t>海伦娜</t>
  </si>
  <si>
    <t>Helena</t>
  </si>
  <si>
    <t>内布拉斯加州</t>
  </si>
  <si>
    <t>NE</t>
  </si>
  <si>
    <t>林肯</t>
  </si>
  <si>
    <t>Lincoln</t>
  </si>
  <si>
    <t>内华达州</t>
  </si>
  <si>
    <t>NV</t>
  </si>
  <si>
    <t>卡森城</t>
  </si>
  <si>
    <t>Carson City</t>
  </si>
  <si>
    <t>新罕布什尔州</t>
  </si>
  <si>
    <t>New hampshire</t>
  </si>
  <si>
    <t>NH</t>
  </si>
  <si>
    <t>康科德</t>
  </si>
  <si>
    <t>Concord</t>
  </si>
  <si>
    <t>新泽西州</t>
  </si>
  <si>
    <t>New jersey</t>
  </si>
  <si>
    <t>NJ</t>
  </si>
  <si>
    <t>特伦顿</t>
  </si>
  <si>
    <t>Trenton</t>
  </si>
  <si>
    <t>新墨西哥州</t>
  </si>
  <si>
    <t>New mexico</t>
  </si>
  <si>
    <t>NM</t>
  </si>
  <si>
    <t>圣菲</t>
  </si>
  <si>
    <t>Santa Fe</t>
  </si>
  <si>
    <t>纽约州</t>
  </si>
  <si>
    <t>New York</t>
  </si>
  <si>
    <t>NY</t>
  </si>
  <si>
    <t>奥尔巴尼</t>
  </si>
  <si>
    <t>Albany</t>
  </si>
  <si>
    <t>北卡罗来纳州</t>
  </si>
  <si>
    <t>North Carolina</t>
  </si>
  <si>
    <t>NC</t>
  </si>
  <si>
    <t>纳罗利</t>
  </si>
  <si>
    <t>Raleigh</t>
  </si>
  <si>
    <t>北达科他州</t>
  </si>
  <si>
    <t>North Dakota</t>
  </si>
  <si>
    <t>ND</t>
  </si>
  <si>
    <t>俾斯麦</t>
  </si>
  <si>
    <t>Bismarck</t>
  </si>
  <si>
    <t>俄亥俄州</t>
  </si>
  <si>
    <t>OH</t>
  </si>
  <si>
    <t>哥伦布</t>
  </si>
  <si>
    <t>Columbus</t>
  </si>
  <si>
    <t>俄克拉荷马州</t>
  </si>
  <si>
    <t>OK</t>
  </si>
  <si>
    <t>俄克拉何马城</t>
  </si>
  <si>
    <t>Oklahoma City</t>
  </si>
  <si>
    <t>俄勒冈州</t>
  </si>
  <si>
    <t>OR</t>
  </si>
  <si>
    <t>塞勒姆</t>
  </si>
  <si>
    <t>Salem</t>
  </si>
  <si>
    <t>宾夕法尼亚州</t>
  </si>
  <si>
    <t>PA</t>
  </si>
  <si>
    <t>哈里斯堡</t>
  </si>
  <si>
    <t>Harrisburg</t>
  </si>
  <si>
    <t>罗得岛州</t>
  </si>
  <si>
    <t>Rhode island</t>
  </si>
  <si>
    <t>RI</t>
  </si>
  <si>
    <t>普罗维登斯</t>
  </si>
  <si>
    <t>Providence</t>
  </si>
  <si>
    <t>南卡罗来纳州</t>
  </si>
  <si>
    <t>South carolina</t>
  </si>
  <si>
    <t>SC</t>
  </si>
  <si>
    <t>哥伦比亚</t>
  </si>
  <si>
    <t>Columbia</t>
  </si>
  <si>
    <t>南达科他州</t>
  </si>
  <si>
    <t>South dakota</t>
  </si>
  <si>
    <t>SD</t>
  </si>
  <si>
    <t>皮尔</t>
  </si>
  <si>
    <t>Pierre</t>
  </si>
  <si>
    <t>田纳西州</t>
  </si>
  <si>
    <t>TN</t>
  </si>
  <si>
    <t>纳什维尔</t>
  </si>
  <si>
    <t>Nashville</t>
  </si>
  <si>
    <t>得克萨斯州</t>
  </si>
  <si>
    <t>TX</t>
  </si>
  <si>
    <t>奥斯汀</t>
  </si>
  <si>
    <t>Austin</t>
  </si>
  <si>
    <t>犹他州</t>
  </si>
  <si>
    <t>UT</t>
  </si>
  <si>
    <t>盐湖城</t>
  </si>
  <si>
    <t>Salt Lake City</t>
  </si>
  <si>
    <t>佛蒙特州</t>
  </si>
  <si>
    <t>VT</t>
  </si>
  <si>
    <t>蒙彼利埃</t>
  </si>
  <si>
    <t>Montpelier</t>
  </si>
  <si>
    <t>弗吉尼亚州</t>
  </si>
  <si>
    <t>VA</t>
  </si>
  <si>
    <t>里士满</t>
  </si>
  <si>
    <t>Richmond</t>
  </si>
  <si>
    <t>华盛顿州</t>
  </si>
  <si>
    <t>WA</t>
  </si>
  <si>
    <t>奥林匹亚</t>
  </si>
  <si>
    <t>Olympia</t>
  </si>
  <si>
    <t>西弗吉尼亚州</t>
  </si>
  <si>
    <t>West Virginia</t>
  </si>
  <si>
    <t>WV</t>
  </si>
  <si>
    <t>查尔斯顿</t>
  </si>
  <si>
    <t>Charleston</t>
  </si>
  <si>
    <t>威斯康辛州</t>
  </si>
  <si>
    <t>WI</t>
  </si>
  <si>
    <t>麦迪逊</t>
  </si>
  <si>
    <t>Madison</t>
  </si>
  <si>
    <t>怀俄明州</t>
  </si>
  <si>
    <t>WY</t>
  </si>
  <si>
    <t>夏延</t>
  </si>
  <si>
    <t>Cheyenne</t>
  </si>
  <si>
    <t>美国州名</t>
  </si>
  <si>
    <t>美国州名英文</t>
  </si>
  <si>
    <t>美国州名简写和简称</t>
  </si>
  <si>
    <t>简写</t>
    <phoneticPr fontId="3" type="noConversion"/>
  </si>
  <si>
    <t>DC</t>
  </si>
  <si>
    <t>DC</t>
    <phoneticPr fontId="3" type="noConversion"/>
  </si>
  <si>
    <t>NH</t>
    <phoneticPr fontId="3" type="noConversion"/>
  </si>
  <si>
    <t>NJ</t>
    <phoneticPr fontId="3" type="noConversion"/>
  </si>
  <si>
    <t>NM</t>
    <phoneticPr fontId="3" type="noConversion"/>
  </si>
  <si>
    <t>NY</t>
    <phoneticPr fontId="3" type="noConversion"/>
  </si>
  <si>
    <t>NC</t>
    <phoneticPr fontId="3" type="noConversion"/>
  </si>
  <si>
    <t>ND</t>
    <phoneticPr fontId="3" type="noConversion"/>
  </si>
  <si>
    <t>RI</t>
    <phoneticPr fontId="3" type="noConversion"/>
  </si>
  <si>
    <t>SC</t>
    <phoneticPr fontId="3" type="noConversion"/>
  </si>
  <si>
    <t>SD</t>
    <phoneticPr fontId="3" type="noConversion"/>
  </si>
  <si>
    <t>WV</t>
    <phoneticPr fontId="3" type="noConversion"/>
  </si>
  <si>
    <t>对比全美平均收入</t>
    <phoneticPr fontId="3" type="noConversion"/>
  </si>
  <si>
    <t>美国西部（密西西比河以西）</t>
  </si>
  <si>
    <t>州中文名</t>
  </si>
  <si>
    <t>州英文名</t>
  </si>
  <si>
    <t>州简称</t>
  </si>
  <si>
    <t>Washington </t>
  </si>
  <si>
    <t>North Dakota </t>
  </si>
  <si>
    <t>俄勒冈州 </t>
  </si>
  <si>
    <t>Oregon </t>
  </si>
  <si>
    <t>South Dakota </t>
  </si>
  <si>
    <t>California </t>
  </si>
  <si>
    <t>Nebraska </t>
  </si>
  <si>
    <t>Nevada </t>
  </si>
  <si>
    <t>Kansas </t>
  </si>
  <si>
    <t>Idaho </t>
  </si>
  <si>
    <t>Oklahoma </t>
  </si>
  <si>
    <t>德克萨斯州</t>
  </si>
  <si>
    <t>Texas </t>
  </si>
  <si>
    <t>Arizona </t>
  </si>
  <si>
    <t>Minnesota </t>
  </si>
  <si>
    <t>Montana </t>
  </si>
  <si>
    <t>Iowa </t>
  </si>
  <si>
    <t>MY</t>
  </si>
  <si>
    <t>Missouri </t>
  </si>
  <si>
    <t>Colorado </t>
  </si>
  <si>
    <t>Arkansas </t>
  </si>
  <si>
    <t>New Mexico </t>
  </si>
  <si>
    <t>Louisiana </t>
  </si>
  <si>
    <t>美国东部（密西西比河以东）</t>
  </si>
  <si>
    <t>威斯康星州</t>
  </si>
  <si>
    <t>Wisconsin </t>
  </si>
  <si>
    <t>Florida </t>
  </si>
  <si>
    <t>伊利诺州</t>
  </si>
  <si>
    <t>Illinois </t>
  </si>
  <si>
    <t>Pennsylvania </t>
  </si>
  <si>
    <t>Tennessee </t>
  </si>
  <si>
    <t>New York </t>
  </si>
  <si>
    <t>Mississippi </t>
  </si>
  <si>
    <t>华盛顿特区</t>
  </si>
  <si>
    <t>Washington D. C. </t>
  </si>
  <si>
    <t>Michigan </t>
  </si>
  <si>
    <t>Maryland </t>
  </si>
  <si>
    <t>印第安那州</t>
  </si>
  <si>
    <t>Indiana </t>
  </si>
  <si>
    <t>Kentucky </t>
  </si>
  <si>
    <t>New Jersey </t>
  </si>
  <si>
    <t>Alabama </t>
  </si>
  <si>
    <t>Connecticut </t>
  </si>
  <si>
    <t>罗德岛州</t>
  </si>
  <si>
    <t>Rhode Island </t>
  </si>
  <si>
    <t>马塞诸塞州</t>
  </si>
  <si>
    <t>Massachusetts </t>
  </si>
  <si>
    <t>Virginia </t>
  </si>
  <si>
    <t>Maine </t>
  </si>
  <si>
    <t>North Carolina </t>
  </si>
  <si>
    <t>New Hampshire </t>
  </si>
  <si>
    <t>South Carolina </t>
  </si>
  <si>
    <t>Vermont </t>
  </si>
  <si>
    <t>佐治亚州</t>
  </si>
  <si>
    <t>Georgia </t>
  </si>
  <si>
    <t>GR</t>
  </si>
  <si>
    <t>东部西部</t>
    <phoneticPr fontId="3" type="noConversion"/>
  </si>
  <si>
    <t>上柱形</t>
    <phoneticPr fontId="3" type="noConversion"/>
  </si>
  <si>
    <t>下柱形</t>
    <phoneticPr fontId="3" type="noConversion"/>
  </si>
  <si>
    <t>辅助</t>
    <phoneticPr fontId="3" type="noConversion"/>
  </si>
  <si>
    <t>加入堆积柱形图系列</t>
    <phoneticPr fontId="3" type="noConversion"/>
  </si>
  <si>
    <t>堆积柱形图辅助系列</t>
    <phoneticPr fontId="3" type="noConversion"/>
  </si>
  <si>
    <t>坐标轴刻度线方向标签</t>
    <phoneticPr fontId="3" type="noConversion"/>
  </si>
  <si>
    <t>散点辅助添加误差线</t>
    <phoneticPr fontId="3" type="noConversion"/>
  </si>
  <si>
    <t>x</t>
    <phoneticPr fontId="3" type="noConversion"/>
  </si>
  <si>
    <t>误差量</t>
    <phoneticPr fontId="3" type="noConversion"/>
  </si>
  <si>
    <r>
      <rPr>
        <sz val="9"/>
        <color theme="0" tint="-0.89999084444715716"/>
        <rFont val="宋体"/>
        <family val="3"/>
        <charset val="134"/>
      </rPr>
      <t>州</t>
    </r>
    <phoneticPr fontId="3" type="noConversion"/>
  </si>
  <si>
    <r>
      <rPr>
        <sz val="9"/>
        <color theme="0" tint="-0.89999084444715716"/>
        <rFont val="宋体"/>
        <family val="3"/>
        <charset val="134"/>
      </rPr>
      <t>对比全美平均收入</t>
    </r>
    <phoneticPr fontId="3" type="noConversion"/>
  </si>
  <si>
    <r>
      <rPr>
        <sz val="9"/>
        <color theme="0" tint="-0.89999084444715716"/>
        <rFont val="宋体"/>
        <family val="3"/>
        <charset val="134"/>
      </rPr>
      <t>区域价格指数</t>
    </r>
    <phoneticPr fontId="3" type="noConversion"/>
  </si>
  <si>
    <r>
      <rPr>
        <sz val="9"/>
        <color theme="0" tint="-0.89999084444715716"/>
        <rFont val="华文细黑"/>
        <family val="3"/>
        <charset val="134"/>
      </rPr>
      <t>坐标轴刻度线方向标签</t>
    </r>
    <phoneticPr fontId="3" type="noConversion"/>
  </si>
  <si>
    <r>
      <rPr>
        <sz val="9"/>
        <color theme="0" tint="-0.89999084444715716"/>
        <rFont val="宋体"/>
        <family val="3"/>
        <charset val="134"/>
      </rPr>
      <t>象限标签</t>
    </r>
    <phoneticPr fontId="3" type="noConversion"/>
  </si>
  <si>
    <r>
      <rPr>
        <sz val="9"/>
        <rFont val="宋体"/>
        <family val="3"/>
        <charset val="134"/>
      </rPr>
      <t>州</t>
    </r>
    <phoneticPr fontId="3" type="noConversion"/>
  </si>
  <si>
    <r>
      <rPr>
        <sz val="9"/>
        <rFont val="宋体"/>
        <family val="3"/>
        <charset val="134"/>
      </rPr>
      <t>简写</t>
    </r>
    <phoneticPr fontId="3" type="noConversion"/>
  </si>
  <si>
    <r>
      <rPr>
        <sz val="9"/>
        <rFont val="宋体"/>
        <family val="3"/>
        <charset val="134"/>
      </rPr>
      <t>对比全美平均收入</t>
    </r>
    <phoneticPr fontId="3" type="noConversion"/>
  </si>
  <si>
    <r>
      <rPr>
        <sz val="9"/>
        <rFont val="宋体"/>
        <family val="3"/>
        <charset val="134"/>
      </rPr>
      <t>区域价格指数</t>
    </r>
    <phoneticPr fontId="3" type="noConversion"/>
  </si>
  <si>
    <r>
      <rPr>
        <sz val="9"/>
        <rFont val="华文细黑"/>
        <family val="3"/>
        <charset val="134"/>
      </rPr>
      <t>坐标轴刻度线方向标签</t>
    </r>
    <phoneticPr fontId="3" type="noConversion"/>
  </si>
  <si>
    <r>
      <rPr>
        <sz val="9"/>
        <rFont val="宋体"/>
        <family val="3"/>
        <charset val="134"/>
      </rPr>
      <t>象限标签</t>
    </r>
    <phoneticPr fontId="3" type="noConversion"/>
  </si>
  <si>
    <r>
      <rPr>
        <sz val="9"/>
        <rFont val="宋体"/>
        <family val="3"/>
        <charset val="134"/>
      </rPr>
      <t>东部西部</t>
    </r>
    <phoneticPr fontId="3" type="noConversion"/>
  </si>
  <si>
    <t>贴入形状：底层是形状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</si>
</sst>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9"/>
      <color theme="1"/>
      <name val="Calibri"/>
      <family val="2"/>
    </font>
    <font>
      <sz val="9"/>
      <name val="宋体"/>
      <family val="3"/>
      <charset val="134"/>
      <scheme val="minor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11"/>
      <color theme="1"/>
      <name val="宋体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Calibri"/>
      <family val="2"/>
    </font>
    <font>
      <sz val="9"/>
      <color theme="0" tint="-0.89999084444715716"/>
      <name val="IBM Plex Mono"/>
      <family val="3"/>
    </font>
    <font>
      <sz val="9"/>
      <color theme="0" tint="-0.89999084444715716"/>
      <name val="宋体"/>
      <family val="3"/>
      <charset val="134"/>
    </font>
    <font>
      <sz val="9"/>
      <color theme="0" tint="-0.89999084444715716"/>
      <name val="华文细黑"/>
      <family val="3"/>
      <charset val="134"/>
    </font>
    <font>
      <sz val="9"/>
      <name val="IBM Plex Mono"/>
      <family val="3"/>
    </font>
    <font>
      <sz val="9"/>
      <name val="宋体"/>
      <family val="3"/>
      <charset val="134"/>
    </font>
    <font>
      <sz val="9"/>
      <name val="华文细黑"/>
      <family val="3"/>
      <charset val="134"/>
    </font>
    <font>
      <b/>
      <sz val="11"/>
      <name val="IBM Plex Mono"/>
      <family val="3"/>
    </font>
    <font>
      <b/>
      <sz val="12"/>
      <name val="思源宋体 CN"/>
      <family val="1"/>
      <charset val="134"/>
    </font>
    <font>
      <b/>
      <sz val="11"/>
      <name val="思源黑体 CN Normal"/>
      <family val="2"/>
      <charset val="134"/>
    </font>
    <font>
      <sz val="9"/>
      <name val="思源黑体 CN Norm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23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theme="1" tint="0.49998474074526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4" fillId="2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10" fillId="0" borderId="2" xfId="0" applyFont="1" applyBorder="1" applyAlignment="1">
      <alignment horizontal="left" vertical="center"/>
    </xf>
    <xf numFmtId="10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10" fontId="10" fillId="0" borderId="3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9" fontId="10" fillId="0" borderId="7" xfId="1" applyFont="1" applyBorder="1" applyAlignment="1">
      <alignment horizontal="right" vertical="center"/>
    </xf>
    <xf numFmtId="0" fontId="10" fillId="0" borderId="8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9" fontId="10" fillId="0" borderId="9" xfId="1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/>
    </xf>
    <xf numFmtId="10" fontId="10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0" fontId="13" fillId="0" borderId="2" xfId="0" applyFont="1" applyBorder="1" applyAlignment="1">
      <alignment horizontal="left" vertical="center"/>
    </xf>
    <xf numFmtId="10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10" fontId="13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9" fontId="13" fillId="0" borderId="7" xfId="1" applyFont="1" applyBorder="1" applyAlignment="1">
      <alignment horizontal="right" vertical="center"/>
    </xf>
    <xf numFmtId="0" fontId="13" fillId="0" borderId="8" xfId="0" applyNumberFormat="1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9" fontId="13" fillId="0" borderId="9" xfId="1" applyFont="1" applyBorder="1" applyAlignment="1">
      <alignment horizontal="right" vertical="center"/>
    </xf>
    <xf numFmtId="10" fontId="13" fillId="0" borderId="0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10" fontId="13" fillId="0" borderId="4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9" fontId="13" fillId="0" borderId="2" xfId="1" applyFont="1" applyBorder="1" applyAlignment="1">
      <alignment horizontal="right" vertical="center"/>
    </xf>
    <xf numFmtId="9" fontId="13" fillId="0" borderId="3" xfId="1" applyFont="1" applyBorder="1" applyAlignment="1">
      <alignment horizontal="right" vertical="center"/>
    </xf>
    <xf numFmtId="9" fontId="13" fillId="0" borderId="4" xfId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ABBFE4BE-1986-48A8-B6DD-9A42AD0218ED}">
      <tableStyleElement type="wholeTable" dxfId="1"/>
      <tableStyleElement type="headerRow" dxfId="0"/>
    </tableStyle>
  </tableStyles>
  <colors>
    <mruColors>
      <color rgb="FF068594"/>
      <color rgb="FFD23C26"/>
      <color rgb="FFFD965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zh-CN">
                <a:solidFill>
                  <a:schemeClr val="bg1">
                    <a:lumMod val="10000"/>
                  </a:schemeClr>
                </a:solidFill>
              </a:rPr>
              <a:t>美国各州物价与人均收入矩阵</a:t>
            </a:r>
            <a:endParaRPr lang="en-US">
              <a:solidFill>
                <a:schemeClr val="bg1">
                  <a:lumMod val="10000"/>
                </a:schemeClr>
              </a:solidFill>
            </a:endParaRPr>
          </a:p>
          <a:p>
            <a:pPr algn="l">
              <a:defRPr/>
            </a:pPr>
            <a:r>
              <a:rPr lang="en-US" sz="1200"/>
              <a:t>2015</a:t>
            </a:r>
            <a:r>
              <a:rPr lang="zh-CN" sz="1200"/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888358643240053E-2"/>
          <c:y val="0.14508064989188021"/>
          <c:w val="0.87371956918361682"/>
          <c:h val="0.720146075025263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区域价格指数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4.721902814523856E-2"/>
                  <c:y val="2.077528370967404E-2"/>
                </c:manualLayout>
              </c:layout>
              <c:tx>
                <c:strRef>
                  <c:f>Sheet1!$B$4</c:f>
                  <c:strCache>
                    <c:ptCount val="1"/>
                    <c:pt idx="0">
                      <c:v>Alabama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{A327B177-993B-4225-8412-E5F004D42346}</c15:txfldGUID>
                      <c15:f>Sheet1!$B$4</c15:f>
                      <c15:dlblFieldTableCache>
                        <c:ptCount val="1"/>
                        <c:pt idx="0">
                          <c:v>Alabama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9728-4E58-B0C8-76743C3BF33B}"/>
                </c:ext>
              </c:extLst>
            </c:dLbl>
            <c:dLbl>
              <c:idx val="1"/>
              <c:layout>
                <c:manualLayout>
                  <c:x val="-5.6558502725030406E-3"/>
                  <c:y val="-1.6911213794537751E-3"/>
                </c:manualLayout>
              </c:layout>
              <c:tx>
                <c:strRef>
                  <c:f>Sheet1!$B$5</c:f>
                  <c:strCache>
                    <c:ptCount val="1"/>
                    <c:pt idx="0">
                      <c:v>Alaska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{C9B3A7AF-D8D6-44C5-AF26-AFCE7B8926D0}</c15:txfldGUID>
                      <c15:f>Sheet1!$B$5</c15:f>
                      <c15:dlblFieldTableCache>
                        <c:ptCount val="1"/>
                        <c:pt idx="0">
                          <c:v>Alaska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728-4E58-B0C8-76743C3BF33B}"/>
                </c:ext>
              </c:extLst>
            </c:dLbl>
            <c:dLbl>
              <c:idx val="2"/>
              <c:layout>
                <c:manualLayout>
                  <c:x val="-9.8531935714462979E-3"/>
                  <c:y val="-1.8296747849451924E-2"/>
                </c:manualLayout>
              </c:layout>
              <c:tx>
                <c:strRef>
                  <c:f>Sheet1!$B$6</c:f>
                  <c:strCache>
                    <c:ptCount val="1"/>
                    <c:pt idx="0">
                      <c:v>Arizona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{C842AEC2-052C-44E0-8C3D-B07ACF0F60EE}</c15:txfldGUID>
                      <c15:f>Sheet1!$B$6</c15:f>
                      <c15:dlblFieldTableCache>
                        <c:ptCount val="1"/>
                        <c:pt idx="0">
                          <c:v>Arizona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728-4E58-B0C8-76743C3BF33B}"/>
                </c:ext>
              </c:extLst>
            </c:dLbl>
            <c:dLbl>
              <c:idx val="3"/>
              <c:layout>
                <c:manualLayout>
                  <c:x val="-7.5937254108112869E-3"/>
                  <c:y val="1.2392679301111468E-3"/>
                </c:manualLayout>
              </c:layout>
              <c:tx>
                <c:strRef>
                  <c:f>Sheet1!$B$7</c:f>
                  <c:strCache>
                    <c:ptCount val="1"/>
                    <c:pt idx="0">
                      <c:v>Arkansas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{21B73BF7-2616-4223-960B-96625558871D}</c15:txfldGUID>
                      <c15:f>Sheet1!$B$7</c15:f>
                      <c15:dlblFieldTableCache>
                        <c:ptCount val="1"/>
                        <c:pt idx="0">
                          <c:v>Arkansas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728-4E58-B0C8-76743C3BF33B}"/>
                </c:ext>
              </c:extLst>
            </c:dLbl>
            <c:dLbl>
              <c:idx val="4"/>
              <c:layout>
                <c:manualLayout>
                  <c:x val="-7.4140555391458668E-2"/>
                  <c:y val="-2.3180751794342671E-2"/>
                </c:manualLayout>
              </c:layout>
              <c:tx>
                <c:strRef>
                  <c:f>Sheet1!$B$8</c:f>
                  <c:strCache>
                    <c:ptCount val="1"/>
                    <c:pt idx="0">
                      <c:v>California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{C9EF2D39-E5E1-4251-A9D4-5819416B9280}</c15:txfldGUID>
                      <c15:f>Sheet1!$B$8</c15:f>
                      <c15:dlblFieldTableCache>
                        <c:ptCount val="1"/>
                        <c:pt idx="0">
                          <c:v>California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728-4E58-B0C8-76743C3BF33B}"/>
                </c:ext>
              </c:extLst>
            </c:dLbl>
            <c:dLbl>
              <c:idx val="5"/>
              <c:layout>
                <c:manualLayout>
                  <c:x val="1.5560245025137887E-2"/>
                  <c:y val="5.9604196274066984E-3"/>
                </c:manualLayout>
              </c:layout>
              <c:tx>
                <c:strRef>
                  <c:f>Sheet1!$B$9</c:f>
                  <c:strCache>
                    <c:ptCount val="1"/>
                    <c:pt idx="0">
                      <c:v>Colorado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{413322D4-709B-4DB9-8CC0-C969650B3112}</c15:txfldGUID>
                      <c15:f>Sheet1!$B$9</c15:f>
                      <c15:dlblFieldTableCache>
                        <c:ptCount val="1"/>
                        <c:pt idx="0">
                          <c:v>Colorado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728-4E58-B0C8-76743C3BF33B}"/>
                </c:ext>
              </c:extLst>
            </c:dLbl>
            <c:dLbl>
              <c:idx val="6"/>
              <c:layout>
                <c:manualLayout>
                  <c:x val="-4.6545824420121923E-2"/>
                  <c:y val="-1.7157182966401546E-2"/>
                </c:manualLayout>
              </c:layout>
              <c:tx>
                <c:strRef>
                  <c:f>Sheet1!$B$10</c:f>
                  <c:strCache>
                    <c:ptCount val="1"/>
                    <c:pt idx="0">
                      <c:v>Connecticut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{65D3C5CB-57C9-41B4-BBBF-53F8CE2EAFD1}</c15:txfldGUID>
                      <c15:f>Sheet1!$B$10</c15:f>
                      <c15:dlblFieldTableCache>
                        <c:ptCount val="1"/>
                        <c:pt idx="0">
                          <c:v>Connecticut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728-4E58-B0C8-76743C3BF33B}"/>
                </c:ext>
              </c:extLst>
            </c:dLbl>
            <c:dLbl>
              <c:idx val="7"/>
              <c:layout>
                <c:manualLayout>
                  <c:x val="-4.1525601135379675E-2"/>
                  <c:y val="-1.9273584377424696E-2"/>
                </c:manualLayout>
              </c:layout>
              <c:tx>
                <c:strRef>
                  <c:f>Sheet1!$B$11</c:f>
                  <c:strCache>
                    <c:ptCount val="1"/>
                    <c:pt idx="0">
                      <c:v>Delaware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{ACE118F2-8938-47E7-A13D-C9EA7358B1A9}</c15:txfldGUID>
                      <c15:f>Sheet1!$B$11</c15:f>
                      <c15:dlblFieldTableCache>
                        <c:ptCount val="1"/>
                        <c:pt idx="0">
                          <c:v>Delaware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728-4E58-B0C8-76743C3BF33B}"/>
                </c:ext>
              </c:extLst>
            </c:dLbl>
            <c:dLbl>
              <c:idx val="8"/>
              <c:tx>
                <c:strRef>
                  <c:f>Sheet1!$B$12</c:f>
                  <c:strCache>
                    <c:ptCount val="1"/>
                    <c:pt idx="0">
                      <c:v>District of Columbia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{80D80F50-0DD7-4356-9CA6-305016A81D26}</c15:txfldGUID>
                      <c15:f>Sheet1!$B$12</c15:f>
                      <c15:dlblFieldTableCache>
                        <c:ptCount val="1"/>
                        <c:pt idx="0">
                          <c:v>District of Columbia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728-4E58-B0C8-76743C3BF33B}"/>
                </c:ext>
              </c:extLst>
            </c:dLbl>
            <c:dLbl>
              <c:idx val="9"/>
              <c:layout>
                <c:manualLayout>
                  <c:x val="-3.3969463277484464E-2"/>
                  <c:y val="1.7023761846954515E-2"/>
                </c:manualLayout>
              </c:layout>
              <c:tx>
                <c:strRef>
                  <c:f>Sheet1!$B$13</c:f>
                  <c:strCache>
                    <c:ptCount val="1"/>
                    <c:pt idx="0">
                      <c:v>Florida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{4F66E13E-2A32-4054-AE8B-727B8D93201B}</c15:txfldGUID>
                      <c15:f>Sheet1!$B$13</c15:f>
                      <c15:dlblFieldTableCache>
                        <c:ptCount val="1"/>
                        <c:pt idx="0">
                          <c:v>Florida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728-4E58-B0C8-76743C3BF33B}"/>
                </c:ext>
              </c:extLst>
            </c:dLbl>
            <c:dLbl>
              <c:idx val="10"/>
              <c:layout>
                <c:manualLayout>
                  <c:x val="-3.8369655449090816E-2"/>
                  <c:y val="-2.3792557395940259E-2"/>
                </c:manualLayout>
              </c:layout>
              <c:tx>
                <c:strRef>
                  <c:f>Sheet1!$B$14</c:f>
                  <c:strCache>
                    <c:ptCount val="1"/>
                    <c:pt idx="0">
                      <c:v>Georgia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{156394CB-E8D0-4658-B010-416528A0887F}</c15:txfldGUID>
                      <c15:f>Sheet1!$B$14</c15:f>
                      <c15:dlblFieldTableCache>
                        <c:ptCount val="1"/>
                        <c:pt idx="0">
                          <c:v>Georgia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728-4E58-B0C8-76743C3BF33B}"/>
                </c:ext>
              </c:extLst>
            </c:dLbl>
            <c:dLbl>
              <c:idx val="11"/>
              <c:layout>
                <c:manualLayout>
                  <c:x val="-4.842328877435572E-3"/>
                  <c:y val="-6.5751759112857855E-3"/>
                </c:manualLayout>
              </c:layout>
              <c:tx>
                <c:strRef>
                  <c:f>Sheet1!$B$15</c:f>
                  <c:strCache>
                    <c:ptCount val="1"/>
                    <c:pt idx="0">
                      <c:v>Hawaii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{E289A4AE-31F8-4814-B377-1E7741512499}</c15:txfldGUID>
                      <c15:f>Sheet1!$B$15</c15:f>
                      <c15:dlblFieldTableCache>
                        <c:ptCount val="1"/>
                        <c:pt idx="0">
                          <c:v>Hawaii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728-4E58-B0C8-76743C3BF33B}"/>
                </c:ext>
              </c:extLst>
            </c:dLbl>
            <c:dLbl>
              <c:idx val="12"/>
              <c:layout>
                <c:manualLayout>
                  <c:x val="-3.0733900757121953E-2"/>
                  <c:y val="-2.5622753766788041E-2"/>
                </c:manualLayout>
              </c:layout>
              <c:tx>
                <c:strRef>
                  <c:f>Sheet1!$B$16</c:f>
                  <c:strCache>
                    <c:ptCount val="1"/>
                    <c:pt idx="0">
                      <c:v>Idaho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{FDC5EB63-108D-4014-97C8-226A17A63FBD}</c15:txfldGUID>
                      <c15:f>Sheet1!$B$16</c15:f>
                      <c15:dlblFieldTableCache>
                        <c:ptCount val="1"/>
                        <c:pt idx="0">
                          <c:v>Idaho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728-4E58-B0C8-76743C3BF33B}"/>
                </c:ext>
              </c:extLst>
            </c:dLbl>
            <c:dLbl>
              <c:idx val="13"/>
              <c:layout>
                <c:manualLayout>
                  <c:x val="-1.9533389182625281E-2"/>
                  <c:y val="-1.8296706812746137E-2"/>
                </c:manualLayout>
              </c:layout>
              <c:tx>
                <c:strRef>
                  <c:f>Sheet1!$B$17</c:f>
                  <c:strCache>
                    <c:ptCount val="1"/>
                    <c:pt idx="0">
                      <c:v>Illinois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{F80B6D10-9A35-4BA0-8022-DB7649D3A0B1}</c15:txfldGUID>
                      <c15:f>Sheet1!$B$17</c15:f>
                      <c15:dlblFieldTableCache>
                        <c:ptCount val="1"/>
                        <c:pt idx="0">
                          <c:v>Illinois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728-4E58-B0C8-76743C3BF33B}"/>
                </c:ext>
              </c:extLst>
            </c:dLbl>
            <c:dLbl>
              <c:idx val="14"/>
              <c:layout>
                <c:manualLayout>
                  <c:x val="-6.3022168584811314E-2"/>
                  <c:y val="-6.7937924199131504E-4"/>
                </c:manualLayout>
              </c:layout>
              <c:tx>
                <c:strRef>
                  <c:f>Sheet1!$B$18</c:f>
                  <c:strCache>
                    <c:ptCount val="1"/>
                    <c:pt idx="0">
                      <c:v>Indiana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{31C3EBC9-D72A-4505-943C-CFF9609C8FC7}</c15:txfldGUID>
                      <c15:f>Sheet1!$B$18</c15:f>
                      <c15:dlblFieldTableCache>
                        <c:ptCount val="1"/>
                        <c:pt idx="0">
                          <c:v>Indiana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728-4E58-B0C8-76743C3BF33B}"/>
                </c:ext>
              </c:extLst>
            </c:dLbl>
            <c:dLbl>
              <c:idx val="15"/>
              <c:layout>
                <c:manualLayout>
                  <c:x val="-2.8397061049070593E-2"/>
                  <c:y val="-2.5622753766788041E-2"/>
                </c:manualLayout>
              </c:layout>
              <c:tx>
                <c:strRef>
                  <c:f>Sheet1!$B$19</c:f>
                  <c:strCache>
                    <c:ptCount val="1"/>
                    <c:pt idx="0">
                      <c:v>Iowa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{C68E580C-E1C8-4AE4-A649-6066F215CFCC}</c15:txfldGUID>
                      <c15:f>Sheet1!$B$19</c15:f>
                      <c15:dlblFieldTableCache>
                        <c:ptCount val="1"/>
                        <c:pt idx="0">
                          <c:v>Iowa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728-4E58-B0C8-76743C3BF33B}"/>
                </c:ext>
              </c:extLst>
            </c:dLbl>
            <c:dLbl>
              <c:idx val="16"/>
              <c:layout>
                <c:manualLayout>
                  <c:x val="-3.4040196222030063E-2"/>
                  <c:y val="-2.8064755739233324E-2"/>
                </c:manualLayout>
              </c:layout>
              <c:tx>
                <c:strRef>
                  <c:f>Sheet1!$B$20</c:f>
                  <c:strCache>
                    <c:ptCount val="1"/>
                    <c:pt idx="0">
                      <c:v>Kansas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{086BEBD9-D633-4181-97F2-2A53887FAC6C}</c15:txfldGUID>
                      <c15:f>Sheet1!$B$20</c15:f>
                      <c15:dlblFieldTableCache>
                        <c:ptCount val="1"/>
                        <c:pt idx="0">
                          <c:v>Kansas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728-4E58-B0C8-76743C3BF33B}"/>
                </c:ext>
              </c:extLst>
            </c:dLbl>
            <c:dLbl>
              <c:idx val="17"/>
              <c:layout>
                <c:manualLayout>
                  <c:x val="-4.418057689774213E-2"/>
                  <c:y val="-1.8296995322549803E-2"/>
                </c:manualLayout>
              </c:layout>
              <c:tx>
                <c:strRef>
                  <c:f>Sheet1!$B$21</c:f>
                  <c:strCache>
                    <c:ptCount val="1"/>
                    <c:pt idx="0">
                      <c:v>Kentucky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{40E3F4DA-BA3D-4912-90A4-C1F788113CD1}</c15:txfldGUID>
                      <c15:f>Sheet1!$B$21</c15:f>
                      <c15:dlblFieldTableCache>
                        <c:ptCount val="1"/>
                        <c:pt idx="0">
                          <c:v>Kentucky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728-4E58-B0C8-76743C3BF33B}"/>
                </c:ext>
              </c:extLst>
            </c:dLbl>
            <c:dLbl>
              <c:idx val="18"/>
              <c:layout>
                <c:manualLayout>
                  <c:x val="-3.8379799107383428E-2"/>
                  <c:y val="-2.1087538863438619E-2"/>
                </c:manualLayout>
              </c:layout>
              <c:tx>
                <c:strRef>
                  <c:f>Sheet1!$B$22</c:f>
                  <c:strCache>
                    <c:ptCount val="1"/>
                    <c:pt idx="0">
                      <c:v>Louisiana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{CE472210-31DF-4579-8EC5-37285F62D783}</c15:txfldGUID>
                      <c15:f>Sheet1!$B$22</c15:f>
                      <c15:dlblFieldTableCache>
                        <c:ptCount val="1"/>
                        <c:pt idx="0">
                          <c:v>Louisiana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9728-4E58-B0C8-76743C3BF33B}"/>
                </c:ext>
              </c:extLst>
            </c:dLbl>
            <c:dLbl>
              <c:idx val="19"/>
              <c:layout>
                <c:manualLayout>
                  <c:x val="-3.7818728008073337E-2"/>
                  <c:y val="-2.8064701186512189E-2"/>
                </c:manualLayout>
              </c:layout>
              <c:tx>
                <c:strRef>
                  <c:f>Sheet1!$B$23</c:f>
                  <c:strCache>
                    <c:ptCount val="1"/>
                    <c:pt idx="0">
                      <c:v>Maine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{AE3A9880-258E-4D8C-A9CE-5BB8C08A7562}</c15:txfldGUID>
                      <c15:f>Sheet1!$B$23</c15:f>
                      <c15:dlblFieldTableCache>
                        <c:ptCount val="1"/>
                        <c:pt idx="0">
                          <c:v>Maine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9728-4E58-B0C8-76743C3BF33B}"/>
                </c:ext>
              </c:extLst>
            </c:dLbl>
            <c:dLbl>
              <c:idx val="20"/>
              <c:layout>
                <c:manualLayout>
                  <c:x val="-3.8667371819978973E-2"/>
                  <c:y val="-2.383217970014425E-2"/>
                </c:manualLayout>
              </c:layout>
              <c:tx>
                <c:strRef>
                  <c:f>Sheet1!$B$24</c:f>
                  <c:strCache>
                    <c:ptCount val="1"/>
                    <c:pt idx="0">
                      <c:v>Maryland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{8AF59B5A-C544-4F34-8146-AFC50E38C4BA}</c15:txfldGUID>
                      <c15:f>Sheet1!$B$24</c15:f>
                      <c15:dlblFieldTableCache>
                        <c:ptCount val="1"/>
                        <c:pt idx="0">
                          <c:v>Maryland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9728-4E58-B0C8-76743C3BF33B}"/>
                </c:ext>
              </c:extLst>
            </c:dLbl>
            <c:dLbl>
              <c:idx val="21"/>
              <c:layout>
                <c:manualLayout>
                  <c:x val="-5.6523808295689724E-2"/>
                  <c:y val="-2.5622753766787999E-2"/>
                </c:manualLayout>
              </c:layout>
              <c:tx>
                <c:strRef>
                  <c:f>Sheet1!$B$25</c:f>
                  <c:strCache>
                    <c:ptCount val="1"/>
                    <c:pt idx="0">
                      <c:v>Massachusetts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{02B8231E-CFBA-4508-B470-4A3C73EDAF01}</c15:txfldGUID>
                      <c15:f>Sheet1!$B$25</c15:f>
                      <c15:dlblFieldTableCache>
                        <c:ptCount val="1"/>
                        <c:pt idx="0">
                          <c:v>Massachusetts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9728-4E58-B0C8-76743C3BF33B}"/>
                </c:ext>
              </c:extLst>
            </c:dLbl>
            <c:dLbl>
              <c:idx val="22"/>
              <c:layout>
                <c:manualLayout>
                  <c:x val="-4.0660451314562057E-2"/>
                  <c:y val="-2.5622753766788041E-2"/>
                </c:manualLayout>
              </c:layout>
              <c:tx>
                <c:strRef>
                  <c:f>Sheet1!$B$26</c:f>
                  <c:strCache>
                    <c:ptCount val="1"/>
                    <c:pt idx="0">
                      <c:v>Michigan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{E26F6EBA-3FD8-460A-BAE1-6F1B84E8DD5D}</c15:txfldGUID>
                      <c15:f>Sheet1!$B$26</c15:f>
                      <c15:dlblFieldTableCache>
                        <c:ptCount val="1"/>
                        <c:pt idx="0">
                          <c:v>Michigan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9728-4E58-B0C8-76743C3BF33B}"/>
                </c:ext>
              </c:extLst>
            </c:dLbl>
            <c:dLbl>
              <c:idx val="23"/>
              <c:layout>
                <c:manualLayout>
                  <c:x val="-6.4040770425966868E-3"/>
                  <c:y val="-3.6447360147796883E-3"/>
                </c:manualLayout>
              </c:layout>
              <c:tx>
                <c:strRef>
                  <c:f>Sheet1!$B$27</c:f>
                  <c:strCache>
                    <c:ptCount val="1"/>
                    <c:pt idx="0">
                      <c:v>Minnesota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{A143945A-D041-4C9E-926E-FE33E6322FD0}</c15:txfldGUID>
                      <c15:f>Sheet1!$B$27</c15:f>
                      <c15:dlblFieldTableCache>
                        <c:ptCount val="1"/>
                        <c:pt idx="0">
                          <c:v>Minnesota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9728-4E58-B0C8-76743C3BF33B}"/>
                </c:ext>
              </c:extLst>
            </c:dLbl>
            <c:dLbl>
              <c:idx val="24"/>
              <c:layout>
                <c:manualLayout>
                  <c:x val="-4.5187295105300729E-2"/>
                  <c:y val="-2.5622753766788041E-2"/>
                </c:manualLayout>
              </c:layout>
              <c:tx>
                <c:strRef>
                  <c:f>Sheet1!$B$28</c:f>
                  <c:strCache>
                    <c:ptCount val="1"/>
                    <c:pt idx="0">
                      <c:v>Mississippi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{1BC640BD-D280-49C0-AA7E-C54A901CDE5B}</c15:txfldGUID>
                      <c15:f>Sheet1!$B$28</c15:f>
                      <c15:dlblFieldTableCache>
                        <c:ptCount val="1"/>
                        <c:pt idx="0">
                          <c:v>Mississippi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9728-4E58-B0C8-76743C3BF33B}"/>
                </c:ext>
              </c:extLst>
            </c:dLbl>
            <c:dLbl>
              <c:idx val="25"/>
              <c:layout>
                <c:manualLayout>
                  <c:x val="-3.8995746511346123E-2"/>
                  <c:y val="2.321728568211941E-2"/>
                </c:manualLayout>
              </c:layout>
              <c:tx>
                <c:strRef>
                  <c:f>Sheet1!$B$29</c:f>
                  <c:strCache>
                    <c:ptCount val="1"/>
                    <c:pt idx="0">
                      <c:v>Missouri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{A5D00C11-C17F-45D1-A602-BBE3D5A1D687}</c15:txfldGUID>
                      <c15:f>Sheet1!$B$29</c15:f>
                      <c15:dlblFieldTableCache>
                        <c:ptCount val="1"/>
                        <c:pt idx="0">
                          <c:v>Missouri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9728-4E58-B0C8-76743C3BF33B}"/>
                </c:ext>
              </c:extLst>
            </c:dLbl>
            <c:dLbl>
              <c:idx val="26"/>
              <c:layout>
                <c:manualLayout>
                  <c:x val="-4.0583255279996004E-2"/>
                  <c:y val="-2.1087538863438702E-2"/>
                </c:manualLayout>
              </c:layout>
              <c:tx>
                <c:strRef>
                  <c:f>Sheet1!$B$30</c:f>
                  <c:strCache>
                    <c:ptCount val="1"/>
                    <c:pt idx="0">
                      <c:v>Montana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{08200F08-0100-4777-AFEF-A082E8084049}</c15:txfldGUID>
                      <c15:f>Sheet1!$B$30</c15:f>
                      <c15:dlblFieldTableCache>
                        <c:ptCount val="1"/>
                        <c:pt idx="0">
                          <c:v>Montana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9728-4E58-B0C8-76743C3BF33B}"/>
                </c:ext>
              </c:extLst>
            </c:dLbl>
            <c:dLbl>
              <c:idx val="27"/>
              <c:layout>
                <c:manualLayout>
                  <c:x val="-4.12437792545957E-2"/>
                  <c:y val="-2.5622753766788041E-2"/>
                </c:manualLayout>
              </c:layout>
              <c:tx>
                <c:strRef>
                  <c:f>Sheet1!$B$31</c:f>
                  <c:strCache>
                    <c:ptCount val="1"/>
                    <c:pt idx="0">
                      <c:v>Nebraska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{C1A44D71-1ED5-48BE-B9BE-81F300D79B9B}</c15:txfldGUID>
                      <c15:f>Sheet1!$B$31</c15:f>
                      <c15:dlblFieldTableCache>
                        <c:ptCount val="1"/>
                        <c:pt idx="0">
                          <c:v>Nebraska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9728-4E58-B0C8-76743C3BF33B}"/>
                </c:ext>
              </c:extLst>
            </c:dLbl>
            <c:dLbl>
              <c:idx val="28"/>
              <c:layout>
                <c:manualLayout>
                  <c:x val="-9.2046091261732878E-3"/>
                  <c:y val="1.1704963360836438E-2"/>
                </c:manualLayout>
              </c:layout>
              <c:tx>
                <c:strRef>
                  <c:f>Sheet1!$B$32</c:f>
                  <c:strCache>
                    <c:ptCount val="1"/>
                    <c:pt idx="0">
                      <c:v>Nevada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{8A46486C-5588-4198-9FE4-D9B1DB005271}</c15:txfldGUID>
                      <c15:f>Sheet1!$B$32</c15:f>
                      <c15:dlblFieldTableCache>
                        <c:ptCount val="1"/>
                        <c:pt idx="0">
                          <c:v>Nevada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9728-4E58-B0C8-76743C3BF33B}"/>
                </c:ext>
              </c:extLst>
            </c:dLbl>
            <c:dLbl>
              <c:idx val="29"/>
              <c:layout>
                <c:manualLayout>
                  <c:x val="-6.2876607088312331E-2"/>
                  <c:y val="-2.9087354384917091E-2"/>
                </c:manualLayout>
              </c:layout>
              <c:tx>
                <c:strRef>
                  <c:f>Sheet1!$B$33</c:f>
                  <c:strCache>
                    <c:ptCount val="1"/>
                    <c:pt idx="0">
                      <c:v>New Hampshire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{9C881D47-CA6F-4E02-AEBC-6100D964EE2C}</c15:txfldGUID>
                      <c15:f>Sheet1!$B$33</c15:f>
                      <c15:dlblFieldTableCache>
                        <c:ptCount val="1"/>
                        <c:pt idx="0">
                          <c:v>New Hampshire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9728-4E58-B0C8-76743C3BF33B}"/>
                </c:ext>
              </c:extLst>
            </c:dLbl>
            <c:dLbl>
              <c:idx val="30"/>
              <c:layout>
                <c:manualLayout>
                  <c:x val="-4.6600980562088001E-2"/>
                  <c:y val="-2.1389985788447849E-2"/>
                </c:manualLayout>
              </c:layout>
              <c:tx>
                <c:strRef>
                  <c:f>Sheet1!$B$34</c:f>
                  <c:strCache>
                    <c:ptCount val="1"/>
                    <c:pt idx="0">
                      <c:v>New Jersey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{0736BD54-0282-4CB5-915A-6E1AC66E01DD}</c15:txfldGUID>
                      <c15:f>Sheet1!$B$34</c15:f>
                      <c15:dlblFieldTableCache>
                        <c:ptCount val="1"/>
                        <c:pt idx="0">
                          <c:v>New Jersey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9728-4E58-B0C8-76743C3BF33B}"/>
                </c:ext>
              </c:extLst>
            </c:dLbl>
            <c:dLbl>
              <c:idx val="31"/>
              <c:layout>
                <c:manualLayout>
                  <c:x val="-4.9787617535409646E-2"/>
                  <c:y val="-2.5622753766788041E-2"/>
                </c:manualLayout>
              </c:layout>
              <c:tx>
                <c:strRef>
                  <c:f>Sheet1!$B$35</c:f>
                  <c:strCache>
                    <c:ptCount val="1"/>
                    <c:pt idx="0">
                      <c:v>New Mexico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{0945F268-ABBA-43E9-B67E-39E9CB03E5C1}</c15:txfldGUID>
                      <c15:f>Sheet1!$B$35</c15:f>
                      <c15:dlblFieldTableCache>
                        <c:ptCount val="1"/>
                        <c:pt idx="0">
                          <c:v>New Mexico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9728-4E58-B0C8-76743C3BF33B}"/>
                </c:ext>
              </c:extLst>
            </c:dLbl>
            <c:dLbl>
              <c:idx val="32"/>
              <c:layout>
                <c:manualLayout>
                  <c:x val="-4.1807642654398756E-2"/>
                  <c:y val="-2.0738749821897298E-2"/>
                </c:manualLayout>
              </c:layout>
              <c:tx>
                <c:strRef>
                  <c:f>Sheet1!$B$36</c:f>
                  <c:strCache>
                    <c:ptCount val="1"/>
                    <c:pt idx="0">
                      <c:v>New York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{B41840BA-589C-4860-84C7-A7956EA8740D}</c15:txfldGUID>
                      <c15:f>Sheet1!$B$36</c15:f>
                      <c15:dlblFieldTableCache>
                        <c:ptCount val="1"/>
                        <c:pt idx="0">
                          <c:v>New York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9728-4E58-B0C8-76743C3BF33B}"/>
                </c:ext>
              </c:extLst>
            </c:dLbl>
            <c:dLbl>
              <c:idx val="33"/>
              <c:layout>
                <c:manualLayout>
                  <c:x val="-4.4842197009877766E-2"/>
                  <c:y val="-2.3529554603968324E-2"/>
                </c:manualLayout>
              </c:layout>
              <c:tx>
                <c:strRef>
                  <c:f>Sheet1!$B$37</c:f>
                  <c:strCache>
                    <c:ptCount val="1"/>
                    <c:pt idx="0">
                      <c:v>North Carolina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{D395EFAD-046B-43D5-8128-E1C1E369526E}</c15:txfldGUID>
                      <c15:f>Sheet1!$B$37</c15:f>
                      <c15:dlblFieldTableCache>
                        <c:ptCount val="1"/>
                        <c:pt idx="0">
                          <c:v>North Carolina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9728-4E58-B0C8-76743C3BF33B}"/>
                </c:ext>
              </c:extLst>
            </c:dLbl>
            <c:dLbl>
              <c:idx val="34"/>
              <c:layout>
                <c:manualLayout>
                  <c:x val="-5.2900727438529763E-2"/>
                  <c:y val="-2.3180751794342671E-2"/>
                </c:manualLayout>
              </c:layout>
              <c:tx>
                <c:strRef>
                  <c:f>Sheet1!$B$38</c:f>
                  <c:strCache>
                    <c:ptCount val="1"/>
                    <c:pt idx="0">
                      <c:v>North Dakota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{9952BCD0-3351-4DF9-9FCF-E39210465F48}</c15:txfldGUID>
                      <c15:f>Sheet1!$B$38</c15:f>
                      <c15:dlblFieldTableCache>
                        <c:ptCount val="1"/>
                        <c:pt idx="0">
                          <c:v>North Dakota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9728-4E58-B0C8-76743C3BF33B}"/>
                </c:ext>
              </c:extLst>
            </c:dLbl>
            <c:dLbl>
              <c:idx val="35"/>
              <c:layout>
                <c:manualLayout>
                  <c:x val="-1.8926224039777676E-2"/>
                  <c:y val="2.077528370967404E-2"/>
                </c:manualLayout>
              </c:layout>
              <c:tx>
                <c:strRef>
                  <c:f>Sheet1!$B$39</c:f>
                  <c:strCache>
                    <c:ptCount val="1"/>
                    <c:pt idx="0">
                      <c:v>Ohio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{D2A2E590-785E-4952-8E0D-292299F098F3}</c15:txfldGUID>
                      <c15:f>Sheet1!$B$39</c15:f>
                      <c15:dlblFieldTableCache>
                        <c:ptCount val="1"/>
                        <c:pt idx="0">
                          <c:v>Ohio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9728-4E58-B0C8-76743C3BF33B}"/>
                </c:ext>
              </c:extLst>
            </c:dLbl>
            <c:dLbl>
              <c:idx val="36"/>
              <c:layout>
                <c:manualLayout>
                  <c:x val="-2.9663959311325046E-2"/>
                  <c:y val="-3.2948759684124071E-2"/>
                </c:manualLayout>
              </c:layout>
              <c:tx>
                <c:strRef>
                  <c:f>Sheet1!$B$40</c:f>
                  <c:strCache>
                    <c:ptCount val="1"/>
                    <c:pt idx="0">
                      <c:v>Oklahoma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{DB90B6E3-124D-4BDF-B8AC-C4E8A52312D7}</c15:txfldGUID>
                      <c15:f>Sheet1!$B$40</c15:f>
                      <c15:dlblFieldTableCache>
                        <c:ptCount val="1"/>
                        <c:pt idx="0">
                          <c:v>Oklahoma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9728-4E58-B0C8-76743C3BF33B}"/>
                </c:ext>
              </c:extLst>
            </c:dLbl>
            <c:dLbl>
              <c:idx val="37"/>
              <c:tx>
                <c:strRef>
                  <c:f>Sheet1!$B$41</c:f>
                  <c:strCache>
                    <c:ptCount val="1"/>
                    <c:pt idx="0">
                      <c:v>Oregon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{3395E4E1-02FA-47BF-A2E9-ECA07D79CD90}</c15:txfldGUID>
                      <c15:f>Sheet1!$B$41</c15:f>
                      <c15:dlblFieldTableCache>
                        <c:ptCount val="1"/>
                        <c:pt idx="0">
                          <c:v>Oregon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9728-4E58-B0C8-76743C3BF33B}"/>
                </c:ext>
              </c:extLst>
            </c:dLbl>
            <c:dLbl>
              <c:idx val="38"/>
              <c:layout>
                <c:manualLayout>
                  <c:x val="-0.10214207436036944"/>
                  <c:y val="-3.0506676496545766E-2"/>
                </c:manualLayout>
              </c:layout>
              <c:tx>
                <c:strRef>
                  <c:f>Sheet1!$B$42</c:f>
                  <c:strCache>
                    <c:ptCount val="1"/>
                    <c:pt idx="0">
                      <c:v>Pennsylvania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{373A6D2E-3200-4F5A-996B-D23E516F1792}</c15:txfldGUID>
                      <c15:f>Sheet1!$B$42</c15:f>
                      <c15:dlblFieldTableCache>
                        <c:ptCount val="1"/>
                        <c:pt idx="0">
                          <c:v>Pennsylvania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9728-4E58-B0C8-76743C3BF33B}"/>
                </c:ext>
              </c:extLst>
            </c:dLbl>
            <c:dLbl>
              <c:idx val="39"/>
              <c:layout>
                <c:manualLayout>
                  <c:x val="-3.7257684722136392E-2"/>
                  <c:y val="3.7869297516791647E-2"/>
                </c:manualLayout>
              </c:layout>
              <c:tx>
                <c:strRef>
                  <c:f>Sheet1!$B$43</c:f>
                  <c:strCache>
                    <c:ptCount val="1"/>
                    <c:pt idx="0">
                      <c:v>Rhode Island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{8884C67F-B45E-4E3B-89CD-5494F26CA77E}</c15:txfldGUID>
                      <c15:f>Sheet1!$B$43</c15:f>
                      <c15:dlblFieldTableCache>
                        <c:ptCount val="1"/>
                        <c:pt idx="0">
                          <c:v>Rhode Island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9728-4E58-B0C8-76743C3BF33B}"/>
                </c:ext>
              </c:extLst>
            </c:dLbl>
            <c:dLbl>
              <c:idx val="40"/>
              <c:layout>
                <c:manualLayout>
                  <c:x val="-5.8417962085794806E-2"/>
                  <c:y val="-2.3792557395940259E-2"/>
                </c:manualLayout>
              </c:layout>
              <c:tx>
                <c:strRef>
                  <c:f>Sheet1!$B$44</c:f>
                  <c:strCache>
                    <c:ptCount val="1"/>
                    <c:pt idx="0">
                      <c:v>South Carolina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{69FB9389-F78F-45B0-9C1C-D7A665754133}</c15:txfldGUID>
                      <c15:f>Sheet1!$B$44</c15:f>
                      <c15:dlblFieldTableCache>
                        <c:ptCount val="1"/>
                        <c:pt idx="0">
                          <c:v>South Carolina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9728-4E58-B0C8-76743C3BF33B}"/>
                </c:ext>
              </c:extLst>
            </c:dLbl>
            <c:dLbl>
              <c:idx val="41"/>
              <c:layout>
                <c:manualLayout>
                  <c:x val="-5.2835034615251734E-2"/>
                  <c:y val="-2.5622753766788131E-2"/>
                </c:manualLayout>
              </c:layout>
              <c:tx>
                <c:strRef>
                  <c:f>Sheet1!$B$45</c:f>
                  <c:strCache>
                    <c:ptCount val="1"/>
                    <c:pt idx="0">
                      <c:v>South Dakota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{7B5F8950-790F-4AE4-AB02-DD2B37498923}</c15:txfldGUID>
                      <c15:f>Sheet1!$B$45</c15:f>
                      <c15:dlblFieldTableCache>
                        <c:ptCount val="1"/>
                        <c:pt idx="0">
                          <c:v>South Dakota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9728-4E58-B0C8-76743C3BF33B}"/>
                </c:ext>
              </c:extLst>
            </c:dLbl>
            <c:dLbl>
              <c:idx val="42"/>
              <c:layout>
                <c:manualLayout>
                  <c:x val="-8.1734280802269951E-2"/>
                  <c:y val="1.1007275819892637E-2"/>
                </c:manualLayout>
              </c:layout>
              <c:tx>
                <c:strRef>
                  <c:f>Sheet1!$B$46</c:f>
                  <c:strCache>
                    <c:ptCount val="1"/>
                    <c:pt idx="0">
                      <c:v>Tennessee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{44029A8A-DE9A-4C5F-A305-D30D3CF72C07}</c15:txfldGUID>
                      <c15:f>Sheet1!$B$46</c15:f>
                      <c15:dlblFieldTableCache>
                        <c:ptCount val="1"/>
                        <c:pt idx="0">
                          <c:v>Tennessee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9728-4E58-B0C8-76743C3BF33B}"/>
                </c:ext>
              </c:extLst>
            </c:dLbl>
            <c:dLbl>
              <c:idx val="43"/>
              <c:layout>
                <c:manualLayout>
                  <c:x val="-6.2009451100022685E-2"/>
                  <c:y val="-6.2495500563928543E-3"/>
                </c:manualLayout>
              </c:layout>
              <c:tx>
                <c:strRef>
                  <c:f>Sheet1!$B$47</c:f>
                  <c:strCache>
                    <c:ptCount val="1"/>
                    <c:pt idx="0">
                      <c:v>Texas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{2CEC3B57-229B-4497-82DF-332E046BD06E}</c15:txfldGUID>
                      <c15:f>Sheet1!$B$47</c15:f>
                      <c15:dlblFieldTableCache>
                        <c:ptCount val="1"/>
                        <c:pt idx="0">
                          <c:v>Texas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9728-4E58-B0C8-76743C3BF33B}"/>
                </c:ext>
              </c:extLst>
            </c:dLbl>
            <c:dLbl>
              <c:idx val="44"/>
              <c:layout>
                <c:manualLayout>
                  <c:x val="-2.845119680158675E-2"/>
                  <c:y val="-2.8064755739233414E-2"/>
                </c:manualLayout>
              </c:layout>
              <c:tx>
                <c:strRef>
                  <c:f>Sheet1!$B$48</c:f>
                  <c:strCache>
                    <c:ptCount val="1"/>
                    <c:pt idx="0">
                      <c:v>Utah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{5027B389-A6AE-459A-AA5A-78F892251A9C}</c15:txfldGUID>
                      <c15:f>Sheet1!$B$48</c15:f>
                      <c15:dlblFieldTableCache>
                        <c:ptCount val="1"/>
                        <c:pt idx="0">
                          <c:v>Utah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9728-4E58-B0C8-76743C3BF33B}"/>
                </c:ext>
              </c:extLst>
            </c:dLbl>
            <c:dLbl>
              <c:idx val="45"/>
              <c:layout>
                <c:manualLayout>
                  <c:x val="-3.9710338444559394E-2"/>
                  <c:y val="-2.8064755739233414E-2"/>
                </c:manualLayout>
              </c:layout>
              <c:tx>
                <c:strRef>
                  <c:f>Sheet1!$B$49</c:f>
                  <c:strCache>
                    <c:ptCount val="1"/>
                    <c:pt idx="0">
                      <c:v>Vermont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{26BEF504-2B05-4A36-8EB1-6BDCE8B66027}</c15:txfldGUID>
                      <c15:f>Sheet1!$B$49</c15:f>
                      <c15:dlblFieldTableCache>
                        <c:ptCount val="1"/>
                        <c:pt idx="0">
                          <c:v>Vermont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9728-4E58-B0C8-76743C3BF33B}"/>
                </c:ext>
              </c:extLst>
            </c:dLbl>
            <c:dLbl>
              <c:idx val="46"/>
              <c:layout>
                <c:manualLayout>
                  <c:x val="-7.5330103169880536E-2"/>
                  <c:y val="7.1774337616352085E-3"/>
                </c:manualLayout>
              </c:layout>
              <c:tx>
                <c:strRef>
                  <c:f>Sheet1!$B$50</c:f>
                  <c:strCache>
                    <c:ptCount val="1"/>
                    <c:pt idx="0">
                      <c:v>Virginia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{B5FD69CD-C5F8-4785-BA77-043FE495E846}</c15:txfldGUID>
                      <c15:f>Sheet1!$B$50</c15:f>
                      <c15:dlblFieldTableCache>
                        <c:ptCount val="1"/>
                        <c:pt idx="0">
                          <c:v>Virginia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9728-4E58-B0C8-76743C3BF33B}"/>
                </c:ext>
              </c:extLst>
            </c:dLbl>
            <c:dLbl>
              <c:idx val="47"/>
              <c:layout>
                <c:manualLayout>
                  <c:x val="-8.9162192660992429E-2"/>
                  <c:y val="-1.399747839260888E-2"/>
                </c:manualLayout>
              </c:layout>
              <c:tx>
                <c:strRef>
                  <c:f>Sheet1!$B$51</c:f>
                  <c:strCache>
                    <c:ptCount val="1"/>
                    <c:pt idx="0">
                      <c:v>Washington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{5AE5FE75-B91B-4CBC-B707-4255B4F00EC8}</c15:txfldGUID>
                      <c15:f>Sheet1!$B$51</c15:f>
                      <c15:dlblFieldTableCache>
                        <c:ptCount val="1"/>
                        <c:pt idx="0">
                          <c:v>Washington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9728-4E58-B0C8-76743C3BF33B}"/>
                </c:ext>
              </c:extLst>
            </c:dLbl>
            <c:dLbl>
              <c:idx val="48"/>
              <c:layout>
                <c:manualLayout>
                  <c:x val="-4.9262318255938284E-2"/>
                  <c:y val="-2.5622753766788131E-2"/>
                </c:manualLayout>
              </c:layout>
              <c:tx>
                <c:strRef>
                  <c:f>Sheet1!$B$52</c:f>
                  <c:strCache>
                    <c:ptCount val="1"/>
                    <c:pt idx="0">
                      <c:v>West Virginia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{B6127D46-664E-4CE7-B02C-9C764F9ACE87}</c15:txfldGUID>
                      <c15:f>Sheet1!$B$52</c15:f>
                      <c15:dlblFieldTableCache>
                        <c:ptCount val="1"/>
                        <c:pt idx="0">
                          <c:v>West Virginia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9728-4E58-B0C8-76743C3BF33B}"/>
                </c:ext>
              </c:extLst>
            </c:dLbl>
            <c:dLbl>
              <c:idx val="49"/>
              <c:layout>
                <c:manualLayout>
                  <c:x val="-4.3402883379667051E-2"/>
                  <c:y val="-2.8064755739233414E-2"/>
                </c:manualLayout>
              </c:layout>
              <c:tx>
                <c:strRef>
                  <c:f>Sheet1!$B$53</c:f>
                  <c:strCache>
                    <c:ptCount val="1"/>
                    <c:pt idx="0">
                      <c:v>Wisconsin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{C9AD6E1F-A08A-4880-95F4-41FEAF6F2DF6}</c15:txfldGUID>
                      <c15:f>Sheet1!$B$53</c15:f>
                      <c15:dlblFieldTableCache>
                        <c:ptCount val="1"/>
                        <c:pt idx="0">
                          <c:v>Wisconsin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9728-4E58-B0C8-76743C3BF33B}"/>
                </c:ext>
              </c:extLst>
            </c:dLbl>
            <c:dLbl>
              <c:idx val="50"/>
              <c:layout>
                <c:manualLayout>
                  <c:x val="-4.1749735647212995E-2"/>
                  <c:y val="-2.5622753766788041E-2"/>
                </c:manualLayout>
              </c:layout>
              <c:tx>
                <c:strRef>
                  <c:f>Sheet1!$B$54</c:f>
                  <c:strCache>
                    <c:ptCount val="1"/>
                    <c:pt idx="0">
                      <c:v>Wyoming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solidFill>
                        <a:schemeClr val="bg1">
                          <a:lumMod val="10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{AE3C6502-22A8-4856-877C-58620F9B1DB8}</c15:txfldGUID>
                      <c15:f>Sheet1!$B$54</c15:f>
                      <c15:dlblFieldTableCache>
                        <c:ptCount val="1"/>
                        <c:pt idx="0">
                          <c:v>Wyoming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9728-4E58-B0C8-76743C3BF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>
                        <a:lumMod val="10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Sheet1!$C$4:$C$54</c:f>
              <c:numCache>
                <c:formatCode>0.00%</c:formatCode>
                <c:ptCount val="51"/>
                <c:pt idx="0">
                  <c:v>-9.0114111399841823E-2</c:v>
                </c:pt>
                <c:pt idx="1">
                  <c:v>0.10660942266410575</c:v>
                </c:pt>
                <c:pt idx="2">
                  <c:v>-0.14825443452717207</c:v>
                </c:pt>
                <c:pt idx="3">
                  <c:v>-7.675968817082815E-2</c:v>
                </c:pt>
                <c:pt idx="4">
                  <c:v>-1.8528979776296463E-3</c:v>
                </c:pt>
                <c:pt idx="5">
                  <c:v>3.9792113885436672E-2</c:v>
                </c:pt>
                <c:pt idx="6">
                  <c:v>0.29974014235679586</c:v>
                </c:pt>
                <c:pt idx="7">
                  <c:v>-3.0233871878883743E-2</c:v>
                </c:pt>
                <c:pt idx="8">
                  <c:v>0.30929838436334878</c:v>
                </c:pt>
                <c:pt idx="9">
                  <c:v>-5.590328776409445E-2</c:v>
                </c:pt>
                <c:pt idx="10">
                  <c:v>-8.3945316913343129E-2</c:v>
                </c:pt>
                <c:pt idx="11">
                  <c:v>-0.14961021353519377</c:v>
                </c:pt>
                <c:pt idx="12">
                  <c:v>-0.13966783414303469</c:v>
                </c:pt>
                <c:pt idx="13">
                  <c:v>5.4276352954468421E-2</c:v>
                </c:pt>
                <c:pt idx="14">
                  <c:v>-4.6503219975144054E-2</c:v>
                </c:pt>
                <c:pt idx="15">
                  <c:v>4.7542650547960683E-2</c:v>
                </c:pt>
                <c:pt idx="16">
                  <c:v>7.4387074906790196E-2</c:v>
                </c:pt>
                <c:pt idx="17">
                  <c:v>-0.10195458140323127</c:v>
                </c:pt>
                <c:pt idx="18">
                  <c:v>-2.2099197830753588E-2</c:v>
                </c:pt>
                <c:pt idx="19">
                  <c:v>-9.6192520619139077E-2</c:v>
                </c:pt>
                <c:pt idx="20">
                  <c:v>6.132640379618122E-2</c:v>
                </c:pt>
                <c:pt idx="21">
                  <c:v>0.2152751101570444</c:v>
                </c:pt>
                <c:pt idx="22">
                  <c:v>-4.7045531578352728E-2</c:v>
                </c:pt>
                <c:pt idx="23">
                  <c:v>8.5798214890972765E-2</c:v>
                </c:pt>
                <c:pt idx="24">
                  <c:v>-0.16644446955146311</c:v>
                </c:pt>
                <c:pt idx="25">
                  <c:v>-1.8325612925093208E-2</c:v>
                </c:pt>
                <c:pt idx="26">
                  <c:v>-7.3889955937182242E-2</c:v>
                </c:pt>
                <c:pt idx="27">
                  <c:v>0.13103604112529657</c:v>
                </c:pt>
                <c:pt idx="28">
                  <c:v>-9.0679019319850868E-2</c:v>
                </c:pt>
                <c:pt idx="29">
                  <c:v>7.4002937521184045E-2</c:v>
                </c:pt>
                <c:pt idx="30">
                  <c:v>9.7955033329567287E-2</c:v>
                </c:pt>
                <c:pt idx="31">
                  <c:v>-0.16813919331149021</c:v>
                </c:pt>
                <c:pt idx="32">
                  <c:v>4.9485933792791773E-2</c:v>
                </c:pt>
                <c:pt idx="33">
                  <c:v>-6.1529770647384477E-2</c:v>
                </c:pt>
                <c:pt idx="34">
                  <c:v>0.24272963506948367</c:v>
                </c:pt>
                <c:pt idx="35">
                  <c:v>1.554626595864874E-2</c:v>
                </c:pt>
                <c:pt idx="36">
                  <c:v>1.1343351033781493E-2</c:v>
                </c:pt>
                <c:pt idx="37">
                  <c:v>-7.6239972884419846E-2</c:v>
                </c:pt>
                <c:pt idx="38">
                  <c:v>5.1564794938425036E-2</c:v>
                </c:pt>
                <c:pt idx="39">
                  <c:v>4.2119534515873913E-2</c:v>
                </c:pt>
                <c:pt idx="40">
                  <c:v>-0.11178397921138854</c:v>
                </c:pt>
                <c:pt idx="41">
                  <c:v>0.11768161789628291</c:v>
                </c:pt>
                <c:pt idx="42">
                  <c:v>-3.0572816630889166E-2</c:v>
                </c:pt>
                <c:pt idx="43">
                  <c:v>3.1634843520506159E-4</c:v>
                </c:pt>
                <c:pt idx="44">
                  <c:v>-0.15410688057846572</c:v>
                </c:pt>
                <c:pt idx="45">
                  <c:v>-5.3327307648853234E-3</c:v>
                </c:pt>
                <c:pt idx="46">
                  <c:v>5.2581629194441308E-2</c:v>
                </c:pt>
                <c:pt idx="47">
                  <c:v>4.6887357360750198E-2</c:v>
                </c:pt>
                <c:pt idx="48">
                  <c:v>-0.1498813693367981</c:v>
                </c:pt>
                <c:pt idx="49">
                  <c:v>2.0246299853123942E-2</c:v>
                </c:pt>
                <c:pt idx="50">
                  <c:v>0.20917410462094679</c:v>
                </c:pt>
              </c:numCache>
            </c:numRef>
          </c:xVal>
          <c:yVal>
            <c:numRef>
              <c:f>Sheet1!$D$4:$D$54</c:f>
              <c:numCache>
                <c:formatCode>General</c:formatCode>
                <c:ptCount val="51"/>
                <c:pt idx="0">
                  <c:v>86.8</c:v>
                </c:pt>
                <c:pt idx="1">
                  <c:v>105.6</c:v>
                </c:pt>
                <c:pt idx="2">
                  <c:v>96.2</c:v>
                </c:pt>
                <c:pt idx="3">
                  <c:v>87.4</c:v>
                </c:pt>
                <c:pt idx="4">
                  <c:v>113.4</c:v>
                </c:pt>
                <c:pt idx="5">
                  <c:v>103.2</c:v>
                </c:pt>
                <c:pt idx="6">
                  <c:v>108.7</c:v>
                </c:pt>
                <c:pt idx="7">
                  <c:v>100.4</c:v>
                </c:pt>
                <c:pt idx="8">
                  <c:v>117</c:v>
                </c:pt>
                <c:pt idx="9">
                  <c:v>99.5</c:v>
                </c:pt>
                <c:pt idx="10">
                  <c:v>92.6</c:v>
                </c:pt>
                <c:pt idx="11">
                  <c:v>118.8</c:v>
                </c:pt>
                <c:pt idx="12">
                  <c:v>93.4</c:v>
                </c:pt>
                <c:pt idx="13">
                  <c:v>99.7</c:v>
                </c:pt>
                <c:pt idx="14">
                  <c:v>90.7</c:v>
                </c:pt>
                <c:pt idx="15">
                  <c:v>90.3</c:v>
                </c:pt>
                <c:pt idx="16">
                  <c:v>90.4</c:v>
                </c:pt>
                <c:pt idx="17">
                  <c:v>88.6</c:v>
                </c:pt>
                <c:pt idx="18">
                  <c:v>90.6</c:v>
                </c:pt>
                <c:pt idx="19">
                  <c:v>98</c:v>
                </c:pt>
                <c:pt idx="20">
                  <c:v>109.6</c:v>
                </c:pt>
                <c:pt idx="21">
                  <c:v>106.9</c:v>
                </c:pt>
                <c:pt idx="22">
                  <c:v>93.5</c:v>
                </c:pt>
                <c:pt idx="23">
                  <c:v>97.4</c:v>
                </c:pt>
                <c:pt idx="24">
                  <c:v>86.2</c:v>
                </c:pt>
                <c:pt idx="25">
                  <c:v>89.3</c:v>
                </c:pt>
                <c:pt idx="26">
                  <c:v>94.8</c:v>
                </c:pt>
                <c:pt idx="27">
                  <c:v>90.6</c:v>
                </c:pt>
                <c:pt idx="28">
                  <c:v>98</c:v>
                </c:pt>
                <c:pt idx="29">
                  <c:v>105</c:v>
                </c:pt>
                <c:pt idx="30">
                  <c:v>113.4</c:v>
                </c:pt>
                <c:pt idx="31">
                  <c:v>94.4</c:v>
                </c:pt>
                <c:pt idx="32">
                  <c:v>115.3</c:v>
                </c:pt>
                <c:pt idx="33">
                  <c:v>91.2</c:v>
                </c:pt>
                <c:pt idx="34">
                  <c:v>92.3</c:v>
                </c:pt>
                <c:pt idx="35">
                  <c:v>89.2</c:v>
                </c:pt>
                <c:pt idx="36">
                  <c:v>89.9</c:v>
                </c:pt>
                <c:pt idx="37">
                  <c:v>99.2</c:v>
                </c:pt>
                <c:pt idx="38">
                  <c:v>97.9</c:v>
                </c:pt>
                <c:pt idx="39">
                  <c:v>98.7</c:v>
                </c:pt>
                <c:pt idx="40">
                  <c:v>90.3</c:v>
                </c:pt>
                <c:pt idx="41">
                  <c:v>88.2</c:v>
                </c:pt>
                <c:pt idx="42">
                  <c:v>89.9</c:v>
                </c:pt>
                <c:pt idx="43">
                  <c:v>96.8</c:v>
                </c:pt>
                <c:pt idx="44">
                  <c:v>97</c:v>
                </c:pt>
                <c:pt idx="45">
                  <c:v>101.6</c:v>
                </c:pt>
                <c:pt idx="46">
                  <c:v>102.5</c:v>
                </c:pt>
                <c:pt idx="47">
                  <c:v>104.8</c:v>
                </c:pt>
                <c:pt idx="48">
                  <c:v>88.9</c:v>
                </c:pt>
                <c:pt idx="49">
                  <c:v>93.1</c:v>
                </c:pt>
                <c:pt idx="50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28-4E58-B0C8-76743C3BF33B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0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  <a:endParaRPr lang="zh-CN" altLang="en-US" sz="900" b="1">
                      <a:solidFill>
                        <a:sysClr val="windowText" lastClr="000000"/>
                      </a:solidFill>
                      <a:latin typeface="思源宋体 CN Light" panose="02020300000000000000" pitchFamily="18" charset="-122"/>
                      <a:ea typeface="思源宋体 CN Light" panose="02020300000000000000" pitchFamily="18" charset="-122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728-4E58-B0C8-76743C3BF33B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000"/>
                      <a:t>物价更高</a:t>
                    </a:r>
                    <a:endParaRPr lang="zh-CN" alt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728-4E58-B0C8-76743C3BF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Sheet1!$F$5:$F$6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Sheet1!$G$5:$G$6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28-4E58-B0C8-76743C3BF33B}"/>
            </c:ext>
          </c:extLst>
        </c:ser>
        <c:ser>
          <c:idx val="2"/>
          <c:order val="2"/>
          <c:tx>
            <c:strRef>
              <c:f>Sheet1!$F$8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高收入高物价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728-4E58-B0C8-76743C3BF3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低收入高物价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728-4E58-B0C8-76743C3BF3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低收入低物价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728-4E58-B0C8-76743C3BF3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高收入低物价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728-4E58-B0C8-76743C3BF33B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Sheet1!$F$10:$F$13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Sheet1!$G$10:$G$13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28-4E58-B0C8-76743C3B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87232"/>
        <c:axId val="173516672"/>
      </c:scatterChart>
      <c:valAx>
        <c:axId val="173487232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1050" b="1">
                    <a:solidFill>
                      <a:schemeClr val="bg1">
                        <a:lumMod val="10000"/>
                      </a:schemeClr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050" b="1">
                    <a:solidFill>
                      <a:schemeClr val="bg1">
                        <a:lumMod val="10000"/>
                      </a:schemeClr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4322475265640223"/>
              <c:y val="0.905547671358523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zh-CN"/>
          </a:p>
        </c:txPr>
        <c:crossAx val="173516672"/>
        <c:crossesAt val="100"/>
        <c:crossBetween val="midCat"/>
        <c:majorUnit val="0.1"/>
      </c:valAx>
      <c:valAx>
        <c:axId val="173516672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050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050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zh-CN"/>
          </a:p>
        </c:txPr>
        <c:crossAx val="173487232"/>
        <c:crossesAt val="0"/>
        <c:crossBetween val="midCat"/>
        <c:majorUnit val="10"/>
      </c:valAx>
      <c:spPr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>
                <a:solidFill>
                  <a:sysClr val="windowText" lastClr="000000"/>
                </a:solidFill>
              </a:defRPr>
            </a:pPr>
            <a:r>
              <a:rPr lang="zh-CN" sz="1400" b="0">
                <a:solidFill>
                  <a:sysClr val="windowText" lastClr="000000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美国各州物价与人均收入矩阵</a:t>
            </a:r>
            <a:endParaRPr lang="en-US" sz="1400" b="0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>
                <a:solidFill>
                  <a:sysClr val="windowText" lastClr="000000"/>
                </a:solidFill>
              </a:defRPr>
            </a:pPr>
            <a:r>
              <a:rPr lang="en-US" sz="1200" b="0">
                <a:solidFill>
                  <a:sysClr val="windowText" lastClr="000000"/>
                </a:solidFill>
              </a:rPr>
              <a:t>2015</a:t>
            </a:r>
            <a:r>
              <a:rPr lang="zh-CN" sz="1200" b="0">
                <a:solidFill>
                  <a:sysClr val="windowText" lastClr="000000"/>
                </a:solidFill>
              </a:rPr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888358643240053E-2"/>
          <c:y val="0.15142985412494966"/>
          <c:w val="0.89178194642282471"/>
          <c:h val="0.7137968707921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区域价格指数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2.5764892063234044E-2"/>
                  <c:y val="2.328041552125467E-2"/>
                </c:manualLayout>
              </c:layout>
              <c:tx>
                <c:strRef>
                  <c:f>Sheet2!$C$4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{2D4AAF69-76FF-4E90-B95D-7B34EDAC6B7E}</c15:txfldGUID>
                      <c15:f>Sheet2!$C$4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F312-48BA-BA58-F39A5A05FEC1}"/>
                </c:ext>
              </c:extLst>
            </c:dLbl>
            <c:dLbl>
              <c:idx val="1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Sheet2!$C$5</c:f>
                  <c:strCache>
                    <c:ptCount val="1"/>
                    <c:pt idx="0">
                      <c:v>AK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{741B8BB7-6B61-44DF-B5A1-33254C0EA4F3}</c15:txfldGUID>
                      <c15:f>Sheet2!$C$5</c15:f>
                      <c15:dlblFieldTableCache>
                        <c:ptCount val="1"/>
                        <c:pt idx="0">
                          <c:v>AK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F312-48BA-BA58-F39A5A05FEC1}"/>
                </c:ext>
              </c:extLst>
            </c:dLbl>
            <c:dLbl>
              <c:idx val="2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Sheet2!$C$6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{4DD83C4A-67E7-42ED-84A2-D740CEEFA8DE}</c15:txfldGUID>
                      <c15:f>Sheet2!$C$6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312-48BA-BA58-F39A5A05FEC1}"/>
                </c:ext>
              </c:extLst>
            </c:dLbl>
            <c:dLbl>
              <c:idx val="3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Sheet2!$C$7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{F90A7D9E-364E-4092-8C16-4CD410F7E179}</c15:txfldGUID>
                      <c15:f>Sheet2!$C$7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312-48BA-BA58-F39A5A05FEC1}"/>
                </c:ext>
              </c:extLst>
            </c:dLbl>
            <c:dLbl>
              <c:idx val="4"/>
              <c:layout>
                <c:manualLayout>
                  <c:x val="-4.6698866864611707E-2"/>
                  <c:y val="4.2328028220463033E-3"/>
                </c:manualLayout>
              </c:layout>
              <c:tx>
                <c:strRef>
                  <c:f>Sheet2!$C$8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{4407151F-889B-44F9-9D96-321681D66985}</c15:txfldGUID>
                      <c15:f>Sheet2!$C$8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312-48BA-BA58-F39A5A05FEC1}"/>
                </c:ext>
              </c:extLst>
            </c:dLbl>
            <c:dLbl>
              <c:idx val="5"/>
              <c:layout>
                <c:manualLayout>
                  <c:x val="-4.8309172618563774E-2"/>
                  <c:y val="-1.0582007055115758E-2"/>
                </c:manualLayout>
              </c:layout>
              <c:tx>
                <c:strRef>
                  <c:f>Sheet2!$C$9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{4F6DE849-A9E4-49F0-A061-1375D26BD22C}</c15:txfldGUID>
                      <c15:f>Sheet2!$C$9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312-48BA-BA58-F39A5A05FEC1}"/>
                </c:ext>
              </c:extLst>
            </c:dLbl>
            <c:dLbl>
              <c:idx val="6"/>
              <c:layout>
                <c:manualLayout>
                  <c:x val="-4.6698993660340242E-2"/>
                  <c:y val="-1.6931211288185213E-2"/>
                </c:manualLayout>
              </c:layout>
              <c:tx>
                <c:strRef>
                  <c:f>Sheet2!$C$10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{2D2E49E7-2546-42F7-AD1A-1F45D3EFD913}</c15:txfldGUID>
                      <c15:f>Sheet2!$C$10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312-48BA-BA58-F39A5A05FEC1}"/>
                </c:ext>
              </c:extLst>
            </c:dLbl>
            <c:dLbl>
              <c:idx val="7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Sheet2!$C$11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{6383FDBF-1995-479E-958C-C0200F5DF5D9}</c15:txfldGUID>
                      <c15:f>Sheet2!$C$11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312-48BA-BA58-F39A5A05FEC1}"/>
                </c:ext>
              </c:extLst>
            </c:dLbl>
            <c:dLbl>
              <c:idx val="8"/>
              <c:layout>
                <c:manualLayout>
                  <c:x val="-4.1172475031068238E-2"/>
                  <c:y val="-3.1746021165347277E-2"/>
                </c:manualLayout>
              </c:layout>
              <c:tx>
                <c:strRef>
                  <c:f>Sheet2!$C$12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{7FFE2DDE-E3B0-48A3-9EC8-F97381B24C86}</c15:txfldGUID>
                      <c15:f>Sheet2!$C$12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312-48BA-BA58-F39A5A05FEC1}"/>
                </c:ext>
              </c:extLst>
            </c:dLbl>
            <c:dLbl>
              <c:idx val="9"/>
              <c:layout>
                <c:manualLayout>
                  <c:x val="-9.661834523712767E-3"/>
                  <c:y val="1.9047612699208367E-2"/>
                </c:manualLayout>
              </c:layout>
              <c:tx>
                <c:strRef>
                  <c:f>Sheet2!$C$13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{EA784859-2AFF-4867-91F7-40532F9AB439}</c15:txfldGUID>
                      <c15:f>Sheet2!$C$13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312-48BA-BA58-F39A5A05FEC1}"/>
                </c:ext>
              </c:extLst>
            </c:dLbl>
            <c:dLbl>
              <c:idx val="10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Sheet2!$C$14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{A0ABD7A7-324A-4EFB-8C96-B330B78559EF}</c15:txfldGUID>
                      <c15:f>Sheet2!$C$14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312-48BA-BA58-F39A5A05FEC1}"/>
                </c:ext>
              </c:extLst>
            </c:dLbl>
            <c:dLbl>
              <c:idx val="11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Sheet2!$C$15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{52331931-F5EE-4440-B6FD-FC3C206F5C18}</c15:txfldGUID>
                      <c15:f>Sheet2!$C$15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312-48BA-BA58-F39A5A05FEC1}"/>
                </c:ext>
              </c:extLst>
            </c:dLbl>
            <c:dLbl>
              <c:idx val="12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Sheet2!$C$16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{58139A19-FF08-44BA-B9F2-3233807686D0}</c15:txfldGUID>
                      <c15:f>Sheet2!$C$16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312-48BA-BA58-F39A5A05FEC1}"/>
                </c:ext>
              </c:extLst>
            </c:dLbl>
            <c:dLbl>
              <c:idx val="13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Sheet2!$C$17</c:f>
                  <c:strCache>
                    <c:ptCount val="1"/>
                    <c:pt idx="0">
                      <c:v>IL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{3AAC5CE8-CB2A-4974-8688-61099582B6D5}</c15:txfldGUID>
                      <c15:f>Sheet2!$C$17</c15:f>
                      <c15:dlblFieldTableCache>
                        <c:ptCount val="1"/>
                        <c:pt idx="0">
                          <c:v>IL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312-48BA-BA58-F39A5A05FEC1}"/>
                </c:ext>
              </c:extLst>
            </c:dLbl>
            <c:dLbl>
              <c:idx val="14"/>
              <c:layout>
                <c:manualLayout>
                  <c:x val="-1.1272140277664894E-2"/>
                  <c:y val="-6.3492042330695331E-3"/>
                </c:manualLayout>
              </c:layout>
              <c:tx>
                <c:strRef>
                  <c:f>Sheet2!$C$18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{EB1F401B-14BF-4365-963D-A5112B80DD55}</c15:txfldGUID>
                      <c15:f>Sheet2!$C$18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312-48BA-BA58-F39A5A05FEC1}"/>
                </c:ext>
              </c:extLst>
            </c:dLbl>
            <c:dLbl>
              <c:idx val="15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Sheet2!$C$19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{5AF0DA49-1111-404E-9819-A3E536A87DB7}</c15:txfldGUID>
                      <c15:f>Sheet2!$C$19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312-48BA-BA58-F39A5A05FEC1}"/>
                </c:ext>
              </c:extLst>
            </c:dLbl>
            <c:dLbl>
              <c:idx val="16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Sheet2!$C$20</c:f>
                  <c:strCache>
                    <c:ptCount val="1"/>
                    <c:pt idx="0">
                      <c:v>KS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{FAEEC9AC-CA04-443B-9614-9792EC7251C9}</c15:txfldGUID>
                      <c15:f>Sheet2!$C$20</c15:f>
                      <c15:dlblFieldTableCache>
                        <c:ptCount val="1"/>
                        <c:pt idx="0">
                          <c:v>KS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312-48BA-BA58-F39A5A05FEC1}"/>
                </c:ext>
              </c:extLst>
            </c:dLbl>
            <c:dLbl>
              <c:idx val="17"/>
              <c:layout>
                <c:manualLayout>
                  <c:x val="-4.8310440575850405E-3"/>
                  <c:y val="0"/>
                </c:manualLayout>
              </c:layout>
              <c:tx>
                <c:strRef>
                  <c:f>Sheet2!$C$21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{D6BBC83D-2D5A-4982-A8B8-E4C4C292511F}</c15:txfldGUID>
                      <c15:f>Sheet2!$C$21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312-48BA-BA58-F39A5A05FEC1}"/>
                </c:ext>
              </c:extLst>
            </c:dLbl>
            <c:dLbl>
              <c:idx val="18"/>
              <c:layout>
                <c:manualLayout>
                  <c:x val="-1.1272140277664894E-2"/>
                  <c:y val="-2.116401411023144E-2"/>
                </c:manualLayout>
              </c:layout>
              <c:tx>
                <c:strRef>
                  <c:f>Sheet2!$C$22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{95357C7E-1C72-4D9E-9520-A991B276D96B}</c15:txfldGUID>
                      <c15:f>Sheet2!$C$22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312-48BA-BA58-F39A5A05FEC1}"/>
                </c:ext>
              </c:extLst>
            </c:dLbl>
            <c:dLbl>
              <c:idx val="19"/>
              <c:layout>
                <c:manualLayout>
                  <c:x val="-5.314008988042019E-2"/>
                  <c:y val="2.1164014110231517E-2"/>
                </c:manualLayout>
              </c:layout>
              <c:tx>
                <c:strRef>
                  <c:f>Sheet2!$C$23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{779D9B6B-59EC-470D-911D-524243284401}</c15:txfldGUID>
                      <c15:f>Sheet2!$C$23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312-48BA-BA58-F39A5A05FEC1}"/>
                </c:ext>
              </c:extLst>
            </c:dLbl>
            <c:dLbl>
              <c:idx val="20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Sheet2!$C$24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{6CB412B8-4AD2-4F3A-BFA7-824CF0627D1A}</c15:txfldGUID>
                      <c15:f>Sheet2!$C$24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312-48BA-BA58-F39A5A05FEC1}"/>
                </c:ext>
              </c:extLst>
            </c:dLbl>
            <c:dLbl>
              <c:idx val="21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Sheet2!$C$25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{F323557B-A666-4FDF-9AFC-DAB968FE2676}</c15:txfldGUID>
                      <c15:f>Sheet2!$C$25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312-48BA-BA58-F39A5A05FEC1}"/>
                </c:ext>
              </c:extLst>
            </c:dLbl>
            <c:dLbl>
              <c:idx val="22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Sheet2!$C$26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{21EA96F0-9B3F-4B11-A112-D1772E8AE4D4}</c15:txfldGUID>
                      <c15:f>Sheet2!$C$26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F312-48BA-BA58-F39A5A05FEC1}"/>
                </c:ext>
              </c:extLst>
            </c:dLbl>
            <c:dLbl>
              <c:idx val="23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Sheet2!$C$27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{A2079074-FC89-4C4A-BC6E-0192EEF2B12E}</c15:txfldGUID>
                      <c15:f>Sheet2!$C$27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312-48BA-BA58-F39A5A05FEC1}"/>
                </c:ext>
              </c:extLst>
            </c:dLbl>
            <c:dLbl>
              <c:idx val="24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Sheet2!$C$28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{758348D4-12B2-44D7-8631-109346F3CAAD}</c15:txfldGUID>
                      <c15:f>Sheet2!$C$28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312-48BA-BA58-F39A5A05FEC1}"/>
                </c:ext>
              </c:extLst>
            </c:dLbl>
            <c:dLbl>
              <c:idx val="25"/>
              <c:layout>
                <c:manualLayout>
                  <c:x val="-1.7713363293473405E-2"/>
                  <c:y val="2.1164014110231517E-2"/>
                </c:manualLayout>
              </c:layout>
              <c:tx>
                <c:strRef>
                  <c:f>Sheet2!$C$29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{C3B3DD86-FA2F-45B3-AC9D-AA2C17D88B56}</c15:txfldGUID>
                      <c15:f>Sheet2!$C$29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312-48BA-BA58-F39A5A05FEC1}"/>
                </c:ext>
              </c:extLst>
            </c:dLbl>
            <c:dLbl>
              <c:idx val="26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Sheet2!$C$30</c:f>
                  <c:strCache>
                    <c:ptCount val="1"/>
                    <c:pt idx="0">
                      <c:v>MT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{9599B852-DD21-4AD9-983A-1B1BC7E8E97C}</c15:txfldGUID>
                      <c15:f>Sheet2!$C$30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312-48BA-BA58-F39A5A05FEC1}"/>
                </c:ext>
              </c:extLst>
            </c:dLbl>
            <c:dLbl>
              <c:idx val="27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Sheet2!$C$31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{FC21014F-A289-4A93-B5F1-3CDAEF542C87}</c15:txfldGUID>
                      <c15:f>Sheet2!$C$31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312-48BA-BA58-F39A5A05FEC1}"/>
                </c:ext>
              </c:extLst>
            </c:dLbl>
            <c:dLbl>
              <c:idx val="28"/>
              <c:layout>
                <c:manualLayout>
                  <c:x val="-9.661834523712767E-3"/>
                  <c:y val="1.269840846613891E-2"/>
                </c:manualLayout>
              </c:layout>
              <c:tx>
                <c:strRef>
                  <c:f>Sheet2!$C$32</c:f>
                  <c:strCache>
                    <c:ptCount val="1"/>
                    <c:pt idx="0">
                      <c:v>NV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{03D10EC4-7033-4A6F-9D75-42BD10C16135}</c15:txfldGUID>
                      <c15:f>Sheet2!$C$32</c15:f>
                      <c15:dlblFieldTableCache>
                        <c:ptCount val="1"/>
                        <c:pt idx="0">
                          <c:v>NV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F312-48BA-BA58-F39A5A05FEC1}"/>
                </c:ext>
              </c:extLst>
            </c:dLbl>
            <c:dLbl>
              <c:idx val="29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Sheet2!$C$33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{A0AD6E6E-0691-4CEC-9349-357EFCB02AFC}</c15:txfldGUID>
                      <c15:f>Sheet2!$C$33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312-48BA-BA58-F39A5A05FEC1}"/>
                </c:ext>
              </c:extLst>
            </c:dLbl>
            <c:dLbl>
              <c:idx val="30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Sheet2!$C$34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{76EB84B9-0958-4DA9-AC27-25A0ED9BC17D}</c15:txfldGUID>
                      <c15:f>Sheet2!$C$34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F312-48BA-BA58-F39A5A05FEC1}"/>
                </c:ext>
              </c:extLst>
            </c:dLbl>
            <c:dLbl>
              <c:idx val="31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Sheet2!$C$35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{E95F886E-C376-4F75-A4F0-533FD334C632}</c15:txfldGUID>
                      <c15:f>Sheet2!$C$35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F312-48BA-BA58-F39A5A05FEC1}"/>
                </c:ext>
              </c:extLst>
            </c:dLbl>
            <c:dLbl>
              <c:idx val="32"/>
              <c:layout>
                <c:manualLayout>
                  <c:x val="-4.8310440575850405E-3"/>
                  <c:y val="0"/>
                </c:manualLayout>
              </c:layout>
              <c:tx>
                <c:strRef>
                  <c:f>Sheet2!$C$36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{24A9CF9C-D2B3-460F-B0B2-7AD303694890}</c15:txfldGUID>
                      <c15:f>Sheet2!$C$36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F312-48BA-BA58-F39A5A05FEC1}"/>
                </c:ext>
              </c:extLst>
            </c:dLbl>
            <c:dLbl>
              <c:idx val="33"/>
              <c:layout>
                <c:manualLayout>
                  <c:x val="-4.1867949602755319E-2"/>
                  <c:y val="1.6931211288185293E-2"/>
                </c:manualLayout>
              </c:layout>
              <c:tx>
                <c:strRef>
                  <c:f>Sheet2!$C$37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{11790C13-DE12-4054-AC86-172C8E5F2835}</c15:txfldGUID>
                      <c15:f>Sheet2!$C$37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F312-48BA-BA58-F39A5A05FEC1}"/>
                </c:ext>
              </c:extLst>
            </c:dLbl>
            <c:dLbl>
              <c:idx val="34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Sheet2!$C$38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{35B2A176-1E98-402E-A835-1D4398C4415A}</c15:txfldGUID>
                      <c15:f>Sheet2!$C$38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F312-48BA-BA58-F39A5A05FEC1}"/>
                </c:ext>
              </c:extLst>
            </c:dLbl>
            <c:dLbl>
              <c:idx val="35"/>
              <c:layout>
                <c:manualLayout>
                  <c:x val="-1.6103057539521279E-2"/>
                  <c:y val="2.328041552125467E-2"/>
                </c:manualLayout>
              </c:layout>
              <c:tx>
                <c:strRef>
                  <c:f>Sheet2!$C$39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{9620D87D-7202-468A-B956-A32BC7B926D8}</c15:txfldGUID>
                      <c15:f>Sheet2!$C$39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F312-48BA-BA58-F39A5A05FEC1}"/>
                </c:ext>
              </c:extLst>
            </c:dLbl>
            <c:dLbl>
              <c:idx val="36"/>
              <c:layout>
                <c:manualLayout>
                  <c:x val="-9.661834523712708E-3"/>
                  <c:y val="-1.9047612699208287E-2"/>
                </c:manualLayout>
              </c:layout>
              <c:tx>
                <c:strRef>
                  <c:f>Sheet2!$C$40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{7472D6ED-3751-411D-B9E9-3CCA9B24A464}</c15:txfldGUID>
                      <c15:f>Sheet2!$C$40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F312-48BA-BA58-F39A5A05FEC1}"/>
                </c:ext>
              </c:extLst>
            </c:dLbl>
            <c:dLbl>
              <c:idx val="37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Sheet2!$C$41</c:f>
                  <c:strCache>
                    <c:ptCount val="1"/>
                    <c:pt idx="0">
                      <c:v>OR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{C8967B6F-37F9-4F2C-8DF3-ACC16EEB4159}</c15:txfldGUID>
                      <c15:f>Sheet2!$C$41</c15:f>
                      <c15:dlblFieldTableCache>
                        <c:ptCount val="1"/>
                        <c:pt idx="0">
                          <c:v>OR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F312-48BA-BA58-F39A5A05FEC1}"/>
                </c:ext>
              </c:extLst>
            </c:dLbl>
            <c:dLbl>
              <c:idx val="38"/>
              <c:layout>
                <c:manualLayout>
                  <c:x val="-4.8310440575850405E-3"/>
                  <c:y val="0"/>
                </c:manualLayout>
              </c:layout>
              <c:tx>
                <c:strRef>
                  <c:f>Sheet2!$C$42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{AC7E12A8-09B1-4A33-84CE-B9A2A5850371}</c15:txfldGUID>
                      <c15:f>Sheet2!$C$42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F312-48BA-BA58-F39A5A05FEC1}"/>
                </c:ext>
              </c:extLst>
            </c:dLbl>
            <c:dLbl>
              <c:idx val="39"/>
              <c:layout>
                <c:manualLayout>
                  <c:x val="-3.8647338094851068E-2"/>
                  <c:y val="1.6931211288185213E-2"/>
                </c:manualLayout>
              </c:layout>
              <c:tx>
                <c:strRef>
                  <c:f>Sheet2!$C$43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{0D5BFDAE-CC80-42B9-B775-37F375BEBC9A}</c15:txfldGUID>
                      <c15:f>Sheet2!$C$43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F312-48BA-BA58-F39A5A05FEC1}"/>
                </c:ext>
              </c:extLst>
            </c:dLbl>
            <c:dLbl>
              <c:idx val="40"/>
              <c:layout>
                <c:manualLayout>
                  <c:x val="-4.8310440575850405E-3"/>
                  <c:y val="0"/>
                </c:manualLayout>
              </c:layout>
              <c:tx>
                <c:strRef>
                  <c:f>Sheet2!$C$44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{CA0E4C17-ACB9-4085-8B3A-37F18C526E2D}</c15:txfldGUID>
                      <c15:f>Sheet2!$C$44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F312-48BA-BA58-F39A5A05FEC1}"/>
                </c:ext>
              </c:extLst>
            </c:dLbl>
            <c:dLbl>
              <c:idx val="41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Sheet2!$C$45</c:f>
                  <c:strCache>
                    <c:ptCount val="1"/>
                    <c:pt idx="0">
                      <c:v>SD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{4779095E-594E-4108-91DF-F35F2CB52190}</c15:txfldGUID>
                      <c15:f>Sheet2!$C$45</c15:f>
                      <c15:dlblFieldTableCache>
                        <c:ptCount val="1"/>
                        <c:pt idx="0">
                          <c:v>SD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F312-48BA-BA58-F39A5A05FEC1}"/>
                </c:ext>
              </c:extLst>
            </c:dLbl>
            <c:dLbl>
              <c:idx val="42"/>
              <c:layout>
                <c:manualLayout>
                  <c:x val="-4.1867949602755319E-2"/>
                  <c:y val="2.1164014110231597E-2"/>
                </c:manualLayout>
              </c:layout>
              <c:tx>
                <c:strRef>
                  <c:f>Sheet2!$C$46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{7DB861C8-8CB3-4ACF-8749-B5E342AA0436}</c15:txfldGUID>
                      <c15:f>Sheet2!$C$46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F312-48BA-BA58-F39A5A05FEC1}"/>
                </c:ext>
              </c:extLst>
            </c:dLbl>
            <c:dLbl>
              <c:idx val="43"/>
              <c:layout>
                <c:manualLayout>
                  <c:x val="-4.5088561110659578E-2"/>
                  <c:y val="1.6931211288185293E-2"/>
                </c:manualLayout>
              </c:layout>
              <c:tx>
                <c:strRef>
                  <c:f>Sheet2!$C$47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{C3B20672-5F91-44AB-BBDB-882BFC1FD66E}</c15:txfldGUID>
                      <c15:f>Sheet2!$C$47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F312-48BA-BA58-F39A5A05FEC1}"/>
                </c:ext>
              </c:extLst>
            </c:dLbl>
            <c:dLbl>
              <c:idx val="44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Sheet2!$C$48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{184349E5-E4BA-4146-9521-ECDAC7FC5DE7}</c15:txfldGUID>
                      <c15:f>Sheet2!$C$48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F312-48BA-BA58-F39A5A05FEC1}"/>
                </c:ext>
              </c:extLst>
            </c:dLbl>
            <c:dLbl>
              <c:idx val="45"/>
              <c:layout>
                <c:manualLayout>
                  <c:x val="-4.3478255356707449E-2"/>
                  <c:y val="-2.539681693227782E-2"/>
                </c:manualLayout>
              </c:layout>
              <c:tx>
                <c:strRef>
                  <c:f>Sheet2!$C$49</c:f>
                  <c:strCache>
                    <c:ptCount val="1"/>
                    <c:pt idx="0">
                      <c:v>VT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{333527E8-868E-41DC-A5D8-7ABE2D0E6EAE}</c15:txfldGUID>
                      <c15:f>Sheet2!$C$49</c15:f>
                      <c15:dlblFieldTableCache>
                        <c:ptCount val="1"/>
                        <c:pt idx="0">
                          <c:v>VT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F312-48BA-BA58-F39A5A05FEC1}"/>
                </c:ext>
              </c:extLst>
            </c:dLbl>
            <c:dLbl>
              <c:idx val="46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Sheet2!$C$50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{7288C0F7-6930-4CD0-BB19-4675929E1EAF}</c15:txfldGUID>
                      <c15:f>Sheet2!$C$50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F312-48BA-BA58-F39A5A05FEC1}"/>
                </c:ext>
              </c:extLst>
            </c:dLbl>
            <c:dLbl>
              <c:idx val="47"/>
              <c:layout>
                <c:manualLayout>
                  <c:x val="-4.8310440575850405E-3"/>
                  <c:y val="0"/>
                </c:manualLayout>
              </c:layout>
              <c:tx>
                <c:strRef>
                  <c:f>Sheet2!$C$51</c:f>
                  <c:strCache>
                    <c:ptCount val="1"/>
                    <c:pt idx="0">
                      <c:v>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{35D84A2A-8C4A-4096-A556-1134621B4837}</c15:txfldGUID>
                      <c15:f>Sheet2!$C$51</c15:f>
                      <c15:dlblFieldTableCache>
                        <c:ptCount val="1"/>
                        <c:pt idx="0">
                          <c:v>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F312-48BA-BA58-F39A5A05FEC1}"/>
                </c:ext>
              </c:extLst>
            </c:dLbl>
            <c:dLbl>
              <c:idx val="48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Sheet2!$C$52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{0E4867F4-2DC1-4927-840B-BD39A68EE55A}</c15:txfldGUID>
                      <c15:f>Sheet2!$C$52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F312-48BA-BA58-F39A5A05FEC1}"/>
                </c:ext>
              </c:extLst>
            </c:dLbl>
            <c:dLbl>
              <c:idx val="49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Sheet2!$C$53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{189CC5E7-7E0E-4020-A5BB-5C427A2A24FB}</c15:txfldGUID>
                      <c15:f>Sheet2!$C$53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F312-48BA-BA58-F39A5A05FEC1}"/>
                </c:ext>
              </c:extLst>
            </c:dLbl>
            <c:dLbl>
              <c:idx val="50"/>
              <c:layout>
                <c:manualLayout>
                  <c:x val="-4.8309172618563835E-3"/>
                  <c:y val="0"/>
                </c:manualLayout>
              </c:layout>
              <c:tx>
                <c:strRef>
                  <c:f>Sheet2!$C$54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{30E9751E-BB4E-46F7-978C-B20B71B9038F}</c15:txfldGUID>
                      <c15:f>Sheet2!$C$54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F312-48BA-BA58-F39A5A05FE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Sheet2!$D$4:$D$54</c:f>
              <c:numCache>
                <c:formatCode>0.00%</c:formatCode>
                <c:ptCount val="51"/>
                <c:pt idx="0">
                  <c:v>-9.0114111399841823E-2</c:v>
                </c:pt>
                <c:pt idx="1">
                  <c:v>0.10660942266410575</c:v>
                </c:pt>
                <c:pt idx="2">
                  <c:v>-0.14825443452717207</c:v>
                </c:pt>
                <c:pt idx="3">
                  <c:v>-7.675968817082815E-2</c:v>
                </c:pt>
                <c:pt idx="4">
                  <c:v>-1.8528979776296463E-3</c:v>
                </c:pt>
                <c:pt idx="5">
                  <c:v>3.9792113885436672E-2</c:v>
                </c:pt>
                <c:pt idx="6">
                  <c:v>0.29974014235679586</c:v>
                </c:pt>
                <c:pt idx="7">
                  <c:v>-3.0233871878883743E-2</c:v>
                </c:pt>
                <c:pt idx="8">
                  <c:v>0.30929838436334878</c:v>
                </c:pt>
                <c:pt idx="9">
                  <c:v>-5.590328776409445E-2</c:v>
                </c:pt>
                <c:pt idx="10">
                  <c:v>-8.3945316913343129E-2</c:v>
                </c:pt>
                <c:pt idx="11">
                  <c:v>-0.14961021353519377</c:v>
                </c:pt>
                <c:pt idx="12">
                  <c:v>-0.13966783414303469</c:v>
                </c:pt>
                <c:pt idx="13">
                  <c:v>5.4276352954468421E-2</c:v>
                </c:pt>
                <c:pt idx="14">
                  <c:v>-4.6503219975144054E-2</c:v>
                </c:pt>
                <c:pt idx="15">
                  <c:v>4.7542650547960683E-2</c:v>
                </c:pt>
                <c:pt idx="16">
                  <c:v>7.4387074906790196E-2</c:v>
                </c:pt>
                <c:pt idx="17">
                  <c:v>-0.10195458140323127</c:v>
                </c:pt>
                <c:pt idx="18">
                  <c:v>-2.2099197830753588E-2</c:v>
                </c:pt>
                <c:pt idx="19">
                  <c:v>-9.6192520619139077E-2</c:v>
                </c:pt>
                <c:pt idx="20">
                  <c:v>6.132640379618122E-2</c:v>
                </c:pt>
                <c:pt idx="21">
                  <c:v>0.2152751101570444</c:v>
                </c:pt>
                <c:pt idx="22">
                  <c:v>-4.7045531578352728E-2</c:v>
                </c:pt>
                <c:pt idx="23">
                  <c:v>8.5798214890972765E-2</c:v>
                </c:pt>
                <c:pt idx="24">
                  <c:v>-0.16644446955146311</c:v>
                </c:pt>
                <c:pt idx="25">
                  <c:v>-1.8325612925093208E-2</c:v>
                </c:pt>
                <c:pt idx="26">
                  <c:v>-7.3889955937182242E-2</c:v>
                </c:pt>
                <c:pt idx="27">
                  <c:v>0.13103604112529657</c:v>
                </c:pt>
                <c:pt idx="28">
                  <c:v>-9.0679019319850868E-2</c:v>
                </c:pt>
                <c:pt idx="29">
                  <c:v>7.4002937521184045E-2</c:v>
                </c:pt>
                <c:pt idx="30">
                  <c:v>9.7955033329567287E-2</c:v>
                </c:pt>
                <c:pt idx="31">
                  <c:v>-0.16813919331149021</c:v>
                </c:pt>
                <c:pt idx="32">
                  <c:v>4.9485933792791773E-2</c:v>
                </c:pt>
                <c:pt idx="33">
                  <c:v>-6.1529770647384477E-2</c:v>
                </c:pt>
                <c:pt idx="34">
                  <c:v>0.24272963506948367</c:v>
                </c:pt>
                <c:pt idx="35">
                  <c:v>1.554626595864874E-2</c:v>
                </c:pt>
                <c:pt idx="36">
                  <c:v>1.1343351033781493E-2</c:v>
                </c:pt>
                <c:pt idx="37">
                  <c:v>-7.6239972884419846E-2</c:v>
                </c:pt>
                <c:pt idx="38">
                  <c:v>5.1564794938425036E-2</c:v>
                </c:pt>
                <c:pt idx="39">
                  <c:v>4.2119534515873913E-2</c:v>
                </c:pt>
                <c:pt idx="40">
                  <c:v>-0.11178397921138854</c:v>
                </c:pt>
                <c:pt idx="41">
                  <c:v>0.11768161789628291</c:v>
                </c:pt>
                <c:pt idx="42">
                  <c:v>-3.0572816630889166E-2</c:v>
                </c:pt>
                <c:pt idx="43">
                  <c:v>3.1634843520506159E-4</c:v>
                </c:pt>
                <c:pt idx="44">
                  <c:v>-0.15410688057846572</c:v>
                </c:pt>
                <c:pt idx="45">
                  <c:v>-5.3327307648853234E-3</c:v>
                </c:pt>
                <c:pt idx="46">
                  <c:v>5.2581629194441308E-2</c:v>
                </c:pt>
                <c:pt idx="47">
                  <c:v>4.6887357360750198E-2</c:v>
                </c:pt>
                <c:pt idx="48">
                  <c:v>-0.1498813693367981</c:v>
                </c:pt>
                <c:pt idx="49">
                  <c:v>2.0246299853123942E-2</c:v>
                </c:pt>
                <c:pt idx="50">
                  <c:v>0.20917410462094679</c:v>
                </c:pt>
              </c:numCache>
            </c:numRef>
          </c:xVal>
          <c:yVal>
            <c:numRef>
              <c:f>Sheet2!$E$4:$E$54</c:f>
              <c:numCache>
                <c:formatCode>General</c:formatCode>
                <c:ptCount val="51"/>
                <c:pt idx="0">
                  <c:v>86.8</c:v>
                </c:pt>
                <c:pt idx="1">
                  <c:v>105.6</c:v>
                </c:pt>
                <c:pt idx="2">
                  <c:v>96.2</c:v>
                </c:pt>
                <c:pt idx="3">
                  <c:v>87.4</c:v>
                </c:pt>
                <c:pt idx="4">
                  <c:v>113.4</c:v>
                </c:pt>
                <c:pt idx="5">
                  <c:v>103.2</c:v>
                </c:pt>
                <c:pt idx="6">
                  <c:v>108.7</c:v>
                </c:pt>
                <c:pt idx="7">
                  <c:v>100.4</c:v>
                </c:pt>
                <c:pt idx="8">
                  <c:v>117</c:v>
                </c:pt>
                <c:pt idx="9">
                  <c:v>99.5</c:v>
                </c:pt>
                <c:pt idx="10">
                  <c:v>92.6</c:v>
                </c:pt>
                <c:pt idx="11">
                  <c:v>118.8</c:v>
                </c:pt>
                <c:pt idx="12">
                  <c:v>93.4</c:v>
                </c:pt>
                <c:pt idx="13">
                  <c:v>99.7</c:v>
                </c:pt>
                <c:pt idx="14">
                  <c:v>90.7</c:v>
                </c:pt>
                <c:pt idx="15">
                  <c:v>90.3</c:v>
                </c:pt>
                <c:pt idx="16">
                  <c:v>90.4</c:v>
                </c:pt>
                <c:pt idx="17">
                  <c:v>88.6</c:v>
                </c:pt>
                <c:pt idx="18">
                  <c:v>90.6</c:v>
                </c:pt>
                <c:pt idx="19">
                  <c:v>98</c:v>
                </c:pt>
                <c:pt idx="20">
                  <c:v>109.6</c:v>
                </c:pt>
                <c:pt idx="21">
                  <c:v>106.9</c:v>
                </c:pt>
                <c:pt idx="22">
                  <c:v>93.5</c:v>
                </c:pt>
                <c:pt idx="23">
                  <c:v>97.4</c:v>
                </c:pt>
                <c:pt idx="24">
                  <c:v>86.2</c:v>
                </c:pt>
                <c:pt idx="25">
                  <c:v>89.3</c:v>
                </c:pt>
                <c:pt idx="26">
                  <c:v>94.8</c:v>
                </c:pt>
                <c:pt idx="27">
                  <c:v>90.6</c:v>
                </c:pt>
                <c:pt idx="28">
                  <c:v>98</c:v>
                </c:pt>
                <c:pt idx="29">
                  <c:v>105</c:v>
                </c:pt>
                <c:pt idx="30">
                  <c:v>113.4</c:v>
                </c:pt>
                <c:pt idx="31">
                  <c:v>94.4</c:v>
                </c:pt>
                <c:pt idx="32">
                  <c:v>115.3</c:v>
                </c:pt>
                <c:pt idx="33">
                  <c:v>91.2</c:v>
                </c:pt>
                <c:pt idx="34">
                  <c:v>92.3</c:v>
                </c:pt>
                <c:pt idx="35">
                  <c:v>89.2</c:v>
                </c:pt>
                <c:pt idx="36">
                  <c:v>89.9</c:v>
                </c:pt>
                <c:pt idx="37">
                  <c:v>99.2</c:v>
                </c:pt>
                <c:pt idx="38">
                  <c:v>97.9</c:v>
                </c:pt>
                <c:pt idx="39">
                  <c:v>98.7</c:v>
                </c:pt>
                <c:pt idx="40">
                  <c:v>90.3</c:v>
                </c:pt>
                <c:pt idx="41">
                  <c:v>88.2</c:v>
                </c:pt>
                <c:pt idx="42">
                  <c:v>89.9</c:v>
                </c:pt>
                <c:pt idx="43">
                  <c:v>96.8</c:v>
                </c:pt>
                <c:pt idx="44">
                  <c:v>97</c:v>
                </c:pt>
                <c:pt idx="45">
                  <c:v>101.6</c:v>
                </c:pt>
                <c:pt idx="46">
                  <c:v>102.5</c:v>
                </c:pt>
                <c:pt idx="47">
                  <c:v>104.8</c:v>
                </c:pt>
                <c:pt idx="48">
                  <c:v>88.9</c:v>
                </c:pt>
                <c:pt idx="49">
                  <c:v>93.1</c:v>
                </c:pt>
                <c:pt idx="50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312-48BA-BA58-F39A5A05FEC1}"/>
            </c:ext>
          </c:extLst>
        </c:ser>
        <c:ser>
          <c:idx val="1"/>
          <c:order val="1"/>
          <c:tx>
            <c:strRef>
              <c:f>Sheet2!$G$3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312-48BA-BA58-F39A5A05FEC1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100"/>
                      <a:t>物价更高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312-48BA-BA58-F39A5A05FE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Sheet2!$G$5:$G$6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Sheet2!$H$5:$H$6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312-48BA-BA58-F39A5A05FEC1}"/>
            </c:ext>
          </c:extLst>
        </c:ser>
        <c:ser>
          <c:idx val="2"/>
          <c:order val="2"/>
          <c:tx>
            <c:strRef>
              <c:f>Sheet2!$G$8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高收入高物价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312-48BA-BA58-F39A5A05FE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低收入高物价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312-48BA-BA58-F39A5A05FE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低收入低物价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312-48BA-BA58-F39A5A05FE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ysClr val="windowText" lastClr="000000"/>
                        </a:solidFill>
                      </a:rPr>
                      <a:t>高收入低物价</a:t>
                    </a:r>
                    <a:endParaRPr lang="zh-CN" altLang="en-US">
                      <a:solidFill>
                        <a:sysClr val="windowText" lastClr="000000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312-48BA-BA58-F39A5A05FEC1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Sheet2!$G$10:$G$13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Sheet2!$H$10:$H$13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312-48BA-BA58-F39A5A05F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288768"/>
        <c:axId val="480290688"/>
      </c:scatterChart>
      <c:valAx>
        <c:axId val="480288768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1050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050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4322475265640223"/>
              <c:y val="0.905547671358523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latin typeface="ITC Officina Sans Std Book" panose="020B0506040203020204" pitchFamily="34" charset="0"/>
              </a:defRPr>
            </a:pPr>
            <a:endParaRPr lang="zh-CN"/>
          </a:p>
        </c:txPr>
        <c:crossAx val="480290688"/>
        <c:crossesAt val="100"/>
        <c:crossBetween val="midCat"/>
        <c:majorUnit val="0.1"/>
      </c:valAx>
      <c:valAx>
        <c:axId val="480290688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050" b="1"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050" b="1"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latin typeface="ITC Officina Sans Std Book" panose="020B0506040203020204" pitchFamily="34" charset="0"/>
              </a:defRPr>
            </a:pPr>
            <a:endParaRPr lang="zh-CN"/>
          </a:p>
        </c:txPr>
        <c:crossAx val="480288768"/>
        <c:crossesAt val="0"/>
        <c:crossBetween val="midCat"/>
        <c:majorUnit val="10"/>
      </c:valAx>
      <c:spPr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chemeClr val="bg1">
              <a:lumMod val="10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200" b="0">
                <a:solidFill>
                  <a:sysClr val="windowText" lastClr="000000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zh-CN" altLang="en-US" sz="1200" b="1">
                <a:solidFill>
                  <a:sysClr val="windowText" lastClr="000000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美国各州物价与人均收入矩阵</a:t>
            </a:r>
            <a:endParaRPr lang="en-US" altLang="zh-CN" sz="1200"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 sz="1200" b="0">
                <a:solidFill>
                  <a:sysClr val="windowText" lastClr="000000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en-US" altLang="zh-CN" sz="1000" b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思源宋体 CN Light" panose="02020300000000000000" pitchFamily="18" charset="-122"/>
              </a:rPr>
              <a:t>2015</a:t>
            </a:r>
            <a:r>
              <a:rPr lang="zh-CN" altLang="en-US" sz="1000" b="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  <a:ea typeface="思源宋体 CN Light" panose="02020300000000000000" pitchFamily="18" charset="-122"/>
              </a:rPr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888358643240053E-2"/>
          <c:y val="0.14508064989188021"/>
          <c:w val="0.87371956918361682"/>
          <c:h val="0.72014607502526351"/>
        </c:manualLayout>
      </c:layout>
      <c:scatterChart>
        <c:scatterStyle val="lineMarker"/>
        <c:varyColors val="0"/>
        <c:ser>
          <c:idx val="0"/>
          <c:order val="0"/>
          <c:tx>
            <c:v>美国东部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3.8647338094851068E-2"/>
                  <c:y val="2.1164014110231517E-2"/>
                </c:manualLayout>
              </c:layout>
              <c:tx>
                <c:strRef>
                  <c:f>Sheet3!$C$4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{E74CBA64-FC1F-42B1-92A4-BC1E82B32DD3}</c15:txfldGUID>
                      <c15:f>Sheet3!$C$4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295-4ED2-9A95-7ED028D15504}"/>
                </c:ext>
              </c:extLst>
            </c:dLbl>
            <c:dLbl>
              <c:idx val="1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Sheet3!$C$5</c:f>
                  <c:strCache>
                    <c:ptCount val="1"/>
                    <c:pt idx="0">
                      <c:v>AK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{BB9A2CB0-F8FB-428F-8FA0-AE98F04FB60E}</c15:txfldGUID>
                      <c15:f>Sheet3!$C$5</c15:f>
                      <c15:dlblFieldTableCache>
                        <c:ptCount val="1"/>
                        <c:pt idx="0">
                          <c:v>AK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295-4ED2-9A95-7ED028D15504}"/>
                </c:ext>
              </c:extLst>
            </c:dLbl>
            <c:dLbl>
              <c:idx val="2"/>
              <c:layout>
                <c:manualLayout>
                  <c:x val="-4.6698993660340242E-2"/>
                  <c:y val="-1.2698575111919306E-2"/>
                </c:manualLayout>
              </c:layout>
              <c:tx>
                <c:strRef>
                  <c:f>Sheet3!$C$6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{DA67F691-50F1-4E7A-8CDC-A28C6CF646C0}</c15:txfldGUID>
                      <c15:f>Sheet3!$C$6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295-4ED2-9A95-7ED028D15504}"/>
                </c:ext>
              </c:extLst>
            </c:dLbl>
            <c:dLbl>
              <c:idx val="3"/>
              <c:layout>
                <c:manualLayout>
                  <c:x val="-4.8309172618563835E-3"/>
                  <c:y val="-6.349204233069455E-3"/>
                </c:manualLayout>
              </c:layout>
              <c:tx>
                <c:strRef>
                  <c:f>Sheet3!$C$7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{8173806D-5E0C-4292-B4E6-0E6FF6225BA6}</c15:txfldGUID>
                      <c15:f>Sheet3!$C$7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295-4ED2-9A95-7ED028D15504}"/>
                </c:ext>
              </c:extLst>
            </c:dLbl>
            <c:dLbl>
              <c:idx val="4"/>
              <c:layout>
                <c:manualLayout>
                  <c:x val="-4.2339883304819206E-2"/>
                  <c:y val="-2.7513218343300973E-2"/>
                </c:manualLayout>
              </c:layout>
              <c:tx>
                <c:strRef>
                  <c:f>Sheet3!$C$8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{83A26E19-4089-47F4-B684-E42A100F237C}</c15:txfldGUID>
                      <c15:f>Sheet3!$C$8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295-4ED2-9A95-7ED028D15504}"/>
                </c:ext>
              </c:extLst>
            </c:dLbl>
            <c:dLbl>
              <c:idx val="5"/>
              <c:layout>
                <c:manualLayout>
                  <c:x val="-6.441223015808511E-3"/>
                  <c:y val="1.4814809877162062E-2"/>
                </c:manualLayout>
              </c:layout>
              <c:tx>
                <c:strRef>
                  <c:f>Sheet3!$C$9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{FF448F5D-B23C-44B0-9E7F-3E004B03F223}</c15:txfldGUID>
                      <c15:f>Sheet3!$C$9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295-4ED2-9A95-7ED028D15504}"/>
                </c:ext>
              </c:extLst>
            </c:dLbl>
            <c:dLbl>
              <c:idx val="6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Sheet3!$C$10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{E0BA1FD0-F0F6-40E6-B5B9-887B0ED135DC}</c15:txfldGUID>
                      <c15:f>Sheet3!$C$10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295-4ED2-9A95-7ED028D15504}"/>
                </c:ext>
              </c:extLst>
            </c:dLbl>
            <c:dLbl>
              <c:idx val="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Sheet3!$C$11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{C2BBC5D7-DC58-4EB2-B3C2-07CED5415D7C}</c15:txfldGUID>
                      <c15:f>Sheet3!$C$11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295-4ED2-9A95-7ED028D15504}"/>
                </c:ext>
              </c:extLst>
            </c:dLbl>
            <c:dLbl>
              <c:idx val="8"/>
              <c:layout>
                <c:manualLayout>
                  <c:x val="-3.2206115079042555E-3"/>
                  <c:y val="1.269840846613891E-2"/>
                </c:manualLayout>
              </c:layout>
              <c:tx>
                <c:strRef>
                  <c:f>Sheet3!$C$12</c:f>
                  <c:strCache>
                    <c:ptCount val="1"/>
                    <c:pt idx="0">
                      <c:v>IL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{2A41E2E3-1270-494D-A0CF-C55515776956}</c15:txfldGUID>
                      <c15:f>Sheet3!$C$12</c15:f>
                      <c15:dlblFieldTableCache>
                        <c:ptCount val="1"/>
                        <c:pt idx="0">
                          <c:v>IL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295-4ED2-9A95-7ED028D15504}"/>
                </c:ext>
              </c:extLst>
            </c:dLbl>
            <c:dLbl>
              <c:idx val="9"/>
              <c:layout>
                <c:manualLayout>
                  <c:x val="-3.2206115079042558E-2"/>
                  <c:y val="2.539681693227782E-2"/>
                </c:manualLayout>
              </c:layout>
              <c:tx>
                <c:strRef>
                  <c:f>Sheet3!$C$13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{3E2E3153-6693-4267-A951-764AF426F53E}</c15:txfldGUID>
                      <c15:f>Sheet3!$C$13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295-4ED2-9A95-7ED028D15504}"/>
                </c:ext>
              </c:extLst>
            </c:dLbl>
            <c:dLbl>
              <c:idx val="10"/>
              <c:layout>
                <c:manualLayout>
                  <c:x val="-6.4413498115371689E-3"/>
                  <c:y val="-4.2329694678266989E-3"/>
                </c:manualLayout>
              </c:layout>
              <c:tx>
                <c:strRef>
                  <c:f>Sheet3!$C$14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{BF9CA302-6061-413C-B1DA-44F89D339CA2}</c15:txfldGUID>
                      <c15:f>Sheet3!$C$14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295-4ED2-9A95-7ED028D15504}"/>
                </c:ext>
              </c:extLst>
            </c:dLbl>
            <c:dLbl>
              <c:idx val="11"/>
              <c:layout>
                <c:manualLayout>
                  <c:x val="-5.314008988042019E-2"/>
                  <c:y val="-4.2328028220463033E-3"/>
                </c:manualLayout>
              </c:layout>
              <c:tx>
                <c:strRef>
                  <c:f>Sheet3!$C$15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{6DA73E0E-AB51-4BFC-95DC-20F5917F6AB3}</c15:txfldGUID>
                      <c15:f>Sheet3!$C$15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295-4ED2-9A95-7ED028D15504}"/>
                </c:ext>
              </c:extLst>
            </c:dLbl>
            <c:dLbl>
              <c:idx val="12"/>
              <c:layout>
                <c:manualLayout>
                  <c:x val="-6.441223015808511E-3"/>
                  <c:y val="-1.66645780434324E-7"/>
                </c:manualLayout>
              </c:layout>
              <c:tx>
                <c:strRef>
                  <c:f>Sheet3!$C$16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{F58F870C-AEFA-4B2D-BBBE-09FBA450DC21}</c15:txfldGUID>
                      <c15:f>Sheet3!$C$16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295-4ED2-9A95-7ED028D15504}"/>
                </c:ext>
              </c:extLst>
            </c:dLbl>
            <c:dLbl>
              <c:idx val="13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Sheet3!$C$17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{3918EE60-7FE9-4191-BE22-8875EC2F2F14}</c15:txfldGUID>
                      <c15:f>Sheet3!$C$17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295-4ED2-9A95-7ED028D15504}"/>
                </c:ext>
              </c:extLst>
            </c:dLbl>
            <c:dLbl>
              <c:idx val="14"/>
              <c:layout>
                <c:manualLayout>
                  <c:x val="-6.441223015808511E-3"/>
                  <c:y val="0"/>
                </c:manualLayout>
              </c:layout>
              <c:tx>
                <c:strRef>
                  <c:f>Sheet3!$C$18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{B542C72A-2B78-4653-A11F-38FDD6AFA875}</c15:txfldGUID>
                      <c15:f>Sheet3!$C$18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295-4ED2-9A95-7ED028D15504}"/>
                </c:ext>
              </c:extLst>
            </c:dLbl>
            <c:dLbl>
              <c:idx val="15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Sheet3!$C$19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{76098289-33B4-467D-AC4E-FA5D6E2E25DD}</c15:txfldGUID>
                      <c15:f>Sheet3!$C$19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295-4ED2-9A95-7ED028D15504}"/>
                </c:ext>
              </c:extLst>
            </c:dLbl>
            <c:dLbl>
              <c:idx val="1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Sheet3!$C$20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{6CC4A71B-035B-4AB7-9B68-97180801DD1E}</c15:txfldGUID>
                      <c15:f>Sheet3!$C$20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295-4ED2-9A95-7ED028D15504}"/>
                </c:ext>
              </c:extLst>
            </c:dLbl>
            <c:dLbl>
              <c:idx val="17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Sheet3!$C$21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{259416D5-A982-4CEE-B74D-88790612147F}</c15:txfldGUID>
                      <c15:f>Sheet3!$C$21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295-4ED2-9A95-7ED028D15504}"/>
                </c:ext>
              </c:extLst>
            </c:dLbl>
            <c:dLbl>
              <c:idx val="18"/>
              <c:layout>
                <c:manualLayout>
                  <c:x val="-6.4413498115371689E-3"/>
                  <c:y val="0"/>
                </c:manualLayout>
              </c:layout>
              <c:tx>
                <c:strRef>
                  <c:f>Sheet3!$C$22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{4A38A119-7634-4C04-96D6-DF9AAF7317E1}</c15:txfldGUID>
                      <c15:f>Sheet3!$C$22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295-4ED2-9A95-7ED028D15504}"/>
                </c:ext>
              </c:extLst>
            </c:dLbl>
            <c:dLbl>
              <c:idx val="19"/>
              <c:layout>
                <c:manualLayout>
                  <c:x val="-4.6698866864611707E-2"/>
                  <c:y val="2.1164014110231517E-2"/>
                </c:manualLayout>
              </c:layout>
              <c:tx>
                <c:strRef>
                  <c:f>Sheet3!$C$23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{64757EB8-73D6-453F-AEF5-025A1B37D9E0}</c15:txfldGUID>
                      <c15:f>Sheet3!$C$23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295-4ED2-9A95-7ED028D15504}"/>
                </c:ext>
              </c:extLst>
            </c:dLbl>
            <c:dLbl>
              <c:idx val="20"/>
              <c:layout>
                <c:manualLayout>
                  <c:x val="-1.2882446031617022E-2"/>
                  <c:y val="1.693104464240474E-2"/>
                </c:manualLayout>
              </c:layout>
              <c:tx>
                <c:strRef>
                  <c:f>Sheet3!$C$24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{37256691-C437-41CF-A7F5-CE5AA469A47C}</c15:txfldGUID>
                      <c15:f>Sheet3!$C$24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295-4ED2-9A95-7ED028D15504}"/>
                </c:ext>
              </c:extLst>
            </c:dLbl>
            <c:dLbl>
              <c:idx val="21"/>
              <c:layout>
                <c:manualLayout>
                  <c:x val="-2.2544407351058445E-2"/>
                  <c:y val="1.9047612699208287E-2"/>
                </c:manualLayout>
              </c:layout>
              <c:tx>
                <c:strRef>
                  <c:f>Sheet3!$C$25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{925639C1-E262-478A-9024-FF52AFBF8877}</c15:txfldGUID>
                      <c15:f>Sheet3!$C$25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295-4ED2-9A95-7ED028D15504}"/>
                </c:ext>
              </c:extLst>
            </c:dLbl>
            <c:dLbl>
              <c:idx val="22"/>
              <c:layout>
                <c:manualLayout>
                  <c:x val="-4.6698866864611707E-2"/>
                  <c:y val="-4.2328028220463033E-3"/>
                </c:manualLayout>
              </c:layout>
              <c:tx>
                <c:strRef>
                  <c:f>Sheet3!$C$26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{9EA58FC9-030F-4C28-8503-688E7586F8AA}</c15:txfldGUID>
                      <c15:f>Sheet3!$C$26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295-4ED2-9A95-7ED028D15504}"/>
                </c:ext>
              </c:extLst>
            </c:dLbl>
            <c:dLbl>
              <c:idx val="23"/>
              <c:layout>
                <c:manualLayout>
                  <c:x val="-3.220738303632913E-3"/>
                  <c:y val="-6.349204233069455E-3"/>
                </c:manualLayout>
              </c:layout>
              <c:tx>
                <c:strRef>
                  <c:f>Sheet3!$C$27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{B8ACF9D1-AEA4-479A-9E03-08E55AB8CF0B}</c15:txfldGUID>
                      <c15:f>Sheet3!$C$27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295-4ED2-9A95-7ED028D15504}"/>
                </c:ext>
              </c:extLst>
            </c:dLbl>
            <c:dLbl>
              <c:idx val="24"/>
              <c:layout>
                <c:manualLayout>
                  <c:x val="3.2206115079042555E-3"/>
                  <c:y val="3.3862422576370427E-2"/>
                </c:manualLayout>
              </c:layout>
              <c:tx>
                <c:strRef>
                  <c:f>Sheet3!$C$28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{4515358E-9FF5-440C-BA2C-54B6F6473636}</c15:txfldGUID>
                      <c15:f>Sheet3!$C$28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295-4ED2-9A95-7ED028D15504}"/>
                </c:ext>
              </c:extLst>
            </c:dLbl>
            <c:dLbl>
              <c:idx val="25"/>
              <c:layout>
                <c:manualLayout>
                  <c:x val="-4.3478255356707449E-2"/>
                  <c:y val="-1.9047612699208367E-2"/>
                </c:manualLayout>
              </c:layout>
              <c:tx>
                <c:strRef>
                  <c:f>Sheet3!$C$29</c:f>
                  <c:strCache>
                    <c:ptCount val="1"/>
                    <c:pt idx="0">
                      <c:v>VT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{A0E208ED-080D-4B47-8814-A14AC8A1ED29}</c15:txfldGUID>
                      <c15:f>Sheet3!$C$29</c15:f>
                      <c15:dlblFieldTableCache>
                        <c:ptCount val="1"/>
                        <c:pt idx="0">
                          <c:v>VT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295-4ED2-9A95-7ED028D15504}"/>
                </c:ext>
              </c:extLst>
            </c:dLbl>
            <c:dLbl>
              <c:idx val="2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Sheet3!$C$30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{DC20D953-555C-4FBE-8C6E-254205CE63F8}</c15:txfldGUID>
                      <c15:f>Sheet3!$C$30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295-4ED2-9A95-7ED028D15504}"/>
                </c:ext>
              </c:extLst>
            </c:dLbl>
            <c:dLbl>
              <c:idx val="2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Sheet3!$C$31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{6A9ABAF6-6649-4883-A151-6A46B402296D}</c15:txfldGUID>
                      <c15:f>Sheet3!$C$31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295-4ED2-9A95-7ED028D15504}"/>
                </c:ext>
              </c:extLst>
            </c:dLbl>
            <c:dLbl>
              <c:idx val="28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Sheet3!$C$32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{62580132-C46C-47EA-8967-6343DC092B26}</c15:txfldGUID>
                      <c15:f>Sheet3!$C$32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B295-4ED2-9A95-7ED028D15504}"/>
                </c:ext>
              </c:extLst>
            </c:dLbl>
            <c:dLbl>
              <c:idx val="29"/>
              <c:layout>
                <c:manualLayout>
                  <c:x val="-8.0515287697606394E-3"/>
                  <c:y val="7.7600488623382418E-17"/>
                </c:manualLayout>
              </c:layout>
              <c:tx>
                <c:strRef>
                  <c:f>Sheet3!$C$33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10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{2DE0C2A9-3DC0-49A1-AE94-905ADEE8198F}</c15:txfldGUID>
                      <c15:f>Sheet3!$C$33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B295-4ED2-9A95-7ED028D15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Sheet3!$E$4:$E$33</c:f>
              <c:numCache>
                <c:formatCode>0.00%</c:formatCode>
                <c:ptCount val="30"/>
                <c:pt idx="0">
                  <c:v>-9.0114111399841823E-2</c:v>
                </c:pt>
                <c:pt idx="1">
                  <c:v>0.10660942266410575</c:v>
                </c:pt>
                <c:pt idx="2">
                  <c:v>0.29974014235679586</c:v>
                </c:pt>
                <c:pt idx="3">
                  <c:v>-3.0233871878883743E-2</c:v>
                </c:pt>
                <c:pt idx="4">
                  <c:v>0.30929838436334878</c:v>
                </c:pt>
                <c:pt idx="5">
                  <c:v>-5.590328776409445E-2</c:v>
                </c:pt>
                <c:pt idx="6">
                  <c:v>-8.3945316913343129E-2</c:v>
                </c:pt>
                <c:pt idx="7">
                  <c:v>-0.14961021353519377</c:v>
                </c:pt>
                <c:pt idx="8">
                  <c:v>5.4276352954468421E-2</c:v>
                </c:pt>
                <c:pt idx="9">
                  <c:v>-4.6503219975144054E-2</c:v>
                </c:pt>
                <c:pt idx="10">
                  <c:v>-0.10195458140323127</c:v>
                </c:pt>
                <c:pt idx="11">
                  <c:v>-9.6192520619139077E-2</c:v>
                </c:pt>
                <c:pt idx="12">
                  <c:v>6.132640379618122E-2</c:v>
                </c:pt>
                <c:pt idx="13">
                  <c:v>0.2152751101570444</c:v>
                </c:pt>
                <c:pt idx="14">
                  <c:v>-4.7045531578352728E-2</c:v>
                </c:pt>
                <c:pt idx="15">
                  <c:v>-0.16644446955146311</c:v>
                </c:pt>
                <c:pt idx="16">
                  <c:v>7.4002937521184045E-2</c:v>
                </c:pt>
                <c:pt idx="17">
                  <c:v>9.7955033329567287E-2</c:v>
                </c:pt>
                <c:pt idx="18">
                  <c:v>4.9485933792791773E-2</c:v>
                </c:pt>
                <c:pt idx="19">
                  <c:v>-6.1529770647384477E-2</c:v>
                </c:pt>
                <c:pt idx="20">
                  <c:v>1.554626595864874E-2</c:v>
                </c:pt>
                <c:pt idx="21">
                  <c:v>5.1564794938425036E-2</c:v>
                </c:pt>
                <c:pt idx="22">
                  <c:v>4.2119534515873913E-2</c:v>
                </c:pt>
                <c:pt idx="23">
                  <c:v>-0.11178397921138854</c:v>
                </c:pt>
                <c:pt idx="24">
                  <c:v>-3.0572816630889166E-2</c:v>
                </c:pt>
                <c:pt idx="25">
                  <c:v>-5.3327307648853234E-3</c:v>
                </c:pt>
                <c:pt idx="26">
                  <c:v>5.2581629194441308E-2</c:v>
                </c:pt>
                <c:pt idx="27">
                  <c:v>-0.1498813693367981</c:v>
                </c:pt>
                <c:pt idx="28">
                  <c:v>2.0246299853123942E-2</c:v>
                </c:pt>
                <c:pt idx="29">
                  <c:v>0.20917410462094679</c:v>
                </c:pt>
              </c:numCache>
            </c:numRef>
          </c:xVal>
          <c:yVal>
            <c:numRef>
              <c:f>Sheet3!$F$4:$F$33</c:f>
              <c:numCache>
                <c:formatCode>General</c:formatCode>
                <c:ptCount val="30"/>
                <c:pt idx="0">
                  <c:v>86.8</c:v>
                </c:pt>
                <c:pt idx="1">
                  <c:v>105.6</c:v>
                </c:pt>
                <c:pt idx="2">
                  <c:v>108.7</c:v>
                </c:pt>
                <c:pt idx="3">
                  <c:v>100.4</c:v>
                </c:pt>
                <c:pt idx="4">
                  <c:v>117</c:v>
                </c:pt>
                <c:pt idx="5">
                  <c:v>99.5</c:v>
                </c:pt>
                <c:pt idx="6">
                  <c:v>92.6</c:v>
                </c:pt>
                <c:pt idx="7">
                  <c:v>118.8</c:v>
                </c:pt>
                <c:pt idx="8">
                  <c:v>99.7</c:v>
                </c:pt>
                <c:pt idx="9">
                  <c:v>90.7</c:v>
                </c:pt>
                <c:pt idx="10">
                  <c:v>88.6</c:v>
                </c:pt>
                <c:pt idx="11">
                  <c:v>98</c:v>
                </c:pt>
                <c:pt idx="12">
                  <c:v>109.6</c:v>
                </c:pt>
                <c:pt idx="13">
                  <c:v>106.9</c:v>
                </c:pt>
                <c:pt idx="14">
                  <c:v>93.5</c:v>
                </c:pt>
                <c:pt idx="15">
                  <c:v>86.2</c:v>
                </c:pt>
                <c:pt idx="16">
                  <c:v>105</c:v>
                </c:pt>
                <c:pt idx="17">
                  <c:v>113.4</c:v>
                </c:pt>
                <c:pt idx="18">
                  <c:v>115.3</c:v>
                </c:pt>
                <c:pt idx="19">
                  <c:v>91.2</c:v>
                </c:pt>
                <c:pt idx="20">
                  <c:v>89.2</c:v>
                </c:pt>
                <c:pt idx="21">
                  <c:v>97.9</c:v>
                </c:pt>
                <c:pt idx="22">
                  <c:v>98.7</c:v>
                </c:pt>
                <c:pt idx="23">
                  <c:v>90.3</c:v>
                </c:pt>
                <c:pt idx="24">
                  <c:v>89.9</c:v>
                </c:pt>
                <c:pt idx="25">
                  <c:v>101.6</c:v>
                </c:pt>
                <c:pt idx="26">
                  <c:v>102.5</c:v>
                </c:pt>
                <c:pt idx="27">
                  <c:v>88.9</c:v>
                </c:pt>
                <c:pt idx="28">
                  <c:v>93.1</c:v>
                </c:pt>
                <c:pt idx="29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295-4ED2-9A95-7ED028D15504}"/>
            </c:ext>
          </c:extLst>
        </c:ser>
        <c:ser>
          <c:idx val="1"/>
          <c:order val="1"/>
          <c:tx>
            <c:strRef>
              <c:f>Sheet3!$H$3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0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  <a:endParaRPr lang="zh-CN" altLang="en-US" sz="900" b="1">
                      <a:solidFill>
                        <a:sysClr val="windowText" lastClr="000000"/>
                      </a:solidFill>
                      <a:latin typeface="思源宋体 CN Light" panose="02020300000000000000" pitchFamily="18" charset="-122"/>
                      <a:ea typeface="思源宋体 CN Light" panose="02020300000000000000" pitchFamily="18" charset="-122"/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295-4ED2-9A95-7ED028D15504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000"/>
                      <a:t>物价更高</a:t>
                    </a:r>
                    <a:endParaRPr lang="zh-CN" alt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295-4ED2-9A95-7ED028D15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Sheet3!$H$5:$H$6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Sheet3!$I$5:$I$6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295-4ED2-9A95-7ED028D15504}"/>
            </c:ext>
          </c:extLst>
        </c:ser>
        <c:ser>
          <c:idx val="2"/>
          <c:order val="2"/>
          <c:tx>
            <c:strRef>
              <c:f>Sheet3!$H$8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295-4ED2-9A95-7ED028D155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295-4ED2-9A95-7ED028D155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295-4ED2-9A95-7ED028D155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295-4ED2-9A95-7ED028D15504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Sheet3!$H$10:$H$13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Sheet3!$I$10:$I$13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295-4ED2-9A95-7ED028D15504}"/>
            </c:ext>
          </c:extLst>
        </c:ser>
        <c:ser>
          <c:idx val="3"/>
          <c:order val="3"/>
          <c:tx>
            <c:v>美国西部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5152338094217089E-3"/>
                  <c:y val="0"/>
                </c:manualLayout>
              </c:layout>
              <c:tx>
                <c:strRef>
                  <c:f>Sheet3!$C$34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{B8BFD491-B4E9-4CCF-99A9-D0865A40D750}</c15:txfldGUID>
                      <c15:f>Sheet3!$C$34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B295-4ED2-9A95-7ED028D15504}"/>
                </c:ext>
              </c:extLst>
            </c:dLbl>
            <c:dLbl>
              <c:idx val="1"/>
              <c:layout>
                <c:manualLayout>
                  <c:x val="-9.8148769682025478E-3"/>
                  <c:y val="8.4656056440926067E-3"/>
                </c:manualLayout>
              </c:layout>
              <c:tx>
                <c:strRef>
                  <c:f>Sheet3!$C$35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{8C3D0ADF-CDBD-4AE0-A827-3C93B8EFB58F}</c15:txfldGUID>
                      <c15:f>Sheet3!$C$35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B295-4ED2-9A95-7ED028D15504}"/>
                </c:ext>
              </c:extLst>
            </c:dLbl>
            <c:dLbl>
              <c:idx val="2"/>
              <c:layout>
                <c:manualLayout>
                  <c:x val="-4.3494358414246974E-2"/>
                  <c:y val="0"/>
                </c:manualLayout>
              </c:layout>
              <c:tx>
                <c:strRef>
                  <c:f>Sheet3!$C$36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{2CA5E9A0-69FF-4E67-A146-4CD0F0226BB1}</c15:txfldGUID>
                      <c15:f>Sheet3!$C$36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B295-4ED2-9A95-7ED028D15504}"/>
                </c:ext>
              </c:extLst>
            </c:dLbl>
            <c:dLbl>
              <c:idx val="3"/>
              <c:layout>
                <c:manualLayout>
                  <c:x val="-4.4702214525439724E-2"/>
                  <c:y val="0"/>
                </c:manualLayout>
              </c:layout>
              <c:tx>
                <c:strRef>
                  <c:f>Sheet3!$C$37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{832334CD-1696-4F35-B0E2-EEE10C4D2356}</c15:txfldGUID>
                      <c15:f>Sheet3!$C$37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B295-4ED2-9A95-7ED028D15504}"/>
                </c:ext>
              </c:extLst>
            </c:dLbl>
            <c:dLbl>
              <c:idx val="4"/>
              <c:layout>
                <c:manualLayout>
                  <c:x val="-3.9943570828918203E-2"/>
                  <c:y val="0"/>
                </c:manualLayout>
              </c:layout>
              <c:tx>
                <c:strRef>
                  <c:f>Sheet3!$C$38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{3CBF1AC6-CED8-4738-8684-6514D56E3B45}</c15:txfldGUID>
                      <c15:f>Sheet3!$C$38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B295-4ED2-9A95-7ED028D15504}"/>
                </c:ext>
              </c:extLst>
            </c:dLbl>
            <c:dLbl>
              <c:idx val="5"/>
              <c:layout>
                <c:manualLayout>
                  <c:x val="-4.1030717406428871E-2"/>
                  <c:y val="7.7600488623382418E-17"/>
                </c:manualLayout>
              </c:layout>
              <c:tx>
                <c:strRef>
                  <c:f>Sheet3!$C$39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{EEF1FC5D-EA3C-46F2-8FE2-937A9C71ACCA}</c15:txfldGUID>
                      <c15:f>Sheet3!$C$39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B295-4ED2-9A95-7ED028D15504}"/>
                </c:ext>
              </c:extLst>
            </c:dLbl>
            <c:dLbl>
              <c:idx val="6"/>
              <c:layout>
                <c:manualLayout>
                  <c:x val="-4.1561991509504417E-2"/>
                  <c:y val="0"/>
                </c:manualLayout>
              </c:layout>
              <c:tx>
                <c:strRef>
                  <c:f>Sheet3!$C$40</c:f>
                  <c:strCache>
                    <c:ptCount val="1"/>
                    <c:pt idx="0">
                      <c:v>KS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{52447325-A451-413B-9F4C-81059D9F5767}</c15:txfldGUID>
                      <c15:f>Sheet3!$C$40</c15:f>
                      <c15:dlblFieldTableCache>
                        <c:ptCount val="1"/>
                        <c:pt idx="0">
                          <c:v>KS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B295-4ED2-9A95-7ED028D15504}"/>
                </c:ext>
              </c:extLst>
            </c:dLbl>
            <c:dLbl>
              <c:idx val="7"/>
              <c:layout>
                <c:manualLayout>
                  <c:x val="-1.9315680916520101E-2"/>
                  <c:y val="-2.5396816932277744E-2"/>
                </c:manualLayout>
              </c:layout>
              <c:tx>
                <c:strRef>
                  <c:f>Sheet3!$C$41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{274751EF-1671-4FB5-B634-FFD590470066}</c15:txfldGUID>
                      <c15:f>Sheet3!$C$41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B295-4ED2-9A95-7ED028D15504}"/>
                </c:ext>
              </c:extLst>
            </c:dLbl>
            <c:dLbl>
              <c:idx val="8"/>
              <c:layout>
                <c:manualLayout>
                  <c:x val="-2.3357421563211283E-2"/>
                  <c:y val="1.9047612699208367E-2"/>
                </c:manualLayout>
              </c:layout>
              <c:tx>
                <c:strRef>
                  <c:f>Sheet3!$C$42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{2D5B47B9-28B3-4BC9-8B48-1516AB8F6EF9}</c15:txfldGUID>
                      <c15:f>Sheet3!$C$42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B295-4ED2-9A95-7ED028D15504}"/>
                </c:ext>
              </c:extLst>
            </c:dLbl>
            <c:dLbl>
              <c:idx val="9"/>
              <c:layout>
                <c:manualLayout>
                  <c:x val="-5.7415515055027441E-2"/>
                  <c:y val="8.4656056440926067E-3"/>
                </c:manualLayout>
              </c:layout>
              <c:tx>
                <c:strRef>
                  <c:f>Sheet3!$C$43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{D244AF55-75E0-4E7D-B36A-B41408909D84}</c15:txfldGUID>
                      <c15:f>Sheet3!$C$43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B295-4ED2-9A95-7ED028D15504}"/>
                </c:ext>
              </c:extLst>
            </c:dLbl>
            <c:dLbl>
              <c:idx val="10"/>
              <c:layout>
                <c:manualLayout>
                  <c:x val="-4.6827691324927874E-2"/>
                  <c:y val="0"/>
                </c:manualLayout>
              </c:layout>
              <c:tx>
                <c:strRef>
                  <c:f>Sheet3!$C$44</c:f>
                  <c:strCache>
                    <c:ptCount val="1"/>
                    <c:pt idx="0">
                      <c:v>MT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{2416E190-3C2C-4F62-81DF-A28B6CED5BF0}</c15:txfldGUID>
                      <c15:f>Sheet3!$C$44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B295-4ED2-9A95-7ED028D15504}"/>
                </c:ext>
              </c:extLst>
            </c:dLbl>
            <c:dLbl>
              <c:idx val="11"/>
              <c:layout>
                <c:manualLayout>
                  <c:x val="-4.3808304638403309E-2"/>
                  <c:y val="0"/>
                </c:manualLayout>
              </c:layout>
              <c:tx>
                <c:strRef>
                  <c:f>Sheet3!$C$45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{D4E76903-0DE1-4F90-B337-F535AC6429E2}</c15:txfldGUID>
                      <c15:f>Sheet3!$C$45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B295-4ED2-9A95-7ED028D15504}"/>
                </c:ext>
              </c:extLst>
            </c:dLbl>
            <c:dLbl>
              <c:idx val="12"/>
              <c:layout>
                <c:manualLayout>
                  <c:x val="-7.9147161785390364E-3"/>
                  <c:y val="1.0582007055115758E-2"/>
                </c:manualLayout>
              </c:layout>
              <c:tx>
                <c:strRef>
                  <c:f>Sheet3!$C$46</c:f>
                  <c:strCache>
                    <c:ptCount val="1"/>
                    <c:pt idx="0">
                      <c:v>NV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{8B7E5425-CC80-4D63-AB61-3423C9EA31E0}</c15:txfldGUID>
                      <c15:f>Sheet3!$C$46</c15:f>
                      <c15:dlblFieldTableCache>
                        <c:ptCount val="1"/>
                        <c:pt idx="0">
                          <c:v>NV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B295-4ED2-9A95-7ED028D15504}"/>
                </c:ext>
              </c:extLst>
            </c:dLbl>
            <c:dLbl>
              <c:idx val="13"/>
              <c:layout>
                <c:manualLayout>
                  <c:x val="-4.9122313626445327E-2"/>
                  <c:y val="0"/>
                </c:manualLayout>
              </c:layout>
              <c:tx>
                <c:strRef>
                  <c:f>Sheet3!$C$47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{E57336F7-4C94-47D0-BB6D-E233B1A2521D}</c15:txfldGUID>
                      <c15:f>Sheet3!$C$47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B295-4ED2-9A95-7ED028D15504}"/>
                </c:ext>
              </c:extLst>
            </c:dLbl>
            <c:dLbl>
              <c:idx val="14"/>
              <c:layout>
                <c:manualLayout>
                  <c:x val="-4.8864664705812987E-2"/>
                  <c:y val="7.7600488623382418E-17"/>
                </c:manualLayout>
              </c:layout>
              <c:tx>
                <c:strRef>
                  <c:f>Sheet3!$C$48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{1693DB8D-170E-414E-9B34-DEFD45CF0070}</c15:txfldGUID>
                      <c15:f>Sheet3!$C$48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B295-4ED2-9A95-7ED028D15504}"/>
                </c:ext>
              </c:extLst>
            </c:dLbl>
            <c:dLbl>
              <c:idx val="15"/>
              <c:layout>
                <c:manualLayout>
                  <c:x val="-2.6787499614857914E-2"/>
                  <c:y val="-2.5396816932277744E-2"/>
                </c:manualLayout>
              </c:layout>
              <c:tx>
                <c:strRef>
                  <c:f>Sheet3!$C$49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{960E4E46-4D26-4A58-B453-AA7ABCAF8936}</c15:txfldGUID>
                      <c15:f>Sheet3!$C$49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B295-4ED2-9A95-7ED028D15504}"/>
                </c:ext>
              </c:extLst>
            </c:dLbl>
            <c:dLbl>
              <c:idx val="16"/>
              <c:layout>
                <c:manualLayout>
                  <c:x val="-4.4838900320932643E-2"/>
                  <c:y val="0"/>
                </c:manualLayout>
              </c:layout>
              <c:tx>
                <c:strRef>
                  <c:f>Sheet3!$C$50</c:f>
                  <c:strCache>
                    <c:ptCount val="1"/>
                    <c:pt idx="0">
                      <c:v>OR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{28E0376A-DEE4-4C27-8D70-3AB0C105B7B8}</c15:txfldGUID>
                      <c15:f>Sheet3!$C$50</c15:f>
                      <c15:dlblFieldTableCache>
                        <c:ptCount val="1"/>
                        <c:pt idx="0">
                          <c:v>OR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B295-4ED2-9A95-7ED028D15504}"/>
                </c:ext>
              </c:extLst>
            </c:dLbl>
            <c:dLbl>
              <c:idx val="17"/>
              <c:layout>
                <c:manualLayout>
                  <c:x val="-4.294685445790325E-2"/>
                  <c:y val="0"/>
                </c:manualLayout>
              </c:layout>
              <c:tx>
                <c:strRef>
                  <c:f>Sheet3!$C$51</c:f>
                  <c:strCache>
                    <c:ptCount val="1"/>
                    <c:pt idx="0">
                      <c:v>SD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{9CB7388B-DE36-4926-B35E-C4E99EC288CF}</c15:txfldGUID>
                      <c15:f>Sheet3!$C$51</c15:f>
                      <c15:dlblFieldTableCache>
                        <c:ptCount val="1"/>
                        <c:pt idx="0">
                          <c:v>SD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B295-4ED2-9A95-7ED028D15504}"/>
                </c:ext>
              </c:extLst>
            </c:dLbl>
            <c:dLbl>
              <c:idx val="18"/>
              <c:layout>
                <c:manualLayout>
                  <c:x val="-4.1956579817087017E-2"/>
                  <c:y val="0"/>
                </c:manualLayout>
              </c:layout>
              <c:tx>
                <c:strRef>
                  <c:f>Sheet3!$C$52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{01F63AC6-FC80-47F8-AD43-43BA105FC51A}</c15:txfldGUID>
                      <c15:f>Sheet3!$C$52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B295-4ED2-9A95-7ED028D15504}"/>
                </c:ext>
              </c:extLst>
            </c:dLbl>
            <c:dLbl>
              <c:idx val="19"/>
              <c:layout>
                <c:manualLayout>
                  <c:x val="-4.3735904277339775E-2"/>
                  <c:y val="0"/>
                </c:manualLayout>
              </c:layout>
              <c:tx>
                <c:strRef>
                  <c:f>Sheet3!$C$53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{1EFD161E-EFF7-402F-AE23-5D1A251F03D4}</c15:txfldGUID>
                      <c15:f>Sheet3!$C$53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B295-4ED2-9A95-7ED028D15504}"/>
                </c:ext>
              </c:extLst>
            </c:dLbl>
            <c:dLbl>
              <c:idx val="20"/>
              <c:layout>
                <c:manualLayout>
                  <c:x val="-4.8655451753527867E-2"/>
                  <c:y val="0"/>
                </c:manualLayout>
              </c:layout>
              <c:tx>
                <c:strRef>
                  <c:f>Sheet3!$C$54</c:f>
                  <c:strCache>
                    <c:ptCount val="1"/>
                    <c:pt idx="0">
                      <c:v>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{2E47C5A4-CA98-446F-BF14-7F9D83E02DAD}</c15:txfldGUID>
                      <c15:f>Sheet3!$C$54</c15:f>
                      <c15:dlblFieldTableCache>
                        <c:ptCount val="1"/>
                        <c:pt idx="0">
                          <c:v>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B295-4ED2-9A95-7ED028D15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Sheet3!$E$34:$E$54</c:f>
              <c:numCache>
                <c:formatCode>0.00%</c:formatCode>
                <c:ptCount val="21"/>
                <c:pt idx="0">
                  <c:v>-0.14825443452717207</c:v>
                </c:pt>
                <c:pt idx="1">
                  <c:v>-7.675968817082815E-2</c:v>
                </c:pt>
                <c:pt idx="2">
                  <c:v>-1.8528979776296463E-3</c:v>
                </c:pt>
                <c:pt idx="3">
                  <c:v>3.9792113885436672E-2</c:v>
                </c:pt>
                <c:pt idx="4">
                  <c:v>-0.13966783414303469</c:v>
                </c:pt>
                <c:pt idx="5">
                  <c:v>4.7542650547960683E-2</c:v>
                </c:pt>
                <c:pt idx="6">
                  <c:v>7.4387074906790196E-2</c:v>
                </c:pt>
                <c:pt idx="7">
                  <c:v>-2.2099197830753588E-2</c:v>
                </c:pt>
                <c:pt idx="8">
                  <c:v>8.5798214890972765E-2</c:v>
                </c:pt>
                <c:pt idx="9">
                  <c:v>-1.8325612925093208E-2</c:v>
                </c:pt>
                <c:pt idx="10">
                  <c:v>-7.3889955937182242E-2</c:v>
                </c:pt>
                <c:pt idx="11">
                  <c:v>0.13103604112529657</c:v>
                </c:pt>
                <c:pt idx="12">
                  <c:v>-9.0679019319850868E-2</c:v>
                </c:pt>
                <c:pt idx="13">
                  <c:v>-0.16813919331149021</c:v>
                </c:pt>
                <c:pt idx="14">
                  <c:v>0.24272963506948367</c:v>
                </c:pt>
                <c:pt idx="15">
                  <c:v>1.1343351033781493E-2</c:v>
                </c:pt>
                <c:pt idx="16">
                  <c:v>-7.6239972884419846E-2</c:v>
                </c:pt>
                <c:pt idx="17">
                  <c:v>0.11768161789628291</c:v>
                </c:pt>
                <c:pt idx="18">
                  <c:v>3.1634843520506159E-4</c:v>
                </c:pt>
                <c:pt idx="19">
                  <c:v>-0.15410688057846572</c:v>
                </c:pt>
                <c:pt idx="20">
                  <c:v>4.6887357360750198E-2</c:v>
                </c:pt>
              </c:numCache>
            </c:numRef>
          </c:xVal>
          <c:yVal>
            <c:numRef>
              <c:f>Sheet3!$F$34:$F$54</c:f>
              <c:numCache>
                <c:formatCode>General</c:formatCode>
                <c:ptCount val="21"/>
                <c:pt idx="0">
                  <c:v>96.2</c:v>
                </c:pt>
                <c:pt idx="1">
                  <c:v>87.4</c:v>
                </c:pt>
                <c:pt idx="2">
                  <c:v>113.4</c:v>
                </c:pt>
                <c:pt idx="3">
                  <c:v>103.2</c:v>
                </c:pt>
                <c:pt idx="4">
                  <c:v>93.4</c:v>
                </c:pt>
                <c:pt idx="5">
                  <c:v>90.3</c:v>
                </c:pt>
                <c:pt idx="6">
                  <c:v>90.4</c:v>
                </c:pt>
                <c:pt idx="7">
                  <c:v>90.6</c:v>
                </c:pt>
                <c:pt idx="8">
                  <c:v>97.4</c:v>
                </c:pt>
                <c:pt idx="9">
                  <c:v>89.3</c:v>
                </c:pt>
                <c:pt idx="10">
                  <c:v>94.8</c:v>
                </c:pt>
                <c:pt idx="11">
                  <c:v>90.6</c:v>
                </c:pt>
                <c:pt idx="12">
                  <c:v>98</c:v>
                </c:pt>
                <c:pt idx="13">
                  <c:v>94.4</c:v>
                </c:pt>
                <c:pt idx="14">
                  <c:v>92.3</c:v>
                </c:pt>
                <c:pt idx="15">
                  <c:v>89.9</c:v>
                </c:pt>
                <c:pt idx="16">
                  <c:v>99.2</c:v>
                </c:pt>
                <c:pt idx="17">
                  <c:v>88.2</c:v>
                </c:pt>
                <c:pt idx="18">
                  <c:v>96.8</c:v>
                </c:pt>
                <c:pt idx="19">
                  <c:v>97</c:v>
                </c:pt>
                <c:pt idx="20">
                  <c:v>104.8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B295-4ED2-9A95-7ED028D15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89920"/>
        <c:axId val="493091840"/>
      </c:scatterChart>
      <c:valAx>
        <c:axId val="493089920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4322475265640223"/>
              <c:y val="0.905547671358523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493091840"/>
        <c:crossesAt val="100"/>
        <c:crossBetween val="midCat"/>
        <c:majorUnit val="0.1"/>
      </c:valAx>
      <c:valAx>
        <c:axId val="493091840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493089920"/>
        <c:crossesAt val="0"/>
        <c:crossBetween val="midCat"/>
        <c:majorUnit val="10"/>
      </c:valAx>
      <c:spPr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7023929270299463"/>
          <c:y val="0.10551327566944943"/>
          <c:w val="0.19211949330905279"/>
          <c:h val="3.5305741680376063E-2"/>
        </c:manualLayout>
      </c:layout>
      <c:overlay val="0"/>
      <c:txPr>
        <a:bodyPr/>
        <a:lstStyle/>
        <a:p>
          <a:pPr>
            <a:defRPr>
              <a:latin typeface="思源宋体 CN Light" panose="02020300000000000000" pitchFamily="18" charset="-122"/>
              <a:ea typeface="思源宋体 CN Light" panose="02020300000000000000" pitchFamily="18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zh-CN" sz="1400"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美国各州物价与人均收入矩阵</a:t>
            </a:r>
            <a:endParaRPr lang="en-US" sz="1400"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/>
            </a:pPr>
            <a:r>
              <a:rPr lang="en-US" sz="120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</a:rPr>
              <a:t>2015</a:t>
            </a:r>
            <a:r>
              <a:rPr lang="zh-CN" sz="1200">
                <a:solidFill>
                  <a:schemeClr val="tx1">
                    <a:lumMod val="75000"/>
                    <a:lumOff val="25000"/>
                  </a:schemeClr>
                </a:solidFill>
                <a:latin typeface="ITC Officina Sans Std Book" panose="020B0506040203020204" pitchFamily="34" charset="0"/>
              </a:rPr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725080208493205E-2"/>
          <c:y val="0.14286058532038598"/>
          <c:w val="0.87533176096377396"/>
          <c:h val="0.72236599515137268"/>
        </c:manualLayout>
      </c:layout>
      <c:barChart>
        <c:barDir val="col"/>
        <c:grouping val="stacked"/>
        <c:varyColors val="0"/>
        <c:ser>
          <c:idx val="5"/>
          <c:order val="4"/>
          <c:tx>
            <c:strRef>
              <c:f>Sheet4!$L$3</c:f>
              <c:strCache>
                <c:ptCount val="1"/>
                <c:pt idx="0">
                  <c:v>下柱形</c:v>
                </c:pt>
              </c:strCache>
            </c:strRef>
          </c:tx>
          <c:spPr>
            <a:solidFill>
              <a:srgbClr val="068594">
                <a:alpha val="20000"/>
              </a:srgbClr>
            </a:solidFill>
            <a:ln w="28575">
              <a:noFill/>
            </a:ln>
          </c:spPr>
          <c:invertIfNegative val="0"/>
          <c:val>
            <c:numRef>
              <c:f>Sheet4!$L$4:$L$54</c:f>
              <c:numCache>
                <c:formatCode>General</c:formatCode>
                <c:ptCount val="51"/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E-4323-BCDB-7102A55B52F9}"/>
            </c:ext>
          </c:extLst>
        </c:ser>
        <c:ser>
          <c:idx val="6"/>
          <c:order val="5"/>
          <c:tx>
            <c:strRef>
              <c:f>Sheet4!$M$3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 w="28575">
              <a:noFill/>
            </a:ln>
          </c:spPr>
          <c:invertIfNegative val="0"/>
          <c:val>
            <c:numRef>
              <c:f>Sheet4!$M$4:$M$54</c:f>
              <c:numCache>
                <c:formatCode>General</c:formatCode>
                <c:ptCount val="5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E-4323-BCDB-7102A55B52F9}"/>
            </c:ext>
          </c:extLst>
        </c:ser>
        <c:ser>
          <c:idx val="4"/>
          <c:order val="6"/>
          <c:tx>
            <c:strRef>
              <c:f>Sheet4!$K$3</c:f>
              <c:strCache>
                <c:ptCount val="1"/>
                <c:pt idx="0">
                  <c:v>上柱形</c:v>
                </c:pt>
              </c:strCache>
            </c:strRef>
          </c:tx>
          <c:spPr>
            <a:solidFill>
              <a:srgbClr val="FD9651">
                <a:alpha val="20000"/>
              </a:srgbClr>
            </a:solidFill>
            <a:ln w="28575">
              <a:noFill/>
            </a:ln>
          </c:spPr>
          <c:invertIfNegative val="0"/>
          <c:val>
            <c:numRef>
              <c:f>Sheet4!$K$4:$K$54</c:f>
              <c:numCache>
                <c:formatCode>General</c:formatCode>
                <c:ptCount val="5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E-4323-BCDB-7102A55B5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06238464"/>
        <c:axId val="506186368"/>
      </c:barChart>
      <c:scatterChart>
        <c:scatterStyle val="lineMarker"/>
        <c:varyColors val="0"/>
        <c:ser>
          <c:idx val="0"/>
          <c:order val="0"/>
          <c:tx>
            <c:v>美国东部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3.8647338094851068E-2"/>
                  <c:y val="2.1164014110231517E-2"/>
                </c:manualLayout>
              </c:layout>
              <c:tx>
                <c:strRef>
                  <c:f>Sheet3!$C$4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{184991B1-1684-43CC-BD96-2FAA0C1E6796}</c15:txfldGUID>
                      <c15:f>Sheet3!$C$4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A1E-4323-BCDB-7102A55B52F9}"/>
                </c:ext>
              </c:extLst>
            </c:dLbl>
            <c:dLbl>
              <c:idx val="1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Sheet3!$C$5</c:f>
                  <c:strCache>
                    <c:ptCount val="1"/>
                    <c:pt idx="0">
                      <c:v>AK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{511CD430-D3A7-4CF9-9AA9-7F61AC34E6AA}</c15:txfldGUID>
                      <c15:f>Sheet3!$C$5</c15:f>
                      <c15:dlblFieldTableCache>
                        <c:ptCount val="1"/>
                        <c:pt idx="0">
                          <c:v>AK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A1E-4323-BCDB-7102A55B52F9}"/>
                </c:ext>
              </c:extLst>
            </c:dLbl>
            <c:dLbl>
              <c:idx val="2"/>
              <c:layout>
                <c:manualLayout>
                  <c:x val="-4.6698993660340242E-2"/>
                  <c:y val="-1.2698575111919306E-2"/>
                </c:manualLayout>
              </c:layout>
              <c:tx>
                <c:strRef>
                  <c:f>Sheet3!$C$6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{4030754B-4172-45DD-8669-399B8ED99C49}</c15:txfldGUID>
                      <c15:f>Sheet3!$C$6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A1E-4323-BCDB-7102A55B52F9}"/>
                </c:ext>
              </c:extLst>
            </c:dLbl>
            <c:dLbl>
              <c:idx val="3"/>
              <c:layout>
                <c:manualLayout>
                  <c:x val="-4.8309172618563835E-3"/>
                  <c:y val="-6.349204233069455E-3"/>
                </c:manualLayout>
              </c:layout>
              <c:tx>
                <c:strRef>
                  <c:f>Sheet3!$C$7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{AB342BCF-1DCB-480C-B22A-53EAE7B9BB3E}</c15:txfldGUID>
                      <c15:f>Sheet3!$C$7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A1E-4323-BCDB-7102A55B52F9}"/>
                </c:ext>
              </c:extLst>
            </c:dLbl>
            <c:dLbl>
              <c:idx val="4"/>
              <c:layout>
                <c:manualLayout>
                  <c:x val="-4.2339883304819206E-2"/>
                  <c:y val="-2.7513218343300973E-2"/>
                </c:manualLayout>
              </c:layout>
              <c:tx>
                <c:strRef>
                  <c:f>Sheet3!$C$8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{A4220BCD-B78C-49B0-B7BD-AB8FBD40BBDA}</c15:txfldGUID>
                      <c15:f>Sheet3!$C$8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A1E-4323-BCDB-7102A55B52F9}"/>
                </c:ext>
              </c:extLst>
            </c:dLbl>
            <c:dLbl>
              <c:idx val="5"/>
              <c:layout>
                <c:manualLayout>
                  <c:x val="-6.441223015808511E-3"/>
                  <c:y val="1.4814809877162062E-2"/>
                </c:manualLayout>
              </c:layout>
              <c:tx>
                <c:strRef>
                  <c:f>Sheet3!$C$9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{E62E352F-7263-459C-8C2C-A940AAC050E5}</c15:txfldGUID>
                      <c15:f>Sheet3!$C$9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A1E-4323-BCDB-7102A55B52F9}"/>
                </c:ext>
              </c:extLst>
            </c:dLbl>
            <c:dLbl>
              <c:idx val="6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Sheet3!$C$10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{C5C99DE8-B99B-456A-8527-1FBC4D1C3337}</c15:txfldGUID>
                      <c15:f>Sheet3!$C$10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A1E-4323-BCDB-7102A55B52F9}"/>
                </c:ext>
              </c:extLst>
            </c:dLbl>
            <c:dLbl>
              <c:idx val="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Sheet3!$C$11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{18FCEB44-0780-41A4-A758-6FBDADEDAE43}</c15:txfldGUID>
                      <c15:f>Sheet3!$C$11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A1E-4323-BCDB-7102A55B52F9}"/>
                </c:ext>
              </c:extLst>
            </c:dLbl>
            <c:dLbl>
              <c:idx val="8"/>
              <c:layout>
                <c:manualLayout>
                  <c:x val="-3.2206115079042555E-3"/>
                  <c:y val="1.269840846613891E-2"/>
                </c:manualLayout>
              </c:layout>
              <c:tx>
                <c:strRef>
                  <c:f>Sheet3!$C$12</c:f>
                  <c:strCache>
                    <c:ptCount val="1"/>
                    <c:pt idx="0">
                      <c:v>IL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{1C1BD482-DAB4-46BE-9CD4-2BDB0EBED8E8}</c15:txfldGUID>
                      <c15:f>Sheet3!$C$12</c15:f>
                      <c15:dlblFieldTableCache>
                        <c:ptCount val="1"/>
                        <c:pt idx="0">
                          <c:v>IL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A1E-4323-BCDB-7102A55B52F9}"/>
                </c:ext>
              </c:extLst>
            </c:dLbl>
            <c:dLbl>
              <c:idx val="9"/>
              <c:layout>
                <c:manualLayout>
                  <c:x val="-3.2206115079042558E-2"/>
                  <c:y val="2.539681693227782E-2"/>
                </c:manualLayout>
              </c:layout>
              <c:tx>
                <c:strRef>
                  <c:f>Sheet3!$C$13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{B3246206-6C71-4604-8939-99A03698386D}</c15:txfldGUID>
                      <c15:f>Sheet3!$C$13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A1E-4323-BCDB-7102A55B52F9}"/>
                </c:ext>
              </c:extLst>
            </c:dLbl>
            <c:dLbl>
              <c:idx val="10"/>
              <c:layout>
                <c:manualLayout>
                  <c:x val="-6.4413498115371689E-3"/>
                  <c:y val="-4.2329694678266989E-3"/>
                </c:manualLayout>
              </c:layout>
              <c:tx>
                <c:strRef>
                  <c:f>Sheet3!$C$14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{43157423-D4A1-48F4-9C8D-1811ACDE3ED9}</c15:txfldGUID>
                      <c15:f>Sheet3!$C$14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A1E-4323-BCDB-7102A55B52F9}"/>
                </c:ext>
              </c:extLst>
            </c:dLbl>
            <c:dLbl>
              <c:idx val="11"/>
              <c:layout>
                <c:manualLayout>
                  <c:x val="-5.314008988042019E-2"/>
                  <c:y val="-4.2328028220463033E-3"/>
                </c:manualLayout>
              </c:layout>
              <c:tx>
                <c:strRef>
                  <c:f>Sheet3!$C$15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{6D148AA2-AC27-4C6B-8D3E-55557DACF72A}</c15:txfldGUID>
                      <c15:f>Sheet3!$C$15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A1E-4323-BCDB-7102A55B52F9}"/>
                </c:ext>
              </c:extLst>
            </c:dLbl>
            <c:dLbl>
              <c:idx val="12"/>
              <c:layout>
                <c:manualLayout>
                  <c:x val="-6.441223015808511E-3"/>
                  <c:y val="-1.66645780434324E-7"/>
                </c:manualLayout>
              </c:layout>
              <c:tx>
                <c:strRef>
                  <c:f>Sheet3!$C$16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{835B9398-58A8-4BA1-9A00-62E2D82FA3D9}</c15:txfldGUID>
                      <c15:f>Sheet3!$C$16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7A1E-4323-BCDB-7102A55B52F9}"/>
                </c:ext>
              </c:extLst>
            </c:dLbl>
            <c:dLbl>
              <c:idx val="13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Sheet3!$C$17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{5C5930CB-716F-4A60-B600-3C23FFF48DA5}</c15:txfldGUID>
                      <c15:f>Sheet3!$C$17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7A1E-4323-BCDB-7102A55B52F9}"/>
                </c:ext>
              </c:extLst>
            </c:dLbl>
            <c:dLbl>
              <c:idx val="14"/>
              <c:layout>
                <c:manualLayout>
                  <c:x val="-6.441223015808511E-3"/>
                  <c:y val="0"/>
                </c:manualLayout>
              </c:layout>
              <c:tx>
                <c:strRef>
                  <c:f>Sheet3!$C$18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{577E5FB8-6AD1-48E7-8E2B-1D8BD456E34D}</c15:txfldGUID>
                      <c15:f>Sheet3!$C$18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7A1E-4323-BCDB-7102A55B52F9}"/>
                </c:ext>
              </c:extLst>
            </c:dLbl>
            <c:dLbl>
              <c:idx val="15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Sheet3!$C$19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{615C67C0-07C7-45A8-9F61-AAD53CAE351E}</c15:txfldGUID>
                      <c15:f>Sheet3!$C$19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7A1E-4323-BCDB-7102A55B52F9}"/>
                </c:ext>
              </c:extLst>
            </c:dLbl>
            <c:dLbl>
              <c:idx val="1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Sheet3!$C$20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{146632E1-DC24-4846-A587-3EC6DF379FC8}</c15:txfldGUID>
                      <c15:f>Sheet3!$C$20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7A1E-4323-BCDB-7102A55B52F9}"/>
                </c:ext>
              </c:extLst>
            </c:dLbl>
            <c:dLbl>
              <c:idx val="17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Sheet3!$C$21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{CDB8AE76-BFF4-4DE5-8410-FB8FE5F1618C}</c15:txfldGUID>
                      <c15:f>Sheet3!$C$21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7A1E-4323-BCDB-7102A55B52F9}"/>
                </c:ext>
              </c:extLst>
            </c:dLbl>
            <c:dLbl>
              <c:idx val="18"/>
              <c:layout>
                <c:manualLayout>
                  <c:x val="-6.4413498115371689E-3"/>
                  <c:y val="0"/>
                </c:manualLayout>
              </c:layout>
              <c:tx>
                <c:strRef>
                  <c:f>Sheet3!$C$22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{E0B27CC5-A1B0-4E3D-B9E6-03A9B053124A}</c15:txfldGUID>
                      <c15:f>Sheet3!$C$22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7A1E-4323-BCDB-7102A55B52F9}"/>
                </c:ext>
              </c:extLst>
            </c:dLbl>
            <c:dLbl>
              <c:idx val="19"/>
              <c:layout>
                <c:manualLayout>
                  <c:x val="-4.6698866864611707E-2"/>
                  <c:y val="2.1164014110231517E-2"/>
                </c:manualLayout>
              </c:layout>
              <c:tx>
                <c:strRef>
                  <c:f>Sheet3!$C$23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{40AE22E1-AAC0-41F7-9475-92F5CD4F9D76}</c15:txfldGUID>
                      <c15:f>Sheet3!$C$23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7A1E-4323-BCDB-7102A55B52F9}"/>
                </c:ext>
              </c:extLst>
            </c:dLbl>
            <c:dLbl>
              <c:idx val="20"/>
              <c:layout>
                <c:manualLayout>
                  <c:x val="-1.2882446031617022E-2"/>
                  <c:y val="1.693104464240474E-2"/>
                </c:manualLayout>
              </c:layout>
              <c:tx>
                <c:strRef>
                  <c:f>Sheet3!$C$24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{6345DA4E-1EB9-4A3A-9F14-8E9DD48FCBF3}</c15:txfldGUID>
                      <c15:f>Sheet3!$C$24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7A1E-4323-BCDB-7102A55B52F9}"/>
                </c:ext>
              </c:extLst>
            </c:dLbl>
            <c:dLbl>
              <c:idx val="21"/>
              <c:layout>
                <c:manualLayout>
                  <c:x val="-2.2544407351058445E-2"/>
                  <c:y val="1.9047612699208287E-2"/>
                </c:manualLayout>
              </c:layout>
              <c:tx>
                <c:strRef>
                  <c:f>Sheet3!$C$25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{96422B93-1DD5-4054-BCBA-49ECF2AD3518}</c15:txfldGUID>
                      <c15:f>Sheet3!$C$25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7A1E-4323-BCDB-7102A55B52F9}"/>
                </c:ext>
              </c:extLst>
            </c:dLbl>
            <c:dLbl>
              <c:idx val="22"/>
              <c:layout>
                <c:manualLayout>
                  <c:x val="-4.6698866864611707E-2"/>
                  <c:y val="-4.2328028220463033E-3"/>
                </c:manualLayout>
              </c:layout>
              <c:tx>
                <c:strRef>
                  <c:f>Sheet3!$C$26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{BB9BEDB6-D8AF-42FB-9F19-5B800248A455}</c15:txfldGUID>
                      <c15:f>Sheet3!$C$26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7A1E-4323-BCDB-7102A55B52F9}"/>
                </c:ext>
              </c:extLst>
            </c:dLbl>
            <c:dLbl>
              <c:idx val="23"/>
              <c:layout>
                <c:manualLayout>
                  <c:x val="-3.220738303632913E-3"/>
                  <c:y val="-6.349204233069455E-3"/>
                </c:manualLayout>
              </c:layout>
              <c:tx>
                <c:strRef>
                  <c:f>Sheet3!$C$27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{BF7710A3-0A86-46F3-9199-01DF5C81E5AD}</c15:txfldGUID>
                      <c15:f>Sheet3!$C$27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7A1E-4323-BCDB-7102A55B52F9}"/>
                </c:ext>
              </c:extLst>
            </c:dLbl>
            <c:dLbl>
              <c:idx val="24"/>
              <c:layout>
                <c:manualLayout>
                  <c:x val="3.2206115079042555E-3"/>
                  <c:y val="3.3862422576370427E-2"/>
                </c:manualLayout>
              </c:layout>
              <c:tx>
                <c:strRef>
                  <c:f>Sheet3!$C$28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{71267095-AC80-44B2-91DD-399728C95AFF}</c15:txfldGUID>
                      <c15:f>Sheet3!$C$28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7A1E-4323-BCDB-7102A55B52F9}"/>
                </c:ext>
              </c:extLst>
            </c:dLbl>
            <c:dLbl>
              <c:idx val="25"/>
              <c:layout>
                <c:manualLayout>
                  <c:x val="-4.3478255356707449E-2"/>
                  <c:y val="-1.9047612699208367E-2"/>
                </c:manualLayout>
              </c:layout>
              <c:tx>
                <c:strRef>
                  <c:f>Sheet3!$C$29</c:f>
                  <c:strCache>
                    <c:ptCount val="1"/>
                    <c:pt idx="0">
                      <c:v>VT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{397C09DC-8A13-4F6E-B58E-9EDC54812F25}</c15:txfldGUID>
                      <c15:f>Sheet3!$C$29</c15:f>
                      <c15:dlblFieldTableCache>
                        <c:ptCount val="1"/>
                        <c:pt idx="0">
                          <c:v>VT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7A1E-4323-BCDB-7102A55B52F9}"/>
                </c:ext>
              </c:extLst>
            </c:dLbl>
            <c:dLbl>
              <c:idx val="2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Sheet3!$C$30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{988DC437-FBC1-4AB2-8EA2-610E64BF56F2}</c15:txfldGUID>
                      <c15:f>Sheet3!$C$30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7A1E-4323-BCDB-7102A55B52F9}"/>
                </c:ext>
              </c:extLst>
            </c:dLbl>
            <c:dLbl>
              <c:idx val="2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Sheet3!$C$31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{7EC00882-98D8-46F0-AC25-0094FA5F01FA}</c15:txfldGUID>
                      <c15:f>Sheet3!$C$31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7A1E-4323-BCDB-7102A55B52F9}"/>
                </c:ext>
              </c:extLst>
            </c:dLbl>
            <c:dLbl>
              <c:idx val="28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Sheet3!$C$32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{5981C373-C44F-41CE-A759-72838CCAD116}</c15:txfldGUID>
                      <c15:f>Sheet3!$C$32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7A1E-4323-BCDB-7102A55B52F9}"/>
                </c:ext>
              </c:extLst>
            </c:dLbl>
            <c:dLbl>
              <c:idx val="29"/>
              <c:layout>
                <c:manualLayout>
                  <c:x val="-8.0515287697606394E-3"/>
                  <c:y val="7.7600488623382418E-17"/>
                </c:manualLayout>
              </c:layout>
              <c:tx>
                <c:strRef>
                  <c:f>Sheet3!$C$33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{8686657B-1A5E-4475-9210-FADA8D2572C8}</c15:txfldGUID>
                      <c15:f>Sheet3!$C$33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7A1E-4323-BCDB-7102A55B52F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Sheet4!$E$4:$E$33</c:f>
              <c:numCache>
                <c:formatCode>0.00%</c:formatCode>
                <c:ptCount val="30"/>
                <c:pt idx="0">
                  <c:v>-9.0114111399841823E-2</c:v>
                </c:pt>
                <c:pt idx="1">
                  <c:v>0.10660942266410575</c:v>
                </c:pt>
                <c:pt idx="2">
                  <c:v>0.29974014235679586</c:v>
                </c:pt>
                <c:pt idx="3">
                  <c:v>-3.0233871878883743E-2</c:v>
                </c:pt>
                <c:pt idx="4">
                  <c:v>0.30929838436334878</c:v>
                </c:pt>
                <c:pt idx="5">
                  <c:v>-5.590328776409445E-2</c:v>
                </c:pt>
                <c:pt idx="6">
                  <c:v>-8.3945316913343129E-2</c:v>
                </c:pt>
                <c:pt idx="7">
                  <c:v>-0.14961021353519377</c:v>
                </c:pt>
                <c:pt idx="8">
                  <c:v>5.4276352954468421E-2</c:v>
                </c:pt>
                <c:pt idx="9">
                  <c:v>-4.6503219975144054E-2</c:v>
                </c:pt>
                <c:pt idx="10">
                  <c:v>-0.10195458140323127</c:v>
                </c:pt>
                <c:pt idx="11">
                  <c:v>-9.6192520619139077E-2</c:v>
                </c:pt>
                <c:pt idx="12">
                  <c:v>6.132640379618122E-2</c:v>
                </c:pt>
                <c:pt idx="13">
                  <c:v>0.2152751101570444</c:v>
                </c:pt>
                <c:pt idx="14">
                  <c:v>-4.7045531578352728E-2</c:v>
                </c:pt>
                <c:pt idx="15">
                  <c:v>-0.16644446955146311</c:v>
                </c:pt>
                <c:pt idx="16">
                  <c:v>7.4002937521184045E-2</c:v>
                </c:pt>
                <c:pt idx="17">
                  <c:v>9.7955033329567287E-2</c:v>
                </c:pt>
                <c:pt idx="18">
                  <c:v>4.9485933792791773E-2</c:v>
                </c:pt>
                <c:pt idx="19">
                  <c:v>-6.1529770647384477E-2</c:v>
                </c:pt>
                <c:pt idx="20">
                  <c:v>1.554626595864874E-2</c:v>
                </c:pt>
                <c:pt idx="21">
                  <c:v>5.1564794938425036E-2</c:v>
                </c:pt>
                <c:pt idx="22">
                  <c:v>4.2119534515873913E-2</c:v>
                </c:pt>
                <c:pt idx="23">
                  <c:v>-0.11178397921138854</c:v>
                </c:pt>
                <c:pt idx="24">
                  <c:v>-3.0572816630889166E-2</c:v>
                </c:pt>
                <c:pt idx="25">
                  <c:v>-5.3327307648853234E-3</c:v>
                </c:pt>
                <c:pt idx="26">
                  <c:v>5.2581629194441308E-2</c:v>
                </c:pt>
                <c:pt idx="27">
                  <c:v>-0.1498813693367981</c:v>
                </c:pt>
                <c:pt idx="28">
                  <c:v>2.0246299853123942E-2</c:v>
                </c:pt>
                <c:pt idx="29">
                  <c:v>0.20917410462094679</c:v>
                </c:pt>
              </c:numCache>
            </c:numRef>
          </c:xVal>
          <c:yVal>
            <c:numRef>
              <c:f>Sheet4!$F$4:$F$33</c:f>
              <c:numCache>
                <c:formatCode>General</c:formatCode>
                <c:ptCount val="30"/>
                <c:pt idx="0">
                  <c:v>86.8</c:v>
                </c:pt>
                <c:pt idx="1">
                  <c:v>105.6</c:v>
                </c:pt>
                <c:pt idx="2">
                  <c:v>108.7</c:v>
                </c:pt>
                <c:pt idx="3">
                  <c:v>100.4</c:v>
                </c:pt>
                <c:pt idx="4">
                  <c:v>117</c:v>
                </c:pt>
                <c:pt idx="5">
                  <c:v>99.5</c:v>
                </c:pt>
                <c:pt idx="6">
                  <c:v>92.6</c:v>
                </c:pt>
                <c:pt idx="7">
                  <c:v>118.8</c:v>
                </c:pt>
                <c:pt idx="8">
                  <c:v>99.7</c:v>
                </c:pt>
                <c:pt idx="9">
                  <c:v>90.7</c:v>
                </c:pt>
                <c:pt idx="10">
                  <c:v>88.6</c:v>
                </c:pt>
                <c:pt idx="11">
                  <c:v>98</c:v>
                </c:pt>
                <c:pt idx="12">
                  <c:v>109.6</c:v>
                </c:pt>
                <c:pt idx="13">
                  <c:v>106.9</c:v>
                </c:pt>
                <c:pt idx="14">
                  <c:v>93.5</c:v>
                </c:pt>
                <c:pt idx="15">
                  <c:v>86.2</c:v>
                </c:pt>
                <c:pt idx="16">
                  <c:v>105</c:v>
                </c:pt>
                <c:pt idx="17">
                  <c:v>113.4</c:v>
                </c:pt>
                <c:pt idx="18">
                  <c:v>115.3</c:v>
                </c:pt>
                <c:pt idx="19">
                  <c:v>91.2</c:v>
                </c:pt>
                <c:pt idx="20">
                  <c:v>89.2</c:v>
                </c:pt>
                <c:pt idx="21">
                  <c:v>97.9</c:v>
                </c:pt>
                <c:pt idx="22">
                  <c:v>98.7</c:v>
                </c:pt>
                <c:pt idx="23">
                  <c:v>90.3</c:v>
                </c:pt>
                <c:pt idx="24">
                  <c:v>89.9</c:v>
                </c:pt>
                <c:pt idx="25">
                  <c:v>101.6</c:v>
                </c:pt>
                <c:pt idx="26">
                  <c:v>102.5</c:v>
                </c:pt>
                <c:pt idx="27">
                  <c:v>88.9</c:v>
                </c:pt>
                <c:pt idx="28">
                  <c:v>93.1</c:v>
                </c:pt>
                <c:pt idx="29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A1E-4323-BCDB-7102A55B52F9}"/>
            </c:ext>
          </c:extLst>
        </c:ser>
        <c:ser>
          <c:idx val="1"/>
          <c:order val="1"/>
          <c:tx>
            <c:strRef>
              <c:f>Sheet4!$H$3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pPr>
                      <a:defRPr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defRPr>
                    </a:pPr>
                    <a:r>
                      <a:rPr lang="zh-CN" altLang="en-US"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A1E-4323-BCDB-7102A55B52F9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pPr>
                      <a:defRPr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defRPr>
                    </a:pPr>
                    <a:r>
                      <a:rPr lang="zh-CN" altLang="en-US" sz="1100"/>
                      <a:t>物价更高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A1E-4323-BCDB-7102A55B5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Sheet4!$H$5:$H$6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Sheet4!$I$5:$I$6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A1E-4323-BCDB-7102A55B52F9}"/>
            </c:ext>
          </c:extLst>
        </c:ser>
        <c:ser>
          <c:idx val="2"/>
          <c:order val="2"/>
          <c:tx>
            <c:strRef>
              <c:f>Sheet4!$H$8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A1E-4323-BCDB-7102A55B52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A1E-4323-BCDB-7102A55B52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A1E-4323-BCDB-7102A55B52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A1E-4323-BCDB-7102A55B52F9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Sheet4!$H$10:$H$13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Sheet4!$I$10:$I$13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A1E-4323-BCDB-7102A55B52F9}"/>
            </c:ext>
          </c:extLst>
        </c:ser>
        <c:ser>
          <c:idx val="3"/>
          <c:order val="3"/>
          <c:tx>
            <c:v>美国西部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5152338094217089E-3"/>
                  <c:y val="0"/>
                </c:manualLayout>
              </c:layout>
              <c:tx>
                <c:strRef>
                  <c:f>Sheet3!$C$34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{0A17FAF3-191F-4C9F-867D-43AF3F6725AB}</c15:txfldGUID>
                      <c15:f>Sheet3!$C$34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7A1E-4323-BCDB-7102A55B52F9}"/>
                </c:ext>
              </c:extLst>
            </c:dLbl>
            <c:dLbl>
              <c:idx val="1"/>
              <c:layout>
                <c:manualLayout>
                  <c:x val="-9.8148769682025478E-3"/>
                  <c:y val="8.4656056440926067E-3"/>
                </c:manualLayout>
              </c:layout>
              <c:tx>
                <c:strRef>
                  <c:f>Sheet3!$C$35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{A33C1DD9-D20F-4C34-99B1-70897E49928A}</c15:txfldGUID>
                      <c15:f>Sheet3!$C$35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7A1E-4323-BCDB-7102A55B52F9}"/>
                </c:ext>
              </c:extLst>
            </c:dLbl>
            <c:dLbl>
              <c:idx val="2"/>
              <c:layout>
                <c:manualLayout>
                  <c:x val="-4.3494358414246974E-2"/>
                  <c:y val="0"/>
                </c:manualLayout>
              </c:layout>
              <c:tx>
                <c:strRef>
                  <c:f>Sheet3!$C$36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{7001FD89-C9FC-4960-A60A-61FC510A468B}</c15:txfldGUID>
                      <c15:f>Sheet3!$C$36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7A1E-4323-BCDB-7102A55B52F9}"/>
                </c:ext>
              </c:extLst>
            </c:dLbl>
            <c:dLbl>
              <c:idx val="3"/>
              <c:layout>
                <c:manualLayout>
                  <c:x val="-4.4702214525439724E-2"/>
                  <c:y val="0"/>
                </c:manualLayout>
              </c:layout>
              <c:tx>
                <c:strRef>
                  <c:f>Sheet3!$C$37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{F007B846-0A91-4D65-B109-3CC1A2D5456F}</c15:txfldGUID>
                      <c15:f>Sheet3!$C$37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7A1E-4323-BCDB-7102A55B52F9}"/>
                </c:ext>
              </c:extLst>
            </c:dLbl>
            <c:dLbl>
              <c:idx val="4"/>
              <c:layout>
                <c:manualLayout>
                  <c:x val="-3.9943570828918203E-2"/>
                  <c:y val="0"/>
                </c:manualLayout>
              </c:layout>
              <c:tx>
                <c:strRef>
                  <c:f>Sheet3!$C$38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{108EE64D-2E2C-458A-B495-B0F0326D8FD3}</c15:txfldGUID>
                      <c15:f>Sheet3!$C$38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7A1E-4323-BCDB-7102A55B52F9}"/>
                </c:ext>
              </c:extLst>
            </c:dLbl>
            <c:dLbl>
              <c:idx val="5"/>
              <c:layout>
                <c:manualLayout>
                  <c:x val="-4.1030717406428871E-2"/>
                  <c:y val="7.7600488623382418E-17"/>
                </c:manualLayout>
              </c:layout>
              <c:tx>
                <c:strRef>
                  <c:f>Sheet3!$C$39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{D7AC23D1-4B78-45FB-93E5-D604ECEE9D7F}</c15:txfldGUID>
                      <c15:f>Sheet3!$C$39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7A1E-4323-BCDB-7102A55B52F9}"/>
                </c:ext>
              </c:extLst>
            </c:dLbl>
            <c:dLbl>
              <c:idx val="6"/>
              <c:layout>
                <c:manualLayout>
                  <c:x val="-4.1561991509504417E-2"/>
                  <c:y val="0"/>
                </c:manualLayout>
              </c:layout>
              <c:tx>
                <c:strRef>
                  <c:f>Sheet3!$C$40</c:f>
                  <c:strCache>
                    <c:ptCount val="1"/>
                    <c:pt idx="0">
                      <c:v>KS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{6B786012-6DC7-4BCE-9A5F-F62A835BF400}</c15:txfldGUID>
                      <c15:f>Sheet3!$C$40</c15:f>
                      <c15:dlblFieldTableCache>
                        <c:ptCount val="1"/>
                        <c:pt idx="0">
                          <c:v>KS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7A1E-4323-BCDB-7102A55B52F9}"/>
                </c:ext>
              </c:extLst>
            </c:dLbl>
            <c:dLbl>
              <c:idx val="7"/>
              <c:layout>
                <c:manualLayout>
                  <c:x val="-1.9315680916520101E-2"/>
                  <c:y val="-2.5396816932277744E-2"/>
                </c:manualLayout>
              </c:layout>
              <c:tx>
                <c:strRef>
                  <c:f>Sheet3!$C$41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{656CC667-843A-4073-A0EE-E99546C279F6}</c15:txfldGUID>
                      <c15:f>Sheet3!$C$41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7A1E-4323-BCDB-7102A55B52F9}"/>
                </c:ext>
              </c:extLst>
            </c:dLbl>
            <c:dLbl>
              <c:idx val="8"/>
              <c:layout>
                <c:manualLayout>
                  <c:x val="-2.3357421563211283E-2"/>
                  <c:y val="1.9047612699208367E-2"/>
                </c:manualLayout>
              </c:layout>
              <c:tx>
                <c:strRef>
                  <c:f>Sheet3!$C$42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{36977EAF-5EA4-46EA-AC3F-4045C5DAB072}</c15:txfldGUID>
                      <c15:f>Sheet3!$C$42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7A1E-4323-BCDB-7102A55B52F9}"/>
                </c:ext>
              </c:extLst>
            </c:dLbl>
            <c:dLbl>
              <c:idx val="9"/>
              <c:layout>
                <c:manualLayout>
                  <c:x val="-5.7415515055027441E-2"/>
                  <c:y val="8.4656056440926067E-3"/>
                </c:manualLayout>
              </c:layout>
              <c:tx>
                <c:strRef>
                  <c:f>Sheet3!$C$43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{C963EA6F-B27A-428C-AA71-DC29205CA0CC}</c15:txfldGUID>
                      <c15:f>Sheet3!$C$43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7A1E-4323-BCDB-7102A55B52F9}"/>
                </c:ext>
              </c:extLst>
            </c:dLbl>
            <c:dLbl>
              <c:idx val="10"/>
              <c:layout>
                <c:manualLayout>
                  <c:x val="-4.6827691324927874E-2"/>
                  <c:y val="0"/>
                </c:manualLayout>
              </c:layout>
              <c:tx>
                <c:strRef>
                  <c:f>Sheet3!$C$44</c:f>
                  <c:strCache>
                    <c:ptCount val="1"/>
                    <c:pt idx="0">
                      <c:v>MT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{305ED9A7-BE9F-4EFB-B6C5-EDCEF0DED8EF}</c15:txfldGUID>
                      <c15:f>Sheet3!$C$44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7A1E-4323-BCDB-7102A55B52F9}"/>
                </c:ext>
              </c:extLst>
            </c:dLbl>
            <c:dLbl>
              <c:idx val="11"/>
              <c:layout>
                <c:manualLayout>
                  <c:x val="-4.3808304638403309E-2"/>
                  <c:y val="0"/>
                </c:manualLayout>
              </c:layout>
              <c:tx>
                <c:strRef>
                  <c:f>Sheet3!$C$45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{1A577BF0-68D1-47DE-9EDD-9D043F0A2BF2}</c15:txfldGUID>
                      <c15:f>Sheet3!$C$45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7A1E-4323-BCDB-7102A55B52F9}"/>
                </c:ext>
              </c:extLst>
            </c:dLbl>
            <c:dLbl>
              <c:idx val="12"/>
              <c:layout>
                <c:manualLayout>
                  <c:x val="-7.9147161785390364E-3"/>
                  <c:y val="1.0582007055115758E-2"/>
                </c:manualLayout>
              </c:layout>
              <c:tx>
                <c:strRef>
                  <c:f>Sheet3!$C$46</c:f>
                  <c:strCache>
                    <c:ptCount val="1"/>
                    <c:pt idx="0">
                      <c:v>NV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{202C8E3D-05C0-43AC-B5DD-C9BDB6B75355}</c15:txfldGUID>
                      <c15:f>Sheet3!$C$46</c15:f>
                      <c15:dlblFieldTableCache>
                        <c:ptCount val="1"/>
                        <c:pt idx="0">
                          <c:v>NV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7A1E-4323-BCDB-7102A55B52F9}"/>
                </c:ext>
              </c:extLst>
            </c:dLbl>
            <c:dLbl>
              <c:idx val="13"/>
              <c:layout>
                <c:manualLayout>
                  <c:x val="-4.9122313626445327E-2"/>
                  <c:y val="0"/>
                </c:manualLayout>
              </c:layout>
              <c:tx>
                <c:strRef>
                  <c:f>Sheet3!$C$47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{81F01841-40B5-4664-9C9E-CF98F4DFA762}</c15:txfldGUID>
                      <c15:f>Sheet3!$C$47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7A1E-4323-BCDB-7102A55B52F9}"/>
                </c:ext>
              </c:extLst>
            </c:dLbl>
            <c:dLbl>
              <c:idx val="14"/>
              <c:layout>
                <c:manualLayout>
                  <c:x val="-4.8864664705812987E-2"/>
                  <c:y val="7.7600488623382418E-17"/>
                </c:manualLayout>
              </c:layout>
              <c:tx>
                <c:strRef>
                  <c:f>Sheet3!$C$48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{700334C5-F42D-4BE9-92E5-EA1DE6170626}</c15:txfldGUID>
                      <c15:f>Sheet3!$C$48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7A1E-4323-BCDB-7102A55B52F9}"/>
                </c:ext>
              </c:extLst>
            </c:dLbl>
            <c:dLbl>
              <c:idx val="15"/>
              <c:layout>
                <c:manualLayout>
                  <c:x val="-2.6787499614857914E-2"/>
                  <c:y val="-2.5396816932277744E-2"/>
                </c:manualLayout>
              </c:layout>
              <c:tx>
                <c:strRef>
                  <c:f>Sheet3!$C$49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{9CA5610D-D9DC-4C9A-9255-22ABBFB6CD38}</c15:txfldGUID>
                      <c15:f>Sheet3!$C$49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7A1E-4323-BCDB-7102A55B52F9}"/>
                </c:ext>
              </c:extLst>
            </c:dLbl>
            <c:dLbl>
              <c:idx val="16"/>
              <c:layout>
                <c:manualLayout>
                  <c:x val="-4.4838900320932643E-2"/>
                  <c:y val="0"/>
                </c:manualLayout>
              </c:layout>
              <c:tx>
                <c:strRef>
                  <c:f>Sheet3!$C$50</c:f>
                  <c:strCache>
                    <c:ptCount val="1"/>
                    <c:pt idx="0">
                      <c:v>OR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{05E8B5DB-7195-4BEB-A350-B7264E6FDE5C}</c15:txfldGUID>
                      <c15:f>Sheet3!$C$50</c15:f>
                      <c15:dlblFieldTableCache>
                        <c:ptCount val="1"/>
                        <c:pt idx="0">
                          <c:v>OR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7A1E-4323-BCDB-7102A55B52F9}"/>
                </c:ext>
              </c:extLst>
            </c:dLbl>
            <c:dLbl>
              <c:idx val="17"/>
              <c:layout>
                <c:manualLayout>
                  <c:x val="-4.294685445790325E-2"/>
                  <c:y val="0"/>
                </c:manualLayout>
              </c:layout>
              <c:tx>
                <c:strRef>
                  <c:f>Sheet3!$C$51</c:f>
                  <c:strCache>
                    <c:ptCount val="1"/>
                    <c:pt idx="0">
                      <c:v>SD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{1DF4B9DD-CDC6-4DC9-BE76-BFC5752A3425}</c15:txfldGUID>
                      <c15:f>Sheet3!$C$51</c15:f>
                      <c15:dlblFieldTableCache>
                        <c:ptCount val="1"/>
                        <c:pt idx="0">
                          <c:v>SD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7A1E-4323-BCDB-7102A55B52F9}"/>
                </c:ext>
              </c:extLst>
            </c:dLbl>
            <c:dLbl>
              <c:idx val="18"/>
              <c:layout>
                <c:manualLayout>
                  <c:x val="-4.1956579817087017E-2"/>
                  <c:y val="0"/>
                </c:manualLayout>
              </c:layout>
              <c:tx>
                <c:strRef>
                  <c:f>Sheet3!$C$52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{B81010D9-B1B8-4661-BFAE-06587AE81B06}</c15:txfldGUID>
                      <c15:f>Sheet3!$C$52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7A1E-4323-BCDB-7102A55B52F9}"/>
                </c:ext>
              </c:extLst>
            </c:dLbl>
            <c:dLbl>
              <c:idx val="19"/>
              <c:layout>
                <c:manualLayout>
                  <c:x val="-4.3735904277339775E-2"/>
                  <c:y val="0"/>
                </c:manualLayout>
              </c:layout>
              <c:tx>
                <c:strRef>
                  <c:f>Sheet3!$C$53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{E0646C2C-E10D-4EA2-BC37-0BED7AE376D6}</c15:txfldGUID>
                      <c15:f>Sheet3!$C$53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7A1E-4323-BCDB-7102A55B52F9}"/>
                </c:ext>
              </c:extLst>
            </c:dLbl>
            <c:dLbl>
              <c:idx val="20"/>
              <c:layout>
                <c:manualLayout>
                  <c:x val="-4.8655451753527867E-2"/>
                  <c:y val="0"/>
                </c:manualLayout>
              </c:layout>
              <c:tx>
                <c:strRef>
                  <c:f>Sheet3!$C$54</c:f>
                  <c:strCache>
                    <c:ptCount val="1"/>
                    <c:pt idx="0">
                      <c:v>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{DE750A95-116D-40F5-BDEE-B8F7B655DC00}</c15:txfldGUID>
                      <c15:f>Sheet3!$C$54</c15:f>
                      <c15:dlblFieldTableCache>
                        <c:ptCount val="1"/>
                        <c:pt idx="0">
                          <c:v>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7A1E-4323-BCDB-7102A55B52F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Sheet4!$E$34:$E$54</c:f>
              <c:numCache>
                <c:formatCode>0.00%</c:formatCode>
                <c:ptCount val="21"/>
                <c:pt idx="0">
                  <c:v>-0.14825443452717207</c:v>
                </c:pt>
                <c:pt idx="1">
                  <c:v>-7.675968817082815E-2</c:v>
                </c:pt>
                <c:pt idx="2">
                  <c:v>-1.8528979776296463E-3</c:v>
                </c:pt>
                <c:pt idx="3">
                  <c:v>3.9792113885436672E-2</c:v>
                </c:pt>
                <c:pt idx="4">
                  <c:v>-0.13966783414303469</c:v>
                </c:pt>
                <c:pt idx="5">
                  <c:v>4.7542650547960683E-2</c:v>
                </c:pt>
                <c:pt idx="6">
                  <c:v>7.4387074906790196E-2</c:v>
                </c:pt>
                <c:pt idx="7">
                  <c:v>-2.2099197830753588E-2</c:v>
                </c:pt>
                <c:pt idx="8">
                  <c:v>8.5798214890972765E-2</c:v>
                </c:pt>
                <c:pt idx="9">
                  <c:v>-1.8325612925093208E-2</c:v>
                </c:pt>
                <c:pt idx="10">
                  <c:v>-7.3889955937182242E-2</c:v>
                </c:pt>
                <c:pt idx="11">
                  <c:v>0.13103604112529657</c:v>
                </c:pt>
                <c:pt idx="12">
                  <c:v>-9.0679019319850868E-2</c:v>
                </c:pt>
                <c:pt idx="13">
                  <c:v>-0.16813919331149021</c:v>
                </c:pt>
                <c:pt idx="14">
                  <c:v>0.24272963506948367</c:v>
                </c:pt>
                <c:pt idx="15">
                  <c:v>1.1343351033781493E-2</c:v>
                </c:pt>
                <c:pt idx="16">
                  <c:v>-7.6239972884419846E-2</c:v>
                </c:pt>
                <c:pt idx="17">
                  <c:v>0.11768161789628291</c:v>
                </c:pt>
                <c:pt idx="18">
                  <c:v>3.1634843520506159E-4</c:v>
                </c:pt>
                <c:pt idx="19">
                  <c:v>-0.15410688057846572</c:v>
                </c:pt>
                <c:pt idx="20">
                  <c:v>4.6887357360750198E-2</c:v>
                </c:pt>
              </c:numCache>
            </c:numRef>
          </c:xVal>
          <c:yVal>
            <c:numRef>
              <c:f>Sheet4!$F$34:$F$54</c:f>
              <c:numCache>
                <c:formatCode>General</c:formatCode>
                <c:ptCount val="21"/>
                <c:pt idx="0">
                  <c:v>96.2</c:v>
                </c:pt>
                <c:pt idx="1">
                  <c:v>87.4</c:v>
                </c:pt>
                <c:pt idx="2">
                  <c:v>113.4</c:v>
                </c:pt>
                <c:pt idx="3">
                  <c:v>103.2</c:v>
                </c:pt>
                <c:pt idx="4">
                  <c:v>93.4</c:v>
                </c:pt>
                <c:pt idx="5">
                  <c:v>90.3</c:v>
                </c:pt>
                <c:pt idx="6">
                  <c:v>90.4</c:v>
                </c:pt>
                <c:pt idx="7">
                  <c:v>90.6</c:v>
                </c:pt>
                <c:pt idx="8">
                  <c:v>97.4</c:v>
                </c:pt>
                <c:pt idx="9">
                  <c:v>89.3</c:v>
                </c:pt>
                <c:pt idx="10">
                  <c:v>94.8</c:v>
                </c:pt>
                <c:pt idx="11">
                  <c:v>90.6</c:v>
                </c:pt>
                <c:pt idx="12">
                  <c:v>98</c:v>
                </c:pt>
                <c:pt idx="13">
                  <c:v>94.4</c:v>
                </c:pt>
                <c:pt idx="14">
                  <c:v>92.3</c:v>
                </c:pt>
                <c:pt idx="15">
                  <c:v>89.9</c:v>
                </c:pt>
                <c:pt idx="16">
                  <c:v>99.2</c:v>
                </c:pt>
                <c:pt idx="17">
                  <c:v>88.2</c:v>
                </c:pt>
                <c:pt idx="18">
                  <c:v>96.8</c:v>
                </c:pt>
                <c:pt idx="19">
                  <c:v>97</c:v>
                </c:pt>
                <c:pt idx="20">
                  <c:v>104.8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7A1E-4323-BCDB-7102A55B5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11712"/>
        <c:axId val="506222080"/>
      </c:scatterChart>
      <c:valAx>
        <c:axId val="506211712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4322475265640223"/>
              <c:y val="0.905547671358523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506222080"/>
        <c:crossesAt val="100"/>
        <c:crossBetween val="midCat"/>
        <c:majorUnit val="0.1"/>
      </c:valAx>
      <c:valAx>
        <c:axId val="506222080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506211712"/>
        <c:crossesAt val="0"/>
        <c:crossBetween val="midCat"/>
        <c:majorUnit val="10"/>
      </c:valAx>
      <c:valAx>
        <c:axId val="506186368"/>
        <c:scaling>
          <c:orientation val="minMax"/>
          <c:max val="40"/>
        </c:scaling>
        <c:delete val="0"/>
        <c:axPos val="r"/>
        <c:numFmt formatCode="General" sourceLinked="1"/>
        <c:majorTickMark val="none"/>
        <c:minorTickMark val="none"/>
        <c:tickLblPos val="none"/>
        <c:crossAx val="506238464"/>
        <c:crosses val="max"/>
        <c:crossBetween val="between"/>
      </c:valAx>
      <c:catAx>
        <c:axId val="506238464"/>
        <c:scaling>
          <c:orientation val="minMax"/>
        </c:scaling>
        <c:delete val="1"/>
        <c:axPos val="b"/>
        <c:majorTickMark val="out"/>
        <c:minorTickMark val="none"/>
        <c:tickLblPos val="nextTo"/>
        <c:crossAx val="50618636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85000"/>
            </a:schemeClr>
          </a:solidFill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507016061248535"/>
          <c:y val="0.10540969984507276"/>
          <c:w val="0.19234918943498666"/>
          <c:h val="3.4729700245054208E-2"/>
        </c:manualLayout>
      </c:layout>
      <c:overlay val="0"/>
      <c:txPr>
        <a:bodyPr/>
        <a:lstStyle/>
        <a:p>
          <a:pPr>
            <a:defRPr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ysClr val="windowText" lastClr="000000"/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zh-CN" sz="1400"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美国各州物价与人均收入矩阵</a:t>
            </a:r>
            <a:endParaRPr lang="en-US" sz="1400"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/>
            </a:pPr>
            <a:r>
              <a:rPr lang="en-US" sz="1200">
                <a:latin typeface="ITC Officina Sans Std Book" panose="020B0506040203020204" pitchFamily="34" charset="0"/>
              </a:rPr>
              <a:t>2015</a:t>
            </a:r>
            <a:r>
              <a:rPr lang="zh-CN" sz="1200">
                <a:latin typeface="ITC Officina Sans Std Book" panose="020B0506040203020204" pitchFamily="34" charset="0"/>
              </a:rPr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112849189244569E-2"/>
          <c:y val="0.13661504158140203"/>
          <c:w val="0.88661737809851437"/>
          <c:h val="0.72861168066935611"/>
        </c:manualLayout>
      </c:layout>
      <c:scatterChart>
        <c:scatterStyle val="lineMarker"/>
        <c:varyColors val="0"/>
        <c:ser>
          <c:idx val="0"/>
          <c:order val="0"/>
          <c:tx>
            <c:v>美国东部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68594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3.8647338094851068E-2"/>
                  <c:y val="2.1164014110231517E-2"/>
                </c:manualLayout>
              </c:layout>
              <c:tx>
                <c:strRef>
                  <c:f>Sheet3!$C$4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{71F2FE42-AFAD-4D04-A286-64D563813522}</c15:txfldGUID>
                      <c15:f>Sheet3!$C$4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F62E-4C40-89C5-F37F362C3B78}"/>
                </c:ext>
              </c:extLst>
            </c:dLbl>
            <c:dLbl>
              <c:idx val="1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Sheet3!$C$5</c:f>
                  <c:strCache>
                    <c:ptCount val="1"/>
                    <c:pt idx="0">
                      <c:v>AK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{1916FA5E-3E99-4FF0-8A01-A7BC1BF00531}</c15:txfldGUID>
                      <c15:f>Sheet3!$C$5</c15:f>
                      <c15:dlblFieldTableCache>
                        <c:ptCount val="1"/>
                        <c:pt idx="0">
                          <c:v>AK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F62E-4C40-89C5-F37F362C3B78}"/>
                </c:ext>
              </c:extLst>
            </c:dLbl>
            <c:dLbl>
              <c:idx val="2"/>
              <c:layout>
                <c:manualLayout>
                  <c:x val="-4.6698993660340242E-2"/>
                  <c:y val="-1.2698575111919306E-2"/>
                </c:manualLayout>
              </c:layout>
              <c:tx>
                <c:strRef>
                  <c:f>Sheet3!$C$6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{EB1F0864-9900-4A08-AB50-B09E92A2F60D}</c15:txfldGUID>
                      <c15:f>Sheet3!$C$6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62E-4C40-89C5-F37F362C3B78}"/>
                </c:ext>
              </c:extLst>
            </c:dLbl>
            <c:dLbl>
              <c:idx val="3"/>
              <c:layout>
                <c:manualLayout>
                  <c:x val="-4.8309172618563835E-3"/>
                  <c:y val="-6.349204233069455E-3"/>
                </c:manualLayout>
              </c:layout>
              <c:tx>
                <c:strRef>
                  <c:f>Sheet3!$C$7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{7F536AD6-991D-4FF3-AF6E-FC74A981C5E4}</c15:txfldGUID>
                      <c15:f>Sheet3!$C$7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62E-4C40-89C5-F37F362C3B78}"/>
                </c:ext>
              </c:extLst>
            </c:dLbl>
            <c:dLbl>
              <c:idx val="4"/>
              <c:layout>
                <c:manualLayout>
                  <c:x val="-4.2339883304819206E-2"/>
                  <c:y val="-2.7513218343300973E-2"/>
                </c:manualLayout>
              </c:layout>
              <c:tx>
                <c:strRef>
                  <c:f>Sheet3!$C$8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{5C9F74B5-E4D5-42DF-8272-1DC16AF5FA50}</c15:txfldGUID>
                      <c15:f>Sheet3!$C$8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62E-4C40-89C5-F37F362C3B78}"/>
                </c:ext>
              </c:extLst>
            </c:dLbl>
            <c:dLbl>
              <c:idx val="5"/>
              <c:layout>
                <c:manualLayout>
                  <c:x val="-6.441223015808511E-3"/>
                  <c:y val="1.4814809877162062E-2"/>
                </c:manualLayout>
              </c:layout>
              <c:tx>
                <c:strRef>
                  <c:f>Sheet3!$C$9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{6438A055-09A4-4A0C-8CBF-C34C432FEC30}</c15:txfldGUID>
                      <c15:f>Sheet3!$C$9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62E-4C40-89C5-F37F362C3B78}"/>
                </c:ext>
              </c:extLst>
            </c:dLbl>
            <c:dLbl>
              <c:idx val="6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Sheet3!$C$10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{C7E79B3B-B7B3-45DE-B484-1119E787F252}</c15:txfldGUID>
                      <c15:f>Sheet3!$C$10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62E-4C40-89C5-F37F362C3B78}"/>
                </c:ext>
              </c:extLst>
            </c:dLbl>
            <c:dLbl>
              <c:idx val="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Sheet3!$C$11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{15B378E2-D003-4621-A5D4-0940D8F220E7}</c15:txfldGUID>
                      <c15:f>Sheet3!$C$11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62E-4C40-89C5-F37F362C3B78}"/>
                </c:ext>
              </c:extLst>
            </c:dLbl>
            <c:dLbl>
              <c:idx val="8"/>
              <c:layout>
                <c:manualLayout>
                  <c:x val="-3.2206115079042555E-3"/>
                  <c:y val="1.269840846613891E-2"/>
                </c:manualLayout>
              </c:layout>
              <c:tx>
                <c:strRef>
                  <c:f>Sheet3!$C$12</c:f>
                  <c:strCache>
                    <c:ptCount val="1"/>
                    <c:pt idx="0">
                      <c:v>IL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{A4CA36EC-5D1C-434E-8650-35748673BFDF}</c15:txfldGUID>
                      <c15:f>Sheet3!$C$12</c15:f>
                      <c15:dlblFieldTableCache>
                        <c:ptCount val="1"/>
                        <c:pt idx="0">
                          <c:v>IL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62E-4C40-89C5-F37F362C3B78}"/>
                </c:ext>
              </c:extLst>
            </c:dLbl>
            <c:dLbl>
              <c:idx val="9"/>
              <c:layout>
                <c:manualLayout>
                  <c:x val="-3.2206115079042558E-2"/>
                  <c:y val="2.539681693227782E-2"/>
                </c:manualLayout>
              </c:layout>
              <c:tx>
                <c:strRef>
                  <c:f>Sheet3!$C$13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{9246FFCA-32FA-4392-93AB-24DDA4F6F31A}</c15:txfldGUID>
                      <c15:f>Sheet3!$C$13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62E-4C40-89C5-F37F362C3B78}"/>
                </c:ext>
              </c:extLst>
            </c:dLbl>
            <c:dLbl>
              <c:idx val="10"/>
              <c:layout>
                <c:manualLayout>
                  <c:x val="-6.4413498115371689E-3"/>
                  <c:y val="-4.2329694678266989E-3"/>
                </c:manualLayout>
              </c:layout>
              <c:tx>
                <c:strRef>
                  <c:f>Sheet3!$C$14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{AA108C53-A927-471E-B6F8-E942E20C48BE}</c15:txfldGUID>
                      <c15:f>Sheet3!$C$14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62E-4C40-89C5-F37F362C3B78}"/>
                </c:ext>
              </c:extLst>
            </c:dLbl>
            <c:dLbl>
              <c:idx val="11"/>
              <c:layout>
                <c:manualLayout>
                  <c:x val="-5.314008988042019E-2"/>
                  <c:y val="-4.2328028220463033E-3"/>
                </c:manualLayout>
              </c:layout>
              <c:tx>
                <c:strRef>
                  <c:f>Sheet3!$C$15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{108F6824-95C4-4F17-A4F8-80177BA688E2}</c15:txfldGUID>
                      <c15:f>Sheet3!$C$15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62E-4C40-89C5-F37F362C3B78}"/>
                </c:ext>
              </c:extLst>
            </c:dLbl>
            <c:dLbl>
              <c:idx val="12"/>
              <c:layout>
                <c:manualLayout>
                  <c:x val="-6.441223015808511E-3"/>
                  <c:y val="-1.66645780434324E-7"/>
                </c:manualLayout>
              </c:layout>
              <c:tx>
                <c:strRef>
                  <c:f>Sheet3!$C$16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{09A92A9F-B427-4B34-8309-65B2D738ABAE}</c15:txfldGUID>
                      <c15:f>Sheet3!$C$16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62E-4C40-89C5-F37F362C3B78}"/>
                </c:ext>
              </c:extLst>
            </c:dLbl>
            <c:dLbl>
              <c:idx val="13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Sheet3!$C$17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{881B639D-5AB9-4F6C-BFC0-74C0FD5EC050}</c15:txfldGUID>
                      <c15:f>Sheet3!$C$17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62E-4C40-89C5-F37F362C3B78}"/>
                </c:ext>
              </c:extLst>
            </c:dLbl>
            <c:dLbl>
              <c:idx val="14"/>
              <c:layout>
                <c:manualLayout>
                  <c:x val="-6.441223015808511E-3"/>
                  <c:y val="0"/>
                </c:manualLayout>
              </c:layout>
              <c:tx>
                <c:strRef>
                  <c:f>Sheet3!$C$18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{C3DF4A0B-56A8-4348-A9FB-8A0E76A31970}</c15:txfldGUID>
                      <c15:f>Sheet3!$C$18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62E-4C40-89C5-F37F362C3B78}"/>
                </c:ext>
              </c:extLst>
            </c:dLbl>
            <c:dLbl>
              <c:idx val="15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Sheet3!$C$19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{3D19FD61-0973-46CF-809F-887C3700C440}</c15:txfldGUID>
                      <c15:f>Sheet3!$C$19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62E-4C40-89C5-F37F362C3B78}"/>
                </c:ext>
              </c:extLst>
            </c:dLbl>
            <c:dLbl>
              <c:idx val="1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Sheet3!$C$20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{0EA493AF-C2D0-493E-9C57-67978176F8E6}</c15:txfldGUID>
                      <c15:f>Sheet3!$C$20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62E-4C40-89C5-F37F362C3B78}"/>
                </c:ext>
              </c:extLst>
            </c:dLbl>
            <c:dLbl>
              <c:idx val="17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Sheet3!$C$21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{A3691454-A32E-4311-A8F5-54C31F5375CC}</c15:txfldGUID>
                      <c15:f>Sheet3!$C$21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62E-4C40-89C5-F37F362C3B78}"/>
                </c:ext>
              </c:extLst>
            </c:dLbl>
            <c:dLbl>
              <c:idx val="18"/>
              <c:layout>
                <c:manualLayout>
                  <c:x val="-6.4413498115371689E-3"/>
                  <c:y val="0"/>
                </c:manualLayout>
              </c:layout>
              <c:tx>
                <c:strRef>
                  <c:f>Sheet3!$C$22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{CDF7D4B4-9318-4300-B5FE-CBD8A7BEB614}</c15:txfldGUID>
                      <c15:f>Sheet3!$C$22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62E-4C40-89C5-F37F362C3B78}"/>
                </c:ext>
              </c:extLst>
            </c:dLbl>
            <c:dLbl>
              <c:idx val="19"/>
              <c:layout>
                <c:manualLayout>
                  <c:x val="-4.6698866864611707E-2"/>
                  <c:y val="2.1164014110231517E-2"/>
                </c:manualLayout>
              </c:layout>
              <c:tx>
                <c:strRef>
                  <c:f>Sheet3!$C$23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{0945FB6C-31CF-4964-A54F-64EEB750B701}</c15:txfldGUID>
                      <c15:f>Sheet3!$C$23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62E-4C40-89C5-F37F362C3B78}"/>
                </c:ext>
              </c:extLst>
            </c:dLbl>
            <c:dLbl>
              <c:idx val="20"/>
              <c:layout>
                <c:manualLayout>
                  <c:x val="-1.2882446031617022E-2"/>
                  <c:y val="1.693104464240474E-2"/>
                </c:manualLayout>
              </c:layout>
              <c:tx>
                <c:strRef>
                  <c:f>Sheet3!$C$24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{E3CD76B6-EC78-48D9-BD0F-CE3A2F722681}</c15:txfldGUID>
                      <c15:f>Sheet3!$C$24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62E-4C40-89C5-F37F362C3B78}"/>
                </c:ext>
              </c:extLst>
            </c:dLbl>
            <c:dLbl>
              <c:idx val="21"/>
              <c:layout>
                <c:manualLayout>
                  <c:x val="-2.2544407351058445E-2"/>
                  <c:y val="1.9047612699208287E-2"/>
                </c:manualLayout>
              </c:layout>
              <c:tx>
                <c:strRef>
                  <c:f>Sheet3!$C$25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{0C8EF2E6-FDE9-4ECE-B2CF-1D4884C56834}</c15:txfldGUID>
                      <c15:f>Sheet3!$C$25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62E-4C40-89C5-F37F362C3B78}"/>
                </c:ext>
              </c:extLst>
            </c:dLbl>
            <c:dLbl>
              <c:idx val="22"/>
              <c:layout>
                <c:manualLayout>
                  <c:x val="-4.6698866864611707E-2"/>
                  <c:y val="-4.2328028220463033E-3"/>
                </c:manualLayout>
              </c:layout>
              <c:tx>
                <c:strRef>
                  <c:f>Sheet3!$C$26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{2D3C8BF3-473C-4DD6-A66A-1C68E8196D51}</c15:txfldGUID>
                      <c15:f>Sheet3!$C$26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F62E-4C40-89C5-F37F362C3B78}"/>
                </c:ext>
              </c:extLst>
            </c:dLbl>
            <c:dLbl>
              <c:idx val="23"/>
              <c:layout>
                <c:manualLayout>
                  <c:x val="-3.220738303632913E-3"/>
                  <c:y val="-6.349204233069455E-3"/>
                </c:manualLayout>
              </c:layout>
              <c:tx>
                <c:strRef>
                  <c:f>Sheet3!$C$27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{F9BAF821-22F8-4C57-8635-3934121D36D6}</c15:txfldGUID>
                      <c15:f>Sheet3!$C$27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62E-4C40-89C5-F37F362C3B78}"/>
                </c:ext>
              </c:extLst>
            </c:dLbl>
            <c:dLbl>
              <c:idx val="24"/>
              <c:layout>
                <c:manualLayout>
                  <c:x val="3.2206115079042555E-3"/>
                  <c:y val="3.3862422576370427E-2"/>
                </c:manualLayout>
              </c:layout>
              <c:tx>
                <c:strRef>
                  <c:f>Sheet3!$C$28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{72AE73F8-596A-4AC3-957D-7E0665D159E3}</c15:txfldGUID>
                      <c15:f>Sheet3!$C$28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62E-4C40-89C5-F37F362C3B78}"/>
                </c:ext>
              </c:extLst>
            </c:dLbl>
            <c:dLbl>
              <c:idx val="25"/>
              <c:layout>
                <c:manualLayout>
                  <c:x val="-4.3478255356707449E-2"/>
                  <c:y val="-1.9047612699208367E-2"/>
                </c:manualLayout>
              </c:layout>
              <c:tx>
                <c:strRef>
                  <c:f>Sheet3!$C$29</c:f>
                  <c:strCache>
                    <c:ptCount val="1"/>
                    <c:pt idx="0">
                      <c:v>VT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{14E010F4-1144-418D-91D6-EA63A4B022B2}</c15:txfldGUID>
                      <c15:f>Sheet3!$C$29</c15:f>
                      <c15:dlblFieldTableCache>
                        <c:ptCount val="1"/>
                        <c:pt idx="0">
                          <c:v>VT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62E-4C40-89C5-F37F362C3B78}"/>
                </c:ext>
              </c:extLst>
            </c:dLbl>
            <c:dLbl>
              <c:idx val="2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Sheet3!$C$30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{81F3253C-A18D-4D52-ABA3-6340D46DFC73}</c15:txfldGUID>
                      <c15:f>Sheet3!$C$30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62E-4C40-89C5-F37F362C3B78}"/>
                </c:ext>
              </c:extLst>
            </c:dLbl>
            <c:dLbl>
              <c:idx val="2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Sheet3!$C$31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{D92DE5C8-7F5B-48D8-A09A-C3F1FA85C009}</c15:txfldGUID>
                      <c15:f>Sheet3!$C$31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62E-4C40-89C5-F37F362C3B78}"/>
                </c:ext>
              </c:extLst>
            </c:dLbl>
            <c:dLbl>
              <c:idx val="28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Sheet3!$C$32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{48FC9F28-5B7D-4B03-BA42-6A2C081B2B71}</c15:txfldGUID>
                      <c15:f>Sheet3!$C$32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F62E-4C40-89C5-F37F362C3B78}"/>
                </c:ext>
              </c:extLst>
            </c:dLbl>
            <c:dLbl>
              <c:idx val="29"/>
              <c:layout>
                <c:manualLayout>
                  <c:x val="-8.0515287697606394E-3"/>
                  <c:y val="7.7600488623382418E-17"/>
                </c:manualLayout>
              </c:layout>
              <c:tx>
                <c:strRef>
                  <c:f>Sheet3!$C$33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{1A52F606-B828-4395-BA37-F477821D9E34}</c15:txfldGUID>
                      <c15:f>Sheet3!$C$33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62E-4C40-89C5-F37F362C3B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Sheet4!$E$4:$E$33</c:f>
              <c:numCache>
                <c:formatCode>0.00%</c:formatCode>
                <c:ptCount val="30"/>
                <c:pt idx="0">
                  <c:v>-9.0114111399841823E-2</c:v>
                </c:pt>
                <c:pt idx="1">
                  <c:v>0.10660942266410575</c:v>
                </c:pt>
                <c:pt idx="2">
                  <c:v>0.29974014235679586</c:v>
                </c:pt>
                <c:pt idx="3">
                  <c:v>-3.0233871878883743E-2</c:v>
                </c:pt>
                <c:pt idx="4">
                  <c:v>0.30929838436334878</c:v>
                </c:pt>
                <c:pt idx="5">
                  <c:v>-5.590328776409445E-2</c:v>
                </c:pt>
                <c:pt idx="6">
                  <c:v>-8.3945316913343129E-2</c:v>
                </c:pt>
                <c:pt idx="7">
                  <c:v>-0.14961021353519377</c:v>
                </c:pt>
                <c:pt idx="8">
                  <c:v>5.4276352954468421E-2</c:v>
                </c:pt>
                <c:pt idx="9">
                  <c:v>-4.6503219975144054E-2</c:v>
                </c:pt>
                <c:pt idx="10">
                  <c:v>-0.10195458140323127</c:v>
                </c:pt>
                <c:pt idx="11">
                  <c:v>-9.6192520619139077E-2</c:v>
                </c:pt>
                <c:pt idx="12">
                  <c:v>6.132640379618122E-2</c:v>
                </c:pt>
                <c:pt idx="13">
                  <c:v>0.2152751101570444</c:v>
                </c:pt>
                <c:pt idx="14">
                  <c:v>-4.7045531578352728E-2</c:v>
                </c:pt>
                <c:pt idx="15">
                  <c:v>-0.16644446955146311</c:v>
                </c:pt>
                <c:pt idx="16">
                  <c:v>7.4002937521184045E-2</c:v>
                </c:pt>
                <c:pt idx="17">
                  <c:v>9.7955033329567287E-2</c:v>
                </c:pt>
                <c:pt idx="18">
                  <c:v>4.9485933792791773E-2</c:v>
                </c:pt>
                <c:pt idx="19">
                  <c:v>-6.1529770647384477E-2</c:v>
                </c:pt>
                <c:pt idx="20">
                  <c:v>1.554626595864874E-2</c:v>
                </c:pt>
                <c:pt idx="21">
                  <c:v>5.1564794938425036E-2</c:v>
                </c:pt>
                <c:pt idx="22">
                  <c:v>4.2119534515873913E-2</c:v>
                </c:pt>
                <c:pt idx="23">
                  <c:v>-0.11178397921138854</c:v>
                </c:pt>
                <c:pt idx="24">
                  <c:v>-3.0572816630889166E-2</c:v>
                </c:pt>
                <c:pt idx="25">
                  <c:v>-5.3327307648853234E-3</c:v>
                </c:pt>
                <c:pt idx="26">
                  <c:v>5.2581629194441308E-2</c:v>
                </c:pt>
                <c:pt idx="27">
                  <c:v>-0.1498813693367981</c:v>
                </c:pt>
                <c:pt idx="28">
                  <c:v>2.0246299853123942E-2</c:v>
                </c:pt>
                <c:pt idx="29">
                  <c:v>0.20917410462094679</c:v>
                </c:pt>
              </c:numCache>
            </c:numRef>
          </c:xVal>
          <c:yVal>
            <c:numRef>
              <c:f>Sheet4!$F$4:$F$33</c:f>
              <c:numCache>
                <c:formatCode>General</c:formatCode>
                <c:ptCount val="30"/>
                <c:pt idx="0">
                  <c:v>86.8</c:v>
                </c:pt>
                <c:pt idx="1">
                  <c:v>105.6</c:v>
                </c:pt>
                <c:pt idx="2">
                  <c:v>108.7</c:v>
                </c:pt>
                <c:pt idx="3">
                  <c:v>100.4</c:v>
                </c:pt>
                <c:pt idx="4">
                  <c:v>117</c:v>
                </c:pt>
                <c:pt idx="5">
                  <c:v>99.5</c:v>
                </c:pt>
                <c:pt idx="6">
                  <c:v>92.6</c:v>
                </c:pt>
                <c:pt idx="7">
                  <c:v>118.8</c:v>
                </c:pt>
                <c:pt idx="8">
                  <c:v>99.7</c:v>
                </c:pt>
                <c:pt idx="9">
                  <c:v>90.7</c:v>
                </c:pt>
                <c:pt idx="10">
                  <c:v>88.6</c:v>
                </c:pt>
                <c:pt idx="11">
                  <c:v>98</c:v>
                </c:pt>
                <c:pt idx="12">
                  <c:v>109.6</c:v>
                </c:pt>
                <c:pt idx="13">
                  <c:v>106.9</c:v>
                </c:pt>
                <c:pt idx="14">
                  <c:v>93.5</c:v>
                </c:pt>
                <c:pt idx="15">
                  <c:v>86.2</c:v>
                </c:pt>
                <c:pt idx="16">
                  <c:v>105</c:v>
                </c:pt>
                <c:pt idx="17">
                  <c:v>113.4</c:v>
                </c:pt>
                <c:pt idx="18">
                  <c:v>115.3</c:v>
                </c:pt>
                <c:pt idx="19">
                  <c:v>91.2</c:v>
                </c:pt>
                <c:pt idx="20">
                  <c:v>89.2</c:v>
                </c:pt>
                <c:pt idx="21">
                  <c:v>97.9</c:v>
                </c:pt>
                <c:pt idx="22">
                  <c:v>98.7</c:v>
                </c:pt>
                <c:pt idx="23">
                  <c:v>90.3</c:v>
                </c:pt>
                <c:pt idx="24">
                  <c:v>89.9</c:v>
                </c:pt>
                <c:pt idx="25">
                  <c:v>101.6</c:v>
                </c:pt>
                <c:pt idx="26">
                  <c:v>102.5</c:v>
                </c:pt>
                <c:pt idx="27">
                  <c:v>88.9</c:v>
                </c:pt>
                <c:pt idx="28">
                  <c:v>93.1</c:v>
                </c:pt>
                <c:pt idx="29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62E-4C40-89C5-F37F362C3B78}"/>
            </c:ext>
          </c:extLst>
        </c:ser>
        <c:ser>
          <c:idx val="1"/>
          <c:order val="1"/>
          <c:tx>
            <c:strRef>
              <c:f>Sheet4!$H$3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62E-4C40-89C5-F37F362C3B78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sz="1100" b="1"/>
                      <a:t>物价更高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62E-4C40-89C5-F37F362C3B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Sheet4!$H$5:$H$6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Sheet4!$I$5:$I$6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62E-4C40-89C5-F37F362C3B78}"/>
            </c:ext>
          </c:extLst>
        </c:ser>
        <c:ser>
          <c:idx val="2"/>
          <c:order val="2"/>
          <c:tx>
            <c:strRef>
              <c:f>Sheet4!$H$8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62E-4C40-89C5-F37F362C3B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62E-4C40-89C5-F37F362C3B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62E-4C40-89C5-F37F362C3B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62E-4C40-89C5-F37F362C3B78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Sheet4!$H$10:$H$13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Sheet4!$I$10:$I$13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62E-4C40-89C5-F37F362C3B78}"/>
            </c:ext>
          </c:extLst>
        </c:ser>
        <c:ser>
          <c:idx val="3"/>
          <c:order val="3"/>
          <c:tx>
            <c:v>美国西部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5152338094217089E-3"/>
                  <c:y val="0"/>
                </c:manualLayout>
              </c:layout>
              <c:tx>
                <c:strRef>
                  <c:f>Sheet3!$C$34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{94C02A27-F610-4FB1-B073-E7639FFDA3A5}</c15:txfldGUID>
                      <c15:f>Sheet3!$C$34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F62E-4C40-89C5-F37F362C3B78}"/>
                </c:ext>
              </c:extLst>
            </c:dLbl>
            <c:dLbl>
              <c:idx val="1"/>
              <c:layout>
                <c:manualLayout>
                  <c:x val="-9.8148769682025478E-3"/>
                  <c:y val="8.4656056440926067E-3"/>
                </c:manualLayout>
              </c:layout>
              <c:tx>
                <c:strRef>
                  <c:f>Sheet3!$C$35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{467C98EC-C1DF-490A-B612-E7EE278F9380}</c15:txfldGUID>
                      <c15:f>Sheet3!$C$35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F62E-4C40-89C5-F37F362C3B78}"/>
                </c:ext>
              </c:extLst>
            </c:dLbl>
            <c:dLbl>
              <c:idx val="2"/>
              <c:layout>
                <c:manualLayout>
                  <c:x val="-4.3494358414246974E-2"/>
                  <c:y val="0"/>
                </c:manualLayout>
              </c:layout>
              <c:tx>
                <c:strRef>
                  <c:f>Sheet3!$C$36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{093C9607-BB40-43AB-B050-727440802809}</c15:txfldGUID>
                      <c15:f>Sheet3!$C$36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F62E-4C40-89C5-F37F362C3B78}"/>
                </c:ext>
              </c:extLst>
            </c:dLbl>
            <c:dLbl>
              <c:idx val="3"/>
              <c:layout>
                <c:manualLayout>
                  <c:x val="-4.4702214525439724E-2"/>
                  <c:y val="0"/>
                </c:manualLayout>
              </c:layout>
              <c:tx>
                <c:strRef>
                  <c:f>Sheet3!$C$37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{8094948A-7238-4AEF-B663-46D3E7EB6222}</c15:txfldGUID>
                      <c15:f>Sheet3!$C$37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F62E-4C40-89C5-F37F362C3B78}"/>
                </c:ext>
              </c:extLst>
            </c:dLbl>
            <c:dLbl>
              <c:idx val="4"/>
              <c:layout>
                <c:manualLayout>
                  <c:x val="-3.9943570828918203E-2"/>
                  <c:y val="0"/>
                </c:manualLayout>
              </c:layout>
              <c:tx>
                <c:strRef>
                  <c:f>Sheet3!$C$38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{BD9F65CC-DE25-46E2-88A7-316689CC5516}</c15:txfldGUID>
                      <c15:f>Sheet3!$C$38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F62E-4C40-89C5-F37F362C3B78}"/>
                </c:ext>
              </c:extLst>
            </c:dLbl>
            <c:dLbl>
              <c:idx val="5"/>
              <c:layout>
                <c:manualLayout>
                  <c:x val="-4.1030717406428871E-2"/>
                  <c:y val="7.7600488623382418E-17"/>
                </c:manualLayout>
              </c:layout>
              <c:tx>
                <c:strRef>
                  <c:f>Sheet3!$C$39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{D540C094-6798-4584-98F7-12B3EF0C591F}</c15:txfldGUID>
                      <c15:f>Sheet3!$C$39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F62E-4C40-89C5-F37F362C3B78}"/>
                </c:ext>
              </c:extLst>
            </c:dLbl>
            <c:dLbl>
              <c:idx val="6"/>
              <c:layout>
                <c:manualLayout>
                  <c:x val="-4.1561991509504417E-2"/>
                  <c:y val="0"/>
                </c:manualLayout>
              </c:layout>
              <c:tx>
                <c:strRef>
                  <c:f>Sheet3!$C$40</c:f>
                  <c:strCache>
                    <c:ptCount val="1"/>
                    <c:pt idx="0">
                      <c:v>KS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{F37B2EF4-6EC4-4AA4-9AED-8DC547BF3B96}</c15:txfldGUID>
                      <c15:f>Sheet3!$C$40</c15:f>
                      <c15:dlblFieldTableCache>
                        <c:ptCount val="1"/>
                        <c:pt idx="0">
                          <c:v>KS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F62E-4C40-89C5-F37F362C3B78}"/>
                </c:ext>
              </c:extLst>
            </c:dLbl>
            <c:dLbl>
              <c:idx val="7"/>
              <c:layout>
                <c:manualLayout>
                  <c:x val="-1.9315680916520101E-2"/>
                  <c:y val="-2.5396816932277744E-2"/>
                </c:manualLayout>
              </c:layout>
              <c:tx>
                <c:strRef>
                  <c:f>Sheet3!$C$41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{E24666F6-2913-44C9-9DF5-50B26BB45A03}</c15:txfldGUID>
                      <c15:f>Sheet3!$C$41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F62E-4C40-89C5-F37F362C3B78}"/>
                </c:ext>
              </c:extLst>
            </c:dLbl>
            <c:dLbl>
              <c:idx val="8"/>
              <c:layout>
                <c:manualLayout>
                  <c:x val="-2.3357421563211283E-2"/>
                  <c:y val="1.9047612699208367E-2"/>
                </c:manualLayout>
              </c:layout>
              <c:tx>
                <c:strRef>
                  <c:f>Sheet3!$C$42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{D7AB1470-ACE3-4CE0-9373-1AF2E829001C}</c15:txfldGUID>
                      <c15:f>Sheet3!$C$42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F62E-4C40-89C5-F37F362C3B78}"/>
                </c:ext>
              </c:extLst>
            </c:dLbl>
            <c:dLbl>
              <c:idx val="9"/>
              <c:layout>
                <c:manualLayout>
                  <c:x val="-5.7415515055027441E-2"/>
                  <c:y val="8.4656056440926067E-3"/>
                </c:manualLayout>
              </c:layout>
              <c:tx>
                <c:strRef>
                  <c:f>Sheet3!$C$43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{47755617-12B4-43B5-90CF-C0B6BFA03723}</c15:txfldGUID>
                      <c15:f>Sheet3!$C$43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F62E-4C40-89C5-F37F362C3B78}"/>
                </c:ext>
              </c:extLst>
            </c:dLbl>
            <c:dLbl>
              <c:idx val="10"/>
              <c:layout>
                <c:manualLayout>
                  <c:x val="-4.6827691324927874E-2"/>
                  <c:y val="0"/>
                </c:manualLayout>
              </c:layout>
              <c:tx>
                <c:strRef>
                  <c:f>Sheet3!$C$44</c:f>
                  <c:strCache>
                    <c:ptCount val="1"/>
                    <c:pt idx="0">
                      <c:v>MT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{202EEC4E-2CDB-468E-8DE2-906B306692DF}</c15:txfldGUID>
                      <c15:f>Sheet3!$C$44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F62E-4C40-89C5-F37F362C3B78}"/>
                </c:ext>
              </c:extLst>
            </c:dLbl>
            <c:dLbl>
              <c:idx val="11"/>
              <c:layout>
                <c:manualLayout>
                  <c:x val="-4.3808304638403309E-2"/>
                  <c:y val="0"/>
                </c:manualLayout>
              </c:layout>
              <c:tx>
                <c:strRef>
                  <c:f>Sheet3!$C$45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{CAA604B7-64C2-4FC3-AFE6-98F6B2362638}</c15:txfldGUID>
                      <c15:f>Sheet3!$C$45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F62E-4C40-89C5-F37F362C3B78}"/>
                </c:ext>
              </c:extLst>
            </c:dLbl>
            <c:dLbl>
              <c:idx val="12"/>
              <c:layout>
                <c:manualLayout>
                  <c:x val="-7.9147161785390364E-3"/>
                  <c:y val="1.0582007055115758E-2"/>
                </c:manualLayout>
              </c:layout>
              <c:tx>
                <c:strRef>
                  <c:f>Sheet3!$C$46</c:f>
                  <c:strCache>
                    <c:ptCount val="1"/>
                    <c:pt idx="0">
                      <c:v>NV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{D17CAB98-3655-4FF0-BF5F-4597BE60C7BF}</c15:txfldGUID>
                      <c15:f>Sheet3!$C$46</c15:f>
                      <c15:dlblFieldTableCache>
                        <c:ptCount val="1"/>
                        <c:pt idx="0">
                          <c:v>NV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F62E-4C40-89C5-F37F362C3B78}"/>
                </c:ext>
              </c:extLst>
            </c:dLbl>
            <c:dLbl>
              <c:idx val="13"/>
              <c:layout>
                <c:manualLayout>
                  <c:x val="-4.9122313626445327E-2"/>
                  <c:y val="0"/>
                </c:manualLayout>
              </c:layout>
              <c:tx>
                <c:strRef>
                  <c:f>Sheet3!$C$47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{FAB91A87-C20F-405D-92BC-A790AA0C72BA}</c15:txfldGUID>
                      <c15:f>Sheet3!$C$47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F62E-4C40-89C5-F37F362C3B78}"/>
                </c:ext>
              </c:extLst>
            </c:dLbl>
            <c:dLbl>
              <c:idx val="14"/>
              <c:layout>
                <c:manualLayout>
                  <c:x val="-4.8864664705812987E-2"/>
                  <c:y val="7.7600488623382418E-17"/>
                </c:manualLayout>
              </c:layout>
              <c:tx>
                <c:strRef>
                  <c:f>Sheet3!$C$48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{382E9092-5F77-42EC-9D8B-35B0A3E497DF}</c15:txfldGUID>
                      <c15:f>Sheet3!$C$48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F62E-4C40-89C5-F37F362C3B78}"/>
                </c:ext>
              </c:extLst>
            </c:dLbl>
            <c:dLbl>
              <c:idx val="15"/>
              <c:layout>
                <c:manualLayout>
                  <c:x val="-2.6787499614857914E-2"/>
                  <c:y val="-2.5396816932277744E-2"/>
                </c:manualLayout>
              </c:layout>
              <c:tx>
                <c:strRef>
                  <c:f>Sheet3!$C$49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{B514E842-8542-4E30-BC01-C8D15D6A8A4E}</c15:txfldGUID>
                      <c15:f>Sheet3!$C$49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F62E-4C40-89C5-F37F362C3B78}"/>
                </c:ext>
              </c:extLst>
            </c:dLbl>
            <c:dLbl>
              <c:idx val="16"/>
              <c:layout>
                <c:manualLayout>
                  <c:x val="-4.4838900320932643E-2"/>
                  <c:y val="0"/>
                </c:manualLayout>
              </c:layout>
              <c:tx>
                <c:strRef>
                  <c:f>Sheet3!$C$50</c:f>
                  <c:strCache>
                    <c:ptCount val="1"/>
                    <c:pt idx="0">
                      <c:v>OR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{A0377EEE-1971-4DBE-A54B-1DEB4FCBA224}</c15:txfldGUID>
                      <c15:f>Sheet3!$C$50</c15:f>
                      <c15:dlblFieldTableCache>
                        <c:ptCount val="1"/>
                        <c:pt idx="0">
                          <c:v>OR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F62E-4C40-89C5-F37F362C3B78}"/>
                </c:ext>
              </c:extLst>
            </c:dLbl>
            <c:dLbl>
              <c:idx val="17"/>
              <c:layout>
                <c:manualLayout>
                  <c:x val="-4.294685445790325E-2"/>
                  <c:y val="0"/>
                </c:manualLayout>
              </c:layout>
              <c:tx>
                <c:strRef>
                  <c:f>Sheet3!$C$51</c:f>
                  <c:strCache>
                    <c:ptCount val="1"/>
                    <c:pt idx="0">
                      <c:v>SD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{E207FFD1-C507-492E-A13F-996E6C1A0566}</c15:txfldGUID>
                      <c15:f>Sheet3!$C$51</c15:f>
                      <c15:dlblFieldTableCache>
                        <c:ptCount val="1"/>
                        <c:pt idx="0">
                          <c:v>SD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F62E-4C40-89C5-F37F362C3B78}"/>
                </c:ext>
              </c:extLst>
            </c:dLbl>
            <c:dLbl>
              <c:idx val="18"/>
              <c:layout>
                <c:manualLayout>
                  <c:x val="-4.1956579817087017E-2"/>
                  <c:y val="0"/>
                </c:manualLayout>
              </c:layout>
              <c:tx>
                <c:strRef>
                  <c:f>Sheet3!$C$52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{1472C2D4-1F01-4E94-94C7-20110964682C}</c15:txfldGUID>
                      <c15:f>Sheet3!$C$52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F62E-4C40-89C5-F37F362C3B78}"/>
                </c:ext>
              </c:extLst>
            </c:dLbl>
            <c:dLbl>
              <c:idx val="19"/>
              <c:layout>
                <c:manualLayout>
                  <c:x val="-4.3735904277339775E-2"/>
                  <c:y val="0"/>
                </c:manualLayout>
              </c:layout>
              <c:tx>
                <c:strRef>
                  <c:f>Sheet3!$C$53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{B89A2C0C-D0F0-4658-9E01-AD28E8C3DE7E}</c15:txfldGUID>
                      <c15:f>Sheet3!$C$53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F62E-4C40-89C5-F37F362C3B78}"/>
                </c:ext>
              </c:extLst>
            </c:dLbl>
            <c:dLbl>
              <c:idx val="20"/>
              <c:layout>
                <c:manualLayout>
                  <c:x val="-4.8655451753527867E-2"/>
                  <c:y val="0"/>
                </c:manualLayout>
              </c:layout>
              <c:tx>
                <c:strRef>
                  <c:f>Sheet3!$C$54</c:f>
                  <c:strCache>
                    <c:ptCount val="1"/>
                    <c:pt idx="0">
                      <c:v>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{92DB697B-72F3-4019-8D74-8F3BAA6BF6DA}</c15:txfldGUID>
                      <c15:f>Sheet3!$C$54</c15:f>
                      <c15:dlblFieldTableCache>
                        <c:ptCount val="1"/>
                        <c:pt idx="0">
                          <c:v>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F62E-4C40-89C5-F37F362C3B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Sheet4!$E$34:$E$54</c:f>
              <c:numCache>
                <c:formatCode>0.00%</c:formatCode>
                <c:ptCount val="21"/>
                <c:pt idx="0">
                  <c:v>-0.14825443452717207</c:v>
                </c:pt>
                <c:pt idx="1">
                  <c:v>-7.675968817082815E-2</c:v>
                </c:pt>
                <c:pt idx="2">
                  <c:v>-1.8528979776296463E-3</c:v>
                </c:pt>
                <c:pt idx="3">
                  <c:v>3.9792113885436672E-2</c:v>
                </c:pt>
                <c:pt idx="4">
                  <c:v>-0.13966783414303469</c:v>
                </c:pt>
                <c:pt idx="5">
                  <c:v>4.7542650547960683E-2</c:v>
                </c:pt>
                <c:pt idx="6">
                  <c:v>7.4387074906790196E-2</c:v>
                </c:pt>
                <c:pt idx="7">
                  <c:v>-2.2099197830753588E-2</c:v>
                </c:pt>
                <c:pt idx="8">
                  <c:v>8.5798214890972765E-2</c:v>
                </c:pt>
                <c:pt idx="9">
                  <c:v>-1.8325612925093208E-2</c:v>
                </c:pt>
                <c:pt idx="10">
                  <c:v>-7.3889955937182242E-2</c:v>
                </c:pt>
                <c:pt idx="11">
                  <c:v>0.13103604112529657</c:v>
                </c:pt>
                <c:pt idx="12">
                  <c:v>-9.0679019319850868E-2</c:v>
                </c:pt>
                <c:pt idx="13">
                  <c:v>-0.16813919331149021</c:v>
                </c:pt>
                <c:pt idx="14">
                  <c:v>0.24272963506948367</c:v>
                </c:pt>
                <c:pt idx="15">
                  <c:v>1.1343351033781493E-2</c:v>
                </c:pt>
                <c:pt idx="16">
                  <c:v>-7.6239972884419846E-2</c:v>
                </c:pt>
                <c:pt idx="17">
                  <c:v>0.11768161789628291</c:v>
                </c:pt>
                <c:pt idx="18">
                  <c:v>3.1634843520506159E-4</c:v>
                </c:pt>
                <c:pt idx="19">
                  <c:v>-0.15410688057846572</c:v>
                </c:pt>
                <c:pt idx="20">
                  <c:v>4.6887357360750198E-2</c:v>
                </c:pt>
              </c:numCache>
            </c:numRef>
          </c:xVal>
          <c:yVal>
            <c:numRef>
              <c:f>Sheet4!$F$34:$F$54</c:f>
              <c:numCache>
                <c:formatCode>General</c:formatCode>
                <c:ptCount val="21"/>
                <c:pt idx="0">
                  <c:v>96.2</c:v>
                </c:pt>
                <c:pt idx="1">
                  <c:v>87.4</c:v>
                </c:pt>
                <c:pt idx="2">
                  <c:v>113.4</c:v>
                </c:pt>
                <c:pt idx="3">
                  <c:v>103.2</c:v>
                </c:pt>
                <c:pt idx="4">
                  <c:v>93.4</c:v>
                </c:pt>
                <c:pt idx="5">
                  <c:v>90.3</c:v>
                </c:pt>
                <c:pt idx="6">
                  <c:v>90.4</c:v>
                </c:pt>
                <c:pt idx="7">
                  <c:v>90.6</c:v>
                </c:pt>
                <c:pt idx="8">
                  <c:v>97.4</c:v>
                </c:pt>
                <c:pt idx="9">
                  <c:v>89.3</c:v>
                </c:pt>
                <c:pt idx="10">
                  <c:v>94.8</c:v>
                </c:pt>
                <c:pt idx="11">
                  <c:v>90.6</c:v>
                </c:pt>
                <c:pt idx="12">
                  <c:v>98</c:v>
                </c:pt>
                <c:pt idx="13">
                  <c:v>94.4</c:v>
                </c:pt>
                <c:pt idx="14">
                  <c:v>92.3</c:v>
                </c:pt>
                <c:pt idx="15">
                  <c:v>89.9</c:v>
                </c:pt>
                <c:pt idx="16">
                  <c:v>99.2</c:v>
                </c:pt>
                <c:pt idx="17">
                  <c:v>88.2</c:v>
                </c:pt>
                <c:pt idx="18">
                  <c:v>96.8</c:v>
                </c:pt>
                <c:pt idx="19">
                  <c:v>97</c:v>
                </c:pt>
                <c:pt idx="20">
                  <c:v>104.8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F62E-4C40-89C5-F37F362C3B78}"/>
            </c:ext>
          </c:extLst>
        </c:ser>
        <c:ser>
          <c:idx val="4"/>
          <c:order val="4"/>
          <c:tx>
            <c:v>左上正误差</c:v>
          </c:tx>
          <c:spPr>
            <a:ln w="28575">
              <a:noFill/>
            </a:ln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Sheet4!$Q$4:$Q$24</c:f>
                <c:numCache>
                  <c:formatCode>General</c:formatCode>
                  <c:ptCount val="21"/>
                  <c:pt idx="0">
                    <c:v>20</c:v>
                  </c:pt>
                  <c:pt idx="1">
                    <c:v>20</c:v>
                  </c:pt>
                  <c:pt idx="2">
                    <c:v>20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  <c:pt idx="8">
                    <c:v>20</c:v>
                  </c:pt>
                  <c:pt idx="9">
                    <c:v>20</c:v>
                  </c:pt>
                  <c:pt idx="10">
                    <c:v>20</c:v>
                  </c:pt>
                  <c:pt idx="11">
                    <c:v>20</c:v>
                  </c:pt>
                  <c:pt idx="12">
                    <c:v>20</c:v>
                  </c:pt>
                  <c:pt idx="13">
                    <c:v>20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20</c:v>
                  </c:pt>
                  <c:pt idx="17">
                    <c:v>20</c:v>
                  </c:pt>
                  <c:pt idx="18">
                    <c:v>20</c:v>
                  </c:pt>
                  <c:pt idx="19">
                    <c:v>20</c:v>
                  </c:pt>
                  <c:pt idx="20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165100">
                <a:gradFill flip="none" rotWithShape="1">
                  <a:gsLst>
                    <a:gs pos="0">
                      <a:schemeClr val="accent2">
                        <a:lumMod val="5000"/>
                        <a:lumOff val="95000"/>
                      </a:schemeClr>
                    </a:gs>
                    <a:gs pos="74000">
                      <a:schemeClr val="accent2">
                        <a:lumMod val="45000"/>
                        <a:lumOff val="55000"/>
                      </a:schemeClr>
                    </a:gs>
                    <a:gs pos="83000">
                      <a:schemeClr val="accent2">
                        <a:lumMod val="45000"/>
                        <a:lumOff val="55000"/>
                      </a:schemeClr>
                    </a:gs>
                    <a:gs pos="100000">
                      <a:schemeClr val="accent2">
                        <a:lumMod val="30000"/>
                        <a:lumOff val="70000"/>
                      </a:schemeClr>
                    </a:gs>
                  </a:gsLst>
                  <a:lin ang="16200000" scaled="1"/>
                  <a:tileRect/>
                </a:gradFill>
              </a:ln>
            </c:spPr>
          </c:errBars>
          <c:xVal>
            <c:numRef>
              <c:f>Sheet4!$O$4:$O$24</c:f>
              <c:numCache>
                <c:formatCode>0%</c:formatCode>
                <c:ptCount val="21"/>
                <c:pt idx="0">
                  <c:v>-0.2</c:v>
                </c:pt>
                <c:pt idx="1">
                  <c:v>-0.19</c:v>
                </c:pt>
                <c:pt idx="2">
                  <c:v>-0.18</c:v>
                </c:pt>
                <c:pt idx="3">
                  <c:v>-0.17</c:v>
                </c:pt>
                <c:pt idx="4">
                  <c:v>-0.16</c:v>
                </c:pt>
                <c:pt idx="5">
                  <c:v>-0.15</c:v>
                </c:pt>
                <c:pt idx="6">
                  <c:v>-0.14000000000000001</c:v>
                </c:pt>
                <c:pt idx="7">
                  <c:v>-0.13</c:v>
                </c:pt>
                <c:pt idx="8">
                  <c:v>-0.12</c:v>
                </c:pt>
                <c:pt idx="9">
                  <c:v>-0.11</c:v>
                </c:pt>
                <c:pt idx="10">
                  <c:v>-9.9999999999999895E-2</c:v>
                </c:pt>
                <c:pt idx="11">
                  <c:v>-0.09</c:v>
                </c:pt>
                <c:pt idx="12">
                  <c:v>-0.08</c:v>
                </c:pt>
                <c:pt idx="13">
                  <c:v>-7.0000000000000007E-2</c:v>
                </c:pt>
                <c:pt idx="14">
                  <c:v>-0.06</c:v>
                </c:pt>
                <c:pt idx="15">
                  <c:v>-0.05</c:v>
                </c:pt>
                <c:pt idx="16">
                  <c:v>-0.04</c:v>
                </c:pt>
                <c:pt idx="17">
                  <c:v>-0.03</c:v>
                </c:pt>
                <c:pt idx="18">
                  <c:v>-0.02</c:v>
                </c:pt>
                <c:pt idx="19">
                  <c:v>-0.01</c:v>
                </c:pt>
                <c:pt idx="20">
                  <c:v>-6.0000000000000001E-3</c:v>
                </c:pt>
              </c:numCache>
            </c:numRef>
          </c:xVal>
          <c:yVal>
            <c:numRef>
              <c:f>Sheet4!$P$4:$P$24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F62E-4C40-89C5-F37F362C3B78}"/>
            </c:ext>
          </c:extLst>
        </c:ser>
        <c:ser>
          <c:idx val="5"/>
          <c:order val="5"/>
          <c:tx>
            <c:v>右下正误差</c:v>
          </c:tx>
          <c:spPr>
            <a:ln w="28575">
              <a:noFill/>
            </a:ln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Sheet4!$Q$25:$Q$56</c:f>
                <c:numCache>
                  <c:formatCode>General</c:formatCode>
                  <c:ptCount val="32"/>
                  <c:pt idx="0">
                    <c:v>-20</c:v>
                  </c:pt>
                  <c:pt idx="1">
                    <c:v>-20</c:v>
                  </c:pt>
                  <c:pt idx="2">
                    <c:v>-20</c:v>
                  </c:pt>
                  <c:pt idx="3">
                    <c:v>-20</c:v>
                  </c:pt>
                  <c:pt idx="4">
                    <c:v>-20</c:v>
                  </c:pt>
                  <c:pt idx="5">
                    <c:v>-20</c:v>
                  </c:pt>
                  <c:pt idx="6">
                    <c:v>-20</c:v>
                  </c:pt>
                  <c:pt idx="7">
                    <c:v>-20</c:v>
                  </c:pt>
                  <c:pt idx="8">
                    <c:v>-20</c:v>
                  </c:pt>
                  <c:pt idx="9">
                    <c:v>-20</c:v>
                  </c:pt>
                  <c:pt idx="10">
                    <c:v>-20</c:v>
                  </c:pt>
                  <c:pt idx="11">
                    <c:v>-20</c:v>
                  </c:pt>
                  <c:pt idx="12">
                    <c:v>-20</c:v>
                  </c:pt>
                  <c:pt idx="13">
                    <c:v>-20</c:v>
                  </c:pt>
                  <c:pt idx="14">
                    <c:v>-20</c:v>
                  </c:pt>
                  <c:pt idx="15">
                    <c:v>-20</c:v>
                  </c:pt>
                  <c:pt idx="16">
                    <c:v>-20</c:v>
                  </c:pt>
                  <c:pt idx="17">
                    <c:v>-20</c:v>
                  </c:pt>
                  <c:pt idx="18">
                    <c:v>-20</c:v>
                  </c:pt>
                  <c:pt idx="19">
                    <c:v>-20</c:v>
                  </c:pt>
                  <c:pt idx="20">
                    <c:v>-20</c:v>
                  </c:pt>
                  <c:pt idx="21">
                    <c:v>-20</c:v>
                  </c:pt>
                  <c:pt idx="22">
                    <c:v>-20</c:v>
                  </c:pt>
                  <c:pt idx="23">
                    <c:v>-20</c:v>
                  </c:pt>
                  <c:pt idx="24">
                    <c:v>-20</c:v>
                  </c:pt>
                  <c:pt idx="25">
                    <c:v>-20</c:v>
                  </c:pt>
                  <c:pt idx="26">
                    <c:v>-20</c:v>
                  </c:pt>
                  <c:pt idx="27">
                    <c:v>-20</c:v>
                  </c:pt>
                  <c:pt idx="28">
                    <c:v>-20</c:v>
                  </c:pt>
                  <c:pt idx="29">
                    <c:v>-20</c:v>
                  </c:pt>
                  <c:pt idx="30">
                    <c:v>-20</c:v>
                  </c:pt>
                  <c:pt idx="31">
                    <c:v>-20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165100" cmpd="sng">
                <a:gradFill flip="none" rotWithShape="1">
                  <a:gsLst>
                    <a:gs pos="0">
                      <a:schemeClr val="accent5">
                        <a:lumMod val="0"/>
                        <a:lumOff val="100000"/>
                      </a:schemeClr>
                    </a:gs>
                    <a:gs pos="35000">
                      <a:schemeClr val="accent5">
                        <a:lumMod val="0"/>
                        <a:lumOff val="100000"/>
                      </a:schemeClr>
                    </a:gs>
                    <a:gs pos="100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</c:spPr>
          </c:errBars>
          <c:xVal>
            <c:numRef>
              <c:f>Sheet4!$O$25:$O$56</c:f>
              <c:numCache>
                <c:formatCode>0%</c:formatCode>
                <c:ptCount val="32"/>
                <c:pt idx="0">
                  <c:v>6.0000000000000001E-3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0.30499999999999999</c:v>
                </c:pt>
              </c:numCache>
            </c:numRef>
          </c:xVal>
          <c:yVal>
            <c:numRef>
              <c:f>Sheet4!$P$25:$P$56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F62E-4C40-89C5-F37F362C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07424"/>
        <c:axId val="505036800"/>
      </c:scatterChart>
      <c:valAx>
        <c:axId val="504807424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4322475265640223"/>
              <c:y val="0.905547671358523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505036800"/>
        <c:crossesAt val="100"/>
        <c:crossBetween val="midCat"/>
        <c:majorUnit val="0.1"/>
      </c:valAx>
      <c:valAx>
        <c:axId val="505036800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layout>
            <c:manualLayout>
              <c:xMode val="edge"/>
              <c:yMode val="edge"/>
              <c:x val="1.1149148761063933E-2"/>
              <c:y val="0.37953730999037255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504807424"/>
        <c:crossesAt val="0"/>
        <c:crossBetween val="midCat"/>
        <c:majorUnit val="10"/>
      </c:valAx>
      <c:spPr>
        <a:solidFill>
          <a:schemeClr val="bg1"/>
        </a:solidFill>
        <a:ln w="6350">
          <a:solidFill>
            <a:schemeClr val="bg1">
              <a:lumMod val="85000"/>
            </a:schemeClr>
          </a:solidFill>
        </a:ln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507020996485099"/>
          <c:y val="9.916407143637998E-2"/>
          <c:w val="0.20899541123506671"/>
          <c:h val="4.210837431640467E-2"/>
        </c:manualLayout>
      </c:layout>
      <c:overlay val="0"/>
      <c:txPr>
        <a:bodyPr/>
        <a:lstStyle/>
        <a:p>
          <a:pPr>
            <a:defRPr b="1">
              <a:latin typeface="思源宋体 CN Light" panose="02020300000000000000" pitchFamily="18" charset="-122"/>
              <a:ea typeface="思源宋体 CN Light" panose="02020300000000000000" pitchFamily="18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6350">
      <a:solidFill>
        <a:schemeClr val="bg1">
          <a:lumMod val="85000"/>
        </a:schemeClr>
      </a:solidFill>
    </a:ln>
  </c:spPr>
  <c:txPr>
    <a:bodyPr/>
    <a:lstStyle/>
    <a:p>
      <a:pPr>
        <a:defRPr>
          <a:solidFill>
            <a:sysClr val="windowText" lastClr="000000"/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600" b="0"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zh-CN" altLang="en-US" sz="1400" b="1"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美国各州物价与人均收入矩阵</a:t>
            </a:r>
            <a:endParaRPr lang="en-US" altLang="zh-CN" sz="1400" b="1"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 sz="1600" b="0"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en-US" altLang="zh-CN" sz="1200" b="0">
                <a:solidFill>
                  <a:sysClr val="windowText" lastClr="000000"/>
                </a:solidFill>
                <a:latin typeface="ITC Officina Sans Std Book" panose="020B0506040203020204" pitchFamily="34" charset="0"/>
                <a:ea typeface="思源宋体 CN Light" panose="02020300000000000000" pitchFamily="18" charset="-122"/>
              </a:rPr>
              <a:t>2015</a:t>
            </a:r>
            <a:r>
              <a:rPr lang="zh-CN" altLang="en-US" sz="1200" b="0">
                <a:solidFill>
                  <a:sysClr val="windowText" lastClr="000000"/>
                </a:solidFill>
                <a:latin typeface="ITC Officina Sans Std Book" panose="020B0506040203020204" pitchFamily="34" charset="0"/>
                <a:ea typeface="思源宋体 CN Light" panose="02020300000000000000" pitchFamily="18" charset="-122"/>
              </a:rPr>
              <a:t>年</a:t>
            </a:r>
          </a:p>
        </c:rich>
      </c:tx>
      <c:layout>
        <c:manualLayout>
          <c:xMode val="edge"/>
          <c:yMode val="edge"/>
          <c:x val="1.2077293154640957E-2"/>
          <c:y val="2.08617186645940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112500177709369E-2"/>
          <c:y val="0.15951555034413978"/>
          <c:w val="0.86888337087231937"/>
          <c:h val="0.7327753482912186"/>
        </c:manualLayout>
      </c:layout>
      <c:scatterChart>
        <c:scatterStyle val="lineMarker"/>
        <c:varyColors val="0"/>
        <c:ser>
          <c:idx val="0"/>
          <c:order val="0"/>
          <c:tx>
            <c:v>美国东部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3.8647338094851068E-2"/>
                  <c:y val="2.1164014110231517E-2"/>
                </c:manualLayout>
              </c:layout>
              <c:tx>
                <c:strRef>
                  <c:f>Sheet3!$C$4</c:f>
                  <c:strCache>
                    <c:ptCount val="1"/>
                    <c:pt idx="0">
                      <c:v>AL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{65083974-A148-4972-991E-C97EF61278AF}</c15:txfldGUID>
                      <c15:f>Sheet3!$C$4</c15:f>
                      <c15:dlblFieldTableCache>
                        <c:ptCount val="1"/>
                        <c:pt idx="0">
                          <c:v>AL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F9D5-4497-B59E-7313495981B2}"/>
                </c:ext>
              </c:extLst>
            </c:dLbl>
            <c:dLbl>
              <c:idx val="1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Sheet3!$C$5</c:f>
                  <c:strCache>
                    <c:ptCount val="1"/>
                    <c:pt idx="0">
                      <c:v>AK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{0EBF7CB7-A1B6-4CB7-B636-122757BFCB68}</c15:txfldGUID>
                      <c15:f>Sheet3!$C$5</c15:f>
                      <c15:dlblFieldTableCache>
                        <c:ptCount val="1"/>
                        <c:pt idx="0">
                          <c:v>AK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F9D5-4497-B59E-7313495981B2}"/>
                </c:ext>
              </c:extLst>
            </c:dLbl>
            <c:dLbl>
              <c:idx val="2"/>
              <c:layout>
                <c:manualLayout>
                  <c:x val="-4.6698993660340242E-2"/>
                  <c:y val="-1.2698575111919306E-2"/>
                </c:manualLayout>
              </c:layout>
              <c:tx>
                <c:strRef>
                  <c:f>Sheet3!$C$6</c:f>
                  <c:strCache>
                    <c:ptCount val="1"/>
                    <c:pt idx="0">
                      <c:v>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{29B7D45E-F204-47B0-9A96-8E02850F6217}</c15:txfldGUID>
                      <c15:f>Sheet3!$C$6</c15:f>
                      <c15:dlblFieldTableCache>
                        <c:ptCount val="1"/>
                        <c:pt idx="0">
                          <c:v>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9D5-4497-B59E-7313495981B2}"/>
                </c:ext>
              </c:extLst>
            </c:dLbl>
            <c:dLbl>
              <c:idx val="3"/>
              <c:layout>
                <c:manualLayout>
                  <c:x val="-4.8309172618563835E-3"/>
                  <c:y val="-6.349204233069455E-3"/>
                </c:manualLayout>
              </c:layout>
              <c:tx>
                <c:strRef>
                  <c:f>Sheet3!$C$7</c:f>
                  <c:strCache>
                    <c:ptCount val="1"/>
                    <c:pt idx="0">
                      <c:v>DE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{64D4F859-3FE8-4EB8-B18E-7FE37CAA082F}</c15:txfldGUID>
                      <c15:f>Sheet3!$C$7</c15:f>
                      <c15:dlblFieldTableCache>
                        <c:ptCount val="1"/>
                        <c:pt idx="0">
                          <c:v>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9D5-4497-B59E-7313495981B2}"/>
                </c:ext>
              </c:extLst>
            </c:dLbl>
            <c:dLbl>
              <c:idx val="4"/>
              <c:layout>
                <c:manualLayout>
                  <c:x val="-4.2339883304819206E-2"/>
                  <c:y val="-2.7513218343300973E-2"/>
                </c:manualLayout>
              </c:layout>
              <c:tx>
                <c:strRef>
                  <c:f>Sheet3!$C$8</c:f>
                  <c:strCache>
                    <c:ptCount val="1"/>
                    <c:pt idx="0">
                      <c:v>DC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{6054839A-5713-466B-81C6-BBA2FAEB1F15}</c15:txfldGUID>
                      <c15:f>Sheet3!$C$8</c15:f>
                      <c15:dlblFieldTableCache>
                        <c:ptCount val="1"/>
                        <c:pt idx="0">
                          <c:v>DC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9D5-4497-B59E-7313495981B2}"/>
                </c:ext>
              </c:extLst>
            </c:dLbl>
            <c:dLbl>
              <c:idx val="5"/>
              <c:layout>
                <c:manualLayout>
                  <c:x val="-6.441223015808511E-3"/>
                  <c:y val="1.4814809877162062E-2"/>
                </c:manualLayout>
              </c:layout>
              <c:tx>
                <c:strRef>
                  <c:f>Sheet3!$C$9</c:f>
                  <c:strCache>
                    <c:ptCount val="1"/>
                    <c:pt idx="0">
                      <c:v>FL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{1335A199-CA4A-4A29-91B7-AFB092CDDCC1}</c15:txfldGUID>
                      <c15:f>Sheet3!$C$9</c15:f>
                      <c15:dlblFieldTableCache>
                        <c:ptCount val="1"/>
                        <c:pt idx="0">
                          <c:v>FL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9D5-4497-B59E-7313495981B2}"/>
                </c:ext>
              </c:extLst>
            </c:dLbl>
            <c:dLbl>
              <c:idx val="6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Sheet3!$C$10</c:f>
                  <c:strCache>
                    <c:ptCount val="1"/>
                    <c:pt idx="0">
                      <c:v>GA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{38F595B7-4F7E-4835-A908-41DF0B4B52FF}</c15:txfldGUID>
                      <c15:f>Sheet3!$C$10</c15:f>
                      <c15:dlblFieldTableCache>
                        <c:ptCount val="1"/>
                        <c:pt idx="0">
                          <c:v>GA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9D5-4497-B59E-7313495981B2}"/>
                </c:ext>
              </c:extLst>
            </c:dLbl>
            <c:dLbl>
              <c:idx val="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Sheet3!$C$11</c:f>
                  <c:strCache>
                    <c:ptCount val="1"/>
                    <c:pt idx="0">
                      <c:v>HI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{3CE7B3D9-753E-4C5E-A5AE-181F3E1E27CC}</c15:txfldGUID>
                      <c15:f>Sheet3!$C$11</c15:f>
                      <c15:dlblFieldTableCache>
                        <c:ptCount val="1"/>
                        <c:pt idx="0">
                          <c:v>HI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9D5-4497-B59E-7313495981B2}"/>
                </c:ext>
              </c:extLst>
            </c:dLbl>
            <c:dLbl>
              <c:idx val="8"/>
              <c:layout>
                <c:manualLayout>
                  <c:x val="-3.2206115079042555E-3"/>
                  <c:y val="1.269840846613891E-2"/>
                </c:manualLayout>
              </c:layout>
              <c:tx>
                <c:strRef>
                  <c:f>Sheet3!$C$12</c:f>
                  <c:strCache>
                    <c:ptCount val="1"/>
                    <c:pt idx="0">
                      <c:v>IL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{D8E93DF0-F0B8-493C-84B3-0A52CDDB6FC6}</c15:txfldGUID>
                      <c15:f>Sheet3!$C$12</c15:f>
                      <c15:dlblFieldTableCache>
                        <c:ptCount val="1"/>
                        <c:pt idx="0">
                          <c:v>IL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9D5-4497-B59E-7313495981B2}"/>
                </c:ext>
              </c:extLst>
            </c:dLbl>
            <c:dLbl>
              <c:idx val="9"/>
              <c:layout>
                <c:manualLayout>
                  <c:x val="-3.2206115079042558E-2"/>
                  <c:y val="2.539681693227782E-2"/>
                </c:manualLayout>
              </c:layout>
              <c:tx>
                <c:strRef>
                  <c:f>Sheet3!$C$13</c:f>
                  <c:strCache>
                    <c:ptCount val="1"/>
                    <c:pt idx="0">
                      <c:v>IN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{53AD9A47-7C87-4F26-A6E8-07E2AC8DFFDA}</c15:txfldGUID>
                      <c15:f>Sheet3!$C$13</c15:f>
                      <c15:dlblFieldTableCache>
                        <c:ptCount val="1"/>
                        <c:pt idx="0">
                          <c:v>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9D5-4497-B59E-7313495981B2}"/>
                </c:ext>
              </c:extLst>
            </c:dLbl>
            <c:dLbl>
              <c:idx val="10"/>
              <c:layout>
                <c:manualLayout>
                  <c:x val="-6.4413498115371689E-3"/>
                  <c:y val="-4.2329694678266989E-3"/>
                </c:manualLayout>
              </c:layout>
              <c:tx>
                <c:strRef>
                  <c:f>Sheet3!$C$14</c:f>
                  <c:strCache>
                    <c:ptCount val="1"/>
                    <c:pt idx="0">
                      <c:v>KY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{93E6B590-7E21-4A75-97DE-463A9DCDCD92}</c15:txfldGUID>
                      <c15:f>Sheet3!$C$14</c15:f>
                      <c15:dlblFieldTableCache>
                        <c:ptCount val="1"/>
                        <c:pt idx="0">
                          <c:v>KY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9D5-4497-B59E-7313495981B2}"/>
                </c:ext>
              </c:extLst>
            </c:dLbl>
            <c:dLbl>
              <c:idx val="11"/>
              <c:layout>
                <c:manualLayout>
                  <c:x val="-5.314008988042019E-2"/>
                  <c:y val="-4.2328028220463033E-3"/>
                </c:manualLayout>
              </c:layout>
              <c:tx>
                <c:strRef>
                  <c:f>Sheet3!$C$15</c:f>
                  <c:strCache>
                    <c:ptCount val="1"/>
                    <c:pt idx="0">
                      <c:v>ME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{B2B13DCC-A4E5-4CFD-B81C-4374E8E431BB}</c15:txfldGUID>
                      <c15:f>Sheet3!$C$15</c15:f>
                      <c15:dlblFieldTableCache>
                        <c:ptCount val="1"/>
                        <c:pt idx="0">
                          <c:v>ME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9D5-4497-B59E-7313495981B2}"/>
                </c:ext>
              </c:extLst>
            </c:dLbl>
            <c:dLbl>
              <c:idx val="12"/>
              <c:layout>
                <c:manualLayout>
                  <c:x val="-6.441223015808511E-3"/>
                  <c:y val="-1.66645780434324E-7"/>
                </c:manualLayout>
              </c:layout>
              <c:tx>
                <c:strRef>
                  <c:f>Sheet3!$C$16</c:f>
                  <c:strCache>
                    <c:ptCount val="1"/>
                    <c:pt idx="0">
                      <c:v>MD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{D7981C20-44CB-4C96-8D0D-E97A51F7C178}</c15:txfldGUID>
                      <c15:f>Sheet3!$C$16</c15:f>
                      <c15:dlblFieldTableCache>
                        <c:ptCount val="1"/>
                        <c:pt idx="0">
                          <c:v>MD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9D5-4497-B59E-7313495981B2}"/>
                </c:ext>
              </c:extLst>
            </c:dLbl>
            <c:dLbl>
              <c:idx val="13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Sheet3!$C$17</c:f>
                  <c:strCache>
                    <c:ptCount val="1"/>
                    <c:pt idx="0">
                      <c:v>MA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{B6CAA7A2-D01F-4359-8FE5-329C93D28D92}</c15:txfldGUID>
                      <c15:f>Sheet3!$C$17</c15:f>
                      <c15:dlblFieldTableCache>
                        <c:ptCount val="1"/>
                        <c:pt idx="0">
                          <c:v>MA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9D5-4497-B59E-7313495981B2}"/>
                </c:ext>
              </c:extLst>
            </c:dLbl>
            <c:dLbl>
              <c:idx val="14"/>
              <c:layout>
                <c:manualLayout>
                  <c:x val="-6.441223015808511E-3"/>
                  <c:y val="0"/>
                </c:manualLayout>
              </c:layout>
              <c:tx>
                <c:strRef>
                  <c:f>Sheet3!$C$18</c:f>
                  <c:strCache>
                    <c:ptCount val="1"/>
                    <c:pt idx="0">
                      <c:v>MI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{439634EE-0DA5-40A4-A2F0-5322B64B26DA}</c15:txfldGUID>
                      <c15:f>Sheet3!$C$18</c15:f>
                      <c15:dlblFieldTableCache>
                        <c:ptCount val="1"/>
                        <c:pt idx="0">
                          <c:v>MI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9D5-4497-B59E-7313495981B2}"/>
                </c:ext>
              </c:extLst>
            </c:dLbl>
            <c:dLbl>
              <c:idx val="15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Sheet3!$C$19</c:f>
                  <c:strCache>
                    <c:ptCount val="1"/>
                    <c:pt idx="0">
                      <c:v>MS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{C951A70B-EE73-41CD-AEA5-6FDFE10F823B}</c15:txfldGUID>
                      <c15:f>Sheet3!$C$19</c15:f>
                      <c15:dlblFieldTableCache>
                        <c:ptCount val="1"/>
                        <c:pt idx="0">
                          <c:v>MS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9D5-4497-B59E-7313495981B2}"/>
                </c:ext>
              </c:extLst>
            </c:dLbl>
            <c:dLbl>
              <c:idx val="1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Sheet3!$C$20</c:f>
                  <c:strCache>
                    <c:ptCount val="1"/>
                    <c:pt idx="0">
                      <c:v>NH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{74AC9D28-2E1E-4ACF-B925-176E843FAA0A}</c15:txfldGUID>
                      <c15:f>Sheet3!$C$20</c15:f>
                      <c15:dlblFieldTableCache>
                        <c:ptCount val="1"/>
                        <c:pt idx="0">
                          <c:v>NH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9D5-4497-B59E-7313495981B2}"/>
                </c:ext>
              </c:extLst>
            </c:dLbl>
            <c:dLbl>
              <c:idx val="17"/>
              <c:layout>
                <c:manualLayout>
                  <c:x val="-8.0515287697606394E-3"/>
                  <c:y val="0"/>
                </c:manualLayout>
              </c:layout>
              <c:tx>
                <c:strRef>
                  <c:f>Sheet3!$C$21</c:f>
                  <c:strCache>
                    <c:ptCount val="1"/>
                    <c:pt idx="0">
                      <c:v>NJ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{B07BC3DC-376D-4DAA-83EF-00CD11904179}</c15:txfldGUID>
                      <c15:f>Sheet3!$C$21</c15:f>
                      <c15:dlblFieldTableCache>
                        <c:ptCount val="1"/>
                        <c:pt idx="0">
                          <c:v>NJ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9D5-4497-B59E-7313495981B2}"/>
                </c:ext>
              </c:extLst>
            </c:dLbl>
            <c:dLbl>
              <c:idx val="18"/>
              <c:layout>
                <c:manualLayout>
                  <c:x val="-6.4413498115371689E-3"/>
                  <c:y val="0"/>
                </c:manualLayout>
              </c:layout>
              <c:tx>
                <c:strRef>
                  <c:f>Sheet3!$C$22</c:f>
                  <c:strCache>
                    <c:ptCount val="1"/>
                    <c:pt idx="0">
                      <c:v>NY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{2BA43BDF-8A5B-480C-8C70-04A9191756B3}</c15:txfldGUID>
                      <c15:f>Sheet3!$C$22</c15:f>
                      <c15:dlblFieldTableCache>
                        <c:ptCount val="1"/>
                        <c:pt idx="0">
                          <c:v>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9D5-4497-B59E-7313495981B2}"/>
                </c:ext>
              </c:extLst>
            </c:dLbl>
            <c:dLbl>
              <c:idx val="19"/>
              <c:layout>
                <c:manualLayout>
                  <c:x val="-4.6698866864611707E-2"/>
                  <c:y val="2.1164014110231517E-2"/>
                </c:manualLayout>
              </c:layout>
              <c:tx>
                <c:strRef>
                  <c:f>Sheet3!$C$23</c:f>
                  <c:strCache>
                    <c:ptCount val="1"/>
                    <c:pt idx="0">
                      <c:v>NC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{98FB8FC9-EE71-4303-A3A4-55336DF4429C}</c15:txfldGUID>
                      <c15:f>Sheet3!$C$23</c15:f>
                      <c15:dlblFieldTableCache>
                        <c:ptCount val="1"/>
                        <c:pt idx="0">
                          <c:v>NC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9D5-4497-B59E-7313495981B2}"/>
                </c:ext>
              </c:extLst>
            </c:dLbl>
            <c:dLbl>
              <c:idx val="20"/>
              <c:layout>
                <c:manualLayout>
                  <c:x val="-1.2882446031617022E-2"/>
                  <c:y val="1.693104464240474E-2"/>
                </c:manualLayout>
              </c:layout>
              <c:tx>
                <c:strRef>
                  <c:f>Sheet3!$C$24</c:f>
                  <c:strCache>
                    <c:ptCount val="1"/>
                    <c:pt idx="0">
                      <c:v>OH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{C8F24259-EFAF-462E-8141-43F82A4748B7}</c15:txfldGUID>
                      <c15:f>Sheet3!$C$24</c15:f>
                      <c15:dlblFieldTableCache>
                        <c:ptCount val="1"/>
                        <c:pt idx="0">
                          <c:v>OH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9D5-4497-B59E-7313495981B2}"/>
                </c:ext>
              </c:extLst>
            </c:dLbl>
            <c:dLbl>
              <c:idx val="21"/>
              <c:layout>
                <c:manualLayout>
                  <c:x val="-2.2544407351058445E-2"/>
                  <c:y val="1.9047612699208287E-2"/>
                </c:manualLayout>
              </c:layout>
              <c:tx>
                <c:strRef>
                  <c:f>Sheet3!$C$25</c:f>
                  <c:strCache>
                    <c:ptCount val="1"/>
                    <c:pt idx="0">
                      <c:v>PA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{C1F2A669-1877-4DC1-9275-B5500181563E}</c15:txfldGUID>
                      <c15:f>Sheet3!$C$25</c15:f>
                      <c15:dlblFieldTableCache>
                        <c:ptCount val="1"/>
                        <c:pt idx="0">
                          <c:v>PA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9D5-4497-B59E-7313495981B2}"/>
                </c:ext>
              </c:extLst>
            </c:dLbl>
            <c:dLbl>
              <c:idx val="22"/>
              <c:layout>
                <c:manualLayout>
                  <c:x val="-4.6698866864611707E-2"/>
                  <c:y val="-4.2328028220463033E-3"/>
                </c:manualLayout>
              </c:layout>
              <c:tx>
                <c:strRef>
                  <c:f>Sheet3!$C$26</c:f>
                  <c:strCache>
                    <c:ptCount val="1"/>
                    <c:pt idx="0">
                      <c:v>RI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{C2B1507A-8EDA-4C4C-AE27-2637A7B09210}</c15:txfldGUID>
                      <c15:f>Sheet3!$C$26</c15:f>
                      <c15:dlblFieldTableCache>
                        <c:ptCount val="1"/>
                        <c:pt idx="0">
                          <c:v>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F9D5-4497-B59E-7313495981B2}"/>
                </c:ext>
              </c:extLst>
            </c:dLbl>
            <c:dLbl>
              <c:idx val="23"/>
              <c:layout>
                <c:manualLayout>
                  <c:x val="-3.220738303632913E-3"/>
                  <c:y val="-6.349204233069455E-3"/>
                </c:manualLayout>
              </c:layout>
              <c:tx>
                <c:strRef>
                  <c:f>Sheet3!$C$27</c:f>
                  <c:strCache>
                    <c:ptCount val="1"/>
                    <c:pt idx="0">
                      <c:v>SC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{A2C06217-31FA-4693-A9A7-49B631FD05CB}</c15:txfldGUID>
                      <c15:f>Sheet3!$C$27</c15:f>
                      <c15:dlblFieldTableCache>
                        <c:ptCount val="1"/>
                        <c:pt idx="0">
                          <c:v>SC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9D5-4497-B59E-7313495981B2}"/>
                </c:ext>
              </c:extLst>
            </c:dLbl>
            <c:dLbl>
              <c:idx val="24"/>
              <c:layout>
                <c:manualLayout>
                  <c:x val="3.2206115079042555E-3"/>
                  <c:y val="3.3862422576370427E-2"/>
                </c:manualLayout>
              </c:layout>
              <c:tx>
                <c:strRef>
                  <c:f>Sheet3!$C$28</c:f>
                  <c:strCache>
                    <c:ptCount val="1"/>
                    <c:pt idx="0">
                      <c:v>TN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{3E5AFB30-E999-4618-A2C4-1A10184DF4F9}</c15:txfldGUID>
                      <c15:f>Sheet3!$C$28</c15:f>
                      <c15:dlblFieldTableCache>
                        <c:ptCount val="1"/>
                        <c:pt idx="0">
                          <c:v>TN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9D5-4497-B59E-7313495981B2}"/>
                </c:ext>
              </c:extLst>
            </c:dLbl>
            <c:dLbl>
              <c:idx val="25"/>
              <c:layout>
                <c:manualLayout>
                  <c:x val="-4.3478255356707449E-2"/>
                  <c:y val="-1.9047612699208367E-2"/>
                </c:manualLayout>
              </c:layout>
              <c:tx>
                <c:strRef>
                  <c:f>Sheet3!$C$29</c:f>
                  <c:strCache>
                    <c:ptCount val="1"/>
                    <c:pt idx="0">
                      <c:v>VT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{0FF0C952-2511-409A-88B9-F9CD2E31F013}</c15:txfldGUID>
                      <c15:f>Sheet3!$C$29</c15:f>
                      <c15:dlblFieldTableCache>
                        <c:ptCount val="1"/>
                        <c:pt idx="0">
                          <c:v>VT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9D5-4497-B59E-7313495981B2}"/>
                </c:ext>
              </c:extLst>
            </c:dLbl>
            <c:dLbl>
              <c:idx val="26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Sheet3!$C$30</c:f>
                  <c:strCache>
                    <c:ptCount val="1"/>
                    <c:pt idx="0">
                      <c:v>VA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{19DBD491-6FFA-4391-86E3-6EBD49AD84FA}</c15:txfldGUID>
                      <c15:f>Sheet3!$C$30</c15:f>
                      <c15:dlblFieldTableCache>
                        <c:ptCount val="1"/>
                        <c:pt idx="0">
                          <c:v>VA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9D5-4497-B59E-7313495981B2}"/>
                </c:ext>
              </c:extLst>
            </c:dLbl>
            <c:dLbl>
              <c:idx val="27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Sheet3!$C$31</c:f>
                  <c:strCache>
                    <c:ptCount val="1"/>
                    <c:pt idx="0">
                      <c:v>WV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{D05DABA1-45F9-4587-81EC-FCFE0B9112BF}</c15:txfldGUID>
                      <c15:f>Sheet3!$C$31</c15:f>
                      <c15:dlblFieldTableCache>
                        <c:ptCount val="1"/>
                        <c:pt idx="0">
                          <c:v>WV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9D5-4497-B59E-7313495981B2}"/>
                </c:ext>
              </c:extLst>
            </c:dLbl>
            <c:dLbl>
              <c:idx val="28"/>
              <c:layout>
                <c:manualLayout>
                  <c:x val="-3.2206115079042555E-3"/>
                  <c:y val="0"/>
                </c:manualLayout>
              </c:layout>
              <c:tx>
                <c:strRef>
                  <c:f>Sheet3!$C$32</c:f>
                  <c:strCache>
                    <c:ptCount val="1"/>
                    <c:pt idx="0">
                      <c:v>WI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{3867DB9F-27B8-4C7E-9DBB-E21BE5598723}</c15:txfldGUID>
                      <c15:f>Sheet3!$C$32</c15:f>
                      <c15:dlblFieldTableCache>
                        <c:ptCount val="1"/>
                        <c:pt idx="0">
                          <c:v>WI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F9D5-4497-B59E-7313495981B2}"/>
                </c:ext>
              </c:extLst>
            </c:dLbl>
            <c:dLbl>
              <c:idx val="29"/>
              <c:layout>
                <c:manualLayout>
                  <c:x val="-8.0515287697606394E-3"/>
                  <c:y val="7.7600488623382418E-17"/>
                </c:manualLayout>
              </c:layout>
              <c:tx>
                <c:strRef>
                  <c:f>Sheet3!$C$33</c:f>
                  <c:strCache>
                    <c:ptCount val="1"/>
                    <c:pt idx="0">
                      <c:v>WY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solidFill>
                        <a:sysClr val="windowText" lastClr="000000"/>
                      </a:solidFill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{DA5FF0EB-0BAD-4BF3-8463-157766E0BD4F}</c15:txfldGUID>
                      <c15:f>Sheet3!$C$33</c15:f>
                      <c15:dlblFieldTableCache>
                        <c:ptCount val="1"/>
                        <c:pt idx="0">
                          <c:v>WY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9D5-4497-B59E-7313495981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ysClr val="windowText" lastClr="000000"/>
                    </a:solidFill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Sheet4!$E$4:$E$33</c:f>
              <c:numCache>
                <c:formatCode>0.00%</c:formatCode>
                <c:ptCount val="30"/>
                <c:pt idx="0">
                  <c:v>-9.0114111399841823E-2</c:v>
                </c:pt>
                <c:pt idx="1">
                  <c:v>0.10660942266410575</c:v>
                </c:pt>
                <c:pt idx="2">
                  <c:v>0.29974014235679586</c:v>
                </c:pt>
                <c:pt idx="3">
                  <c:v>-3.0233871878883743E-2</c:v>
                </c:pt>
                <c:pt idx="4">
                  <c:v>0.30929838436334878</c:v>
                </c:pt>
                <c:pt idx="5">
                  <c:v>-5.590328776409445E-2</c:v>
                </c:pt>
                <c:pt idx="6">
                  <c:v>-8.3945316913343129E-2</c:v>
                </c:pt>
                <c:pt idx="7">
                  <c:v>-0.14961021353519377</c:v>
                </c:pt>
                <c:pt idx="8">
                  <c:v>5.4276352954468421E-2</c:v>
                </c:pt>
                <c:pt idx="9">
                  <c:v>-4.6503219975144054E-2</c:v>
                </c:pt>
                <c:pt idx="10">
                  <c:v>-0.10195458140323127</c:v>
                </c:pt>
                <c:pt idx="11">
                  <c:v>-9.6192520619139077E-2</c:v>
                </c:pt>
                <c:pt idx="12">
                  <c:v>6.132640379618122E-2</c:v>
                </c:pt>
                <c:pt idx="13">
                  <c:v>0.2152751101570444</c:v>
                </c:pt>
                <c:pt idx="14">
                  <c:v>-4.7045531578352728E-2</c:v>
                </c:pt>
                <c:pt idx="15">
                  <c:v>-0.16644446955146311</c:v>
                </c:pt>
                <c:pt idx="16">
                  <c:v>7.4002937521184045E-2</c:v>
                </c:pt>
                <c:pt idx="17">
                  <c:v>9.7955033329567287E-2</c:v>
                </c:pt>
                <c:pt idx="18">
                  <c:v>4.9485933792791773E-2</c:v>
                </c:pt>
                <c:pt idx="19">
                  <c:v>-6.1529770647384477E-2</c:v>
                </c:pt>
                <c:pt idx="20">
                  <c:v>1.554626595864874E-2</c:v>
                </c:pt>
                <c:pt idx="21">
                  <c:v>5.1564794938425036E-2</c:v>
                </c:pt>
                <c:pt idx="22">
                  <c:v>4.2119534515873913E-2</c:v>
                </c:pt>
                <c:pt idx="23">
                  <c:v>-0.11178397921138854</c:v>
                </c:pt>
                <c:pt idx="24">
                  <c:v>-3.0572816630889166E-2</c:v>
                </c:pt>
                <c:pt idx="25">
                  <c:v>-5.3327307648853234E-3</c:v>
                </c:pt>
                <c:pt idx="26">
                  <c:v>5.2581629194441308E-2</c:v>
                </c:pt>
                <c:pt idx="27">
                  <c:v>-0.1498813693367981</c:v>
                </c:pt>
                <c:pt idx="28">
                  <c:v>2.0246299853123942E-2</c:v>
                </c:pt>
                <c:pt idx="29">
                  <c:v>0.20917410462094679</c:v>
                </c:pt>
              </c:numCache>
            </c:numRef>
          </c:xVal>
          <c:yVal>
            <c:numRef>
              <c:f>Sheet4!$F$4:$F$33</c:f>
              <c:numCache>
                <c:formatCode>General</c:formatCode>
                <c:ptCount val="30"/>
                <c:pt idx="0">
                  <c:v>86.8</c:v>
                </c:pt>
                <c:pt idx="1">
                  <c:v>105.6</c:v>
                </c:pt>
                <c:pt idx="2">
                  <c:v>108.7</c:v>
                </c:pt>
                <c:pt idx="3">
                  <c:v>100.4</c:v>
                </c:pt>
                <c:pt idx="4">
                  <c:v>117</c:v>
                </c:pt>
                <c:pt idx="5">
                  <c:v>99.5</c:v>
                </c:pt>
                <c:pt idx="6">
                  <c:v>92.6</c:v>
                </c:pt>
                <c:pt idx="7">
                  <c:v>118.8</c:v>
                </c:pt>
                <c:pt idx="8">
                  <c:v>99.7</c:v>
                </c:pt>
                <c:pt idx="9">
                  <c:v>90.7</c:v>
                </c:pt>
                <c:pt idx="10">
                  <c:v>88.6</c:v>
                </c:pt>
                <c:pt idx="11">
                  <c:v>98</c:v>
                </c:pt>
                <c:pt idx="12">
                  <c:v>109.6</c:v>
                </c:pt>
                <c:pt idx="13">
                  <c:v>106.9</c:v>
                </c:pt>
                <c:pt idx="14">
                  <c:v>93.5</c:v>
                </c:pt>
                <c:pt idx="15">
                  <c:v>86.2</c:v>
                </c:pt>
                <c:pt idx="16">
                  <c:v>105</c:v>
                </c:pt>
                <c:pt idx="17">
                  <c:v>113.4</c:v>
                </c:pt>
                <c:pt idx="18">
                  <c:v>115.3</c:v>
                </c:pt>
                <c:pt idx="19">
                  <c:v>91.2</c:v>
                </c:pt>
                <c:pt idx="20">
                  <c:v>89.2</c:v>
                </c:pt>
                <c:pt idx="21">
                  <c:v>97.9</c:v>
                </c:pt>
                <c:pt idx="22">
                  <c:v>98.7</c:v>
                </c:pt>
                <c:pt idx="23">
                  <c:v>90.3</c:v>
                </c:pt>
                <c:pt idx="24">
                  <c:v>89.9</c:v>
                </c:pt>
                <c:pt idx="25">
                  <c:v>101.6</c:v>
                </c:pt>
                <c:pt idx="26">
                  <c:v>102.5</c:v>
                </c:pt>
                <c:pt idx="27">
                  <c:v>88.9</c:v>
                </c:pt>
                <c:pt idx="28">
                  <c:v>93.1</c:v>
                </c:pt>
                <c:pt idx="29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D5-4497-B59E-7313495981B2}"/>
            </c:ext>
          </c:extLst>
        </c:ser>
        <c:ser>
          <c:idx val="1"/>
          <c:order val="1"/>
          <c:tx>
            <c:strRef>
              <c:f>Sheet4!$H$3</c:f>
              <c:strCache>
                <c:ptCount val="1"/>
                <c:pt idx="0">
                  <c:v>坐标轴刻度线方向标签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4107542558035354E-2"/>
                  <c:y val="-3.1062183108864407E-2"/>
                </c:manualLayout>
              </c:layout>
              <c:tx>
                <c:rich>
                  <a:bodyPr/>
                  <a:lstStyle/>
                  <a:p>
                    <a:pPr>
                      <a:defRPr sz="1100" b="1"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defRPr>
                    </a:pPr>
                    <a:r>
                      <a:rPr lang="zh-CN" altLang="en-US" sz="1100" b="1">
                        <a:solidFill>
                          <a:sysClr val="windowText" lastClr="000000"/>
                        </a:solidFill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rPr>
                      <a:t>收入更高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9D5-4497-B59E-7313495981B2}"/>
                </c:ext>
              </c:extLst>
            </c:dLbl>
            <c:dLbl>
              <c:idx val="1"/>
              <c:layout>
                <c:manualLayout>
                  <c:x val="-4.4032439602748198E-2"/>
                  <c:y val="-2.2014551639785097E-2"/>
                </c:manualLayout>
              </c:layout>
              <c:tx>
                <c:rich>
                  <a:bodyPr/>
                  <a:lstStyle/>
                  <a:p>
                    <a:pPr>
                      <a:defRPr sz="1100" b="1">
                        <a:latin typeface="思源宋体 CN Light" panose="02020300000000000000" pitchFamily="18" charset="-122"/>
                        <a:ea typeface="思源宋体 CN Light" panose="02020300000000000000" pitchFamily="18" charset="-122"/>
                      </a:defRPr>
                    </a:pPr>
                    <a:r>
                      <a:rPr lang="zh-CN" altLang="en-US" sz="1100"/>
                      <a:t>物价更高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9D5-4497-B59E-7313495981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Sheet4!$H$5:$H$6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Sheet4!$I$5:$I$6</c:f>
              <c:numCache>
                <c:formatCode>General</c:formatCode>
                <c:ptCount val="2"/>
                <c:pt idx="0">
                  <c:v>100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D5-4497-B59E-7313495981B2}"/>
            </c:ext>
          </c:extLst>
        </c:ser>
        <c:ser>
          <c:idx val="2"/>
          <c:order val="2"/>
          <c:tx>
            <c:strRef>
              <c:f>Sheet4!$H$8</c:f>
              <c:strCache>
                <c:ptCount val="1"/>
                <c:pt idx="0">
                  <c:v>象限标签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9D5-4497-B59E-7313495981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低收入高物价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9D5-4497-B59E-7313495981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低收入低物价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9D5-4497-B59E-7313495981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sz="1200">
                        <a:solidFill>
                          <a:schemeClr val="tx1"/>
                        </a:solidFill>
                      </a:rPr>
                      <a:t>高收入低物价</a:t>
                    </a:r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9D5-4497-B59E-7313495981B2}"/>
                </c:ext>
              </c:extLst>
            </c:dLbl>
            <c:spPr>
              <a:solidFill>
                <a:srgbClr val="FFC000"/>
              </a:solidFill>
            </c:spPr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Sheet4!$H$10:$H$13</c:f>
              <c:numCache>
                <c:formatCode>0%</c:formatCode>
                <c:ptCount val="4"/>
                <c:pt idx="0">
                  <c:v>0.26500000000000001</c:v>
                </c:pt>
                <c:pt idx="1">
                  <c:v>-0.155</c:v>
                </c:pt>
                <c:pt idx="2">
                  <c:v>-0.155</c:v>
                </c:pt>
                <c:pt idx="3">
                  <c:v>0.26500000000000001</c:v>
                </c:pt>
              </c:numCache>
            </c:numRef>
          </c:xVal>
          <c:yVal>
            <c:numRef>
              <c:f>Sheet4!$I$10:$I$13</c:f>
              <c:numCache>
                <c:formatCode>General</c:formatCode>
                <c:ptCount val="4"/>
                <c:pt idx="0">
                  <c:v>116.5</c:v>
                </c:pt>
                <c:pt idx="1">
                  <c:v>116.5</c:v>
                </c:pt>
                <c:pt idx="2">
                  <c:v>83</c:v>
                </c:pt>
                <c:pt idx="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D5-4497-B59E-7313495981B2}"/>
            </c:ext>
          </c:extLst>
        </c:ser>
        <c:ser>
          <c:idx val="3"/>
          <c:order val="3"/>
          <c:tx>
            <c:v>美国西部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5152338094217089E-3"/>
                  <c:y val="0"/>
                </c:manualLayout>
              </c:layout>
              <c:tx>
                <c:strRef>
                  <c:f>Sheet3!$C$34</c:f>
                  <c:strCache>
                    <c:ptCount val="1"/>
                    <c:pt idx="0">
                      <c:v>AZ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{0F459CD8-F17F-4023-8A98-FAA023E0F755}</c15:txfldGUID>
                      <c15:f>Sheet3!$C$34</c15:f>
                      <c15:dlblFieldTableCache>
                        <c:ptCount val="1"/>
                        <c:pt idx="0">
                          <c:v>AZ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F9D5-4497-B59E-7313495981B2}"/>
                </c:ext>
              </c:extLst>
            </c:dLbl>
            <c:dLbl>
              <c:idx val="1"/>
              <c:layout>
                <c:manualLayout>
                  <c:x val="-9.8148769682025478E-3"/>
                  <c:y val="8.4656056440926067E-3"/>
                </c:manualLayout>
              </c:layout>
              <c:tx>
                <c:strRef>
                  <c:f>Sheet3!$C$35</c:f>
                  <c:strCache>
                    <c:ptCount val="1"/>
                    <c:pt idx="0">
                      <c:v>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{C28895D2-29F6-46F3-86E0-CA3358866AD7}</c15:txfldGUID>
                      <c15:f>Sheet3!$C$35</c15:f>
                      <c15:dlblFieldTableCache>
                        <c:ptCount val="1"/>
                        <c:pt idx="0">
                          <c:v>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F9D5-4497-B59E-7313495981B2}"/>
                </c:ext>
              </c:extLst>
            </c:dLbl>
            <c:dLbl>
              <c:idx val="2"/>
              <c:layout>
                <c:manualLayout>
                  <c:x val="-4.3494358414246974E-2"/>
                  <c:y val="0"/>
                </c:manualLayout>
              </c:layout>
              <c:tx>
                <c:strRef>
                  <c:f>Sheet3!$C$36</c:f>
                  <c:strCache>
                    <c:ptCount val="1"/>
                    <c:pt idx="0">
                      <c:v>CA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{52D2DAAF-473B-419A-9C8E-FFBFC633DD7C}</c15:txfldGUID>
                      <c15:f>Sheet3!$C$36</c15:f>
                      <c15:dlblFieldTableCache>
                        <c:ptCount val="1"/>
                        <c:pt idx="0">
                          <c:v>CA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F9D5-4497-B59E-7313495981B2}"/>
                </c:ext>
              </c:extLst>
            </c:dLbl>
            <c:dLbl>
              <c:idx val="3"/>
              <c:layout>
                <c:manualLayout>
                  <c:x val="-4.4702214525439724E-2"/>
                  <c:y val="0"/>
                </c:manualLayout>
              </c:layout>
              <c:tx>
                <c:strRef>
                  <c:f>Sheet3!$C$37</c:f>
                  <c:strCache>
                    <c:ptCount val="1"/>
                    <c:pt idx="0">
                      <c:v>CO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{ECCDA68A-A89B-448E-A841-44987B346FDD}</c15:txfldGUID>
                      <c15:f>Sheet3!$C$37</c15:f>
                      <c15:dlblFieldTableCache>
                        <c:ptCount val="1"/>
                        <c:pt idx="0">
                          <c:v>CO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F9D5-4497-B59E-7313495981B2}"/>
                </c:ext>
              </c:extLst>
            </c:dLbl>
            <c:dLbl>
              <c:idx val="4"/>
              <c:layout>
                <c:manualLayout>
                  <c:x val="-3.9943570828918203E-2"/>
                  <c:y val="0"/>
                </c:manualLayout>
              </c:layout>
              <c:tx>
                <c:strRef>
                  <c:f>Sheet3!$C$38</c:f>
                  <c:strCache>
                    <c:ptCount val="1"/>
                    <c:pt idx="0">
                      <c:v>ID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{55EABAFB-B4E6-45ED-A4A4-1705A4B09DC4}</c15:txfldGUID>
                      <c15:f>Sheet3!$C$38</c15:f>
                      <c15:dlblFieldTableCache>
                        <c:ptCount val="1"/>
                        <c:pt idx="0">
                          <c:v>ID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F9D5-4497-B59E-7313495981B2}"/>
                </c:ext>
              </c:extLst>
            </c:dLbl>
            <c:dLbl>
              <c:idx val="5"/>
              <c:layout>
                <c:manualLayout>
                  <c:x val="-4.1030717406428871E-2"/>
                  <c:y val="7.7600488623382418E-17"/>
                </c:manualLayout>
              </c:layout>
              <c:tx>
                <c:strRef>
                  <c:f>Sheet3!$C$39</c:f>
                  <c:strCache>
                    <c:ptCount val="1"/>
                    <c:pt idx="0">
                      <c:v>IA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{3E9C139E-82E0-4F58-A05A-80DEBC94185A}</c15:txfldGUID>
                      <c15:f>Sheet3!$C$39</c15:f>
                      <c15:dlblFieldTableCache>
                        <c:ptCount val="1"/>
                        <c:pt idx="0">
                          <c:v>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F9D5-4497-B59E-7313495981B2}"/>
                </c:ext>
              </c:extLst>
            </c:dLbl>
            <c:dLbl>
              <c:idx val="6"/>
              <c:layout>
                <c:manualLayout>
                  <c:x val="-4.1561991509504417E-2"/>
                  <c:y val="0"/>
                </c:manualLayout>
              </c:layout>
              <c:tx>
                <c:strRef>
                  <c:f>Sheet3!$C$40</c:f>
                  <c:strCache>
                    <c:ptCount val="1"/>
                    <c:pt idx="0">
                      <c:v>KS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{B2EE4721-7D26-4B05-8DDA-F52F8E8704F5}</c15:txfldGUID>
                      <c15:f>Sheet3!$C$40</c15:f>
                      <c15:dlblFieldTableCache>
                        <c:ptCount val="1"/>
                        <c:pt idx="0">
                          <c:v>KS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F9D5-4497-B59E-7313495981B2}"/>
                </c:ext>
              </c:extLst>
            </c:dLbl>
            <c:dLbl>
              <c:idx val="7"/>
              <c:layout>
                <c:manualLayout>
                  <c:x val="-1.9315680916520101E-2"/>
                  <c:y val="-2.5396816932277744E-2"/>
                </c:manualLayout>
              </c:layout>
              <c:tx>
                <c:strRef>
                  <c:f>Sheet3!$C$41</c:f>
                  <c:strCache>
                    <c:ptCount val="1"/>
                    <c:pt idx="0">
                      <c:v>LA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{C45643E0-FB3D-44EA-9B8F-911D39846C12}</c15:txfldGUID>
                      <c15:f>Sheet3!$C$41</c15:f>
                      <c15:dlblFieldTableCache>
                        <c:ptCount val="1"/>
                        <c:pt idx="0">
                          <c:v>LA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F9D5-4497-B59E-7313495981B2}"/>
                </c:ext>
              </c:extLst>
            </c:dLbl>
            <c:dLbl>
              <c:idx val="8"/>
              <c:layout>
                <c:manualLayout>
                  <c:x val="-2.3357421563211283E-2"/>
                  <c:y val="1.9047612699208367E-2"/>
                </c:manualLayout>
              </c:layout>
              <c:tx>
                <c:strRef>
                  <c:f>Sheet3!$C$42</c:f>
                  <c:strCache>
                    <c:ptCount val="1"/>
                    <c:pt idx="0">
                      <c:v>MN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{1BCD7C75-8070-4721-A257-AD3C8ADDC621}</c15:txfldGUID>
                      <c15:f>Sheet3!$C$42</c15:f>
                      <c15:dlblFieldTableCache>
                        <c:ptCount val="1"/>
                        <c:pt idx="0">
                          <c:v>MN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F9D5-4497-B59E-7313495981B2}"/>
                </c:ext>
              </c:extLst>
            </c:dLbl>
            <c:dLbl>
              <c:idx val="9"/>
              <c:layout>
                <c:manualLayout>
                  <c:x val="-5.7415515055027441E-2"/>
                  <c:y val="8.4656056440926067E-3"/>
                </c:manualLayout>
              </c:layout>
              <c:tx>
                <c:strRef>
                  <c:f>Sheet3!$C$43</c:f>
                  <c:strCache>
                    <c:ptCount val="1"/>
                    <c:pt idx="0">
                      <c:v>MO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{79EE1911-423E-4007-A933-3F1126B075DB}</c15:txfldGUID>
                      <c15:f>Sheet3!$C$43</c15:f>
                      <c15:dlblFieldTableCache>
                        <c:ptCount val="1"/>
                        <c:pt idx="0">
                          <c:v>MO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F9D5-4497-B59E-7313495981B2}"/>
                </c:ext>
              </c:extLst>
            </c:dLbl>
            <c:dLbl>
              <c:idx val="10"/>
              <c:layout>
                <c:manualLayout>
                  <c:x val="-4.6827691324927874E-2"/>
                  <c:y val="0"/>
                </c:manualLayout>
              </c:layout>
              <c:tx>
                <c:strRef>
                  <c:f>Sheet3!$C$44</c:f>
                  <c:strCache>
                    <c:ptCount val="1"/>
                    <c:pt idx="0">
                      <c:v>MT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{74B9C3B0-E572-4FAC-A618-BC7E9511F379}</c15:txfldGUID>
                      <c15:f>Sheet3!$C$44</c15:f>
                      <c15:dlblFieldTableCache>
                        <c:ptCount val="1"/>
                        <c:pt idx="0">
                          <c:v>MT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F9D5-4497-B59E-7313495981B2}"/>
                </c:ext>
              </c:extLst>
            </c:dLbl>
            <c:dLbl>
              <c:idx val="11"/>
              <c:layout>
                <c:manualLayout>
                  <c:x val="-4.3808304638403309E-2"/>
                  <c:y val="0"/>
                </c:manualLayout>
              </c:layout>
              <c:tx>
                <c:strRef>
                  <c:f>Sheet3!$C$45</c:f>
                  <c:strCache>
                    <c:ptCount val="1"/>
                    <c:pt idx="0">
                      <c:v>NE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{1E1E5978-6BFD-4546-A682-7842CCB31C1F}</c15:txfldGUID>
                      <c15:f>Sheet3!$C$45</c15:f>
                      <c15:dlblFieldTableCache>
                        <c:ptCount val="1"/>
                        <c:pt idx="0">
                          <c:v>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F9D5-4497-B59E-7313495981B2}"/>
                </c:ext>
              </c:extLst>
            </c:dLbl>
            <c:dLbl>
              <c:idx val="12"/>
              <c:layout>
                <c:manualLayout>
                  <c:x val="-7.9147161785390364E-3"/>
                  <c:y val="1.0582007055115758E-2"/>
                </c:manualLayout>
              </c:layout>
              <c:tx>
                <c:strRef>
                  <c:f>Sheet3!$C$46</c:f>
                  <c:strCache>
                    <c:ptCount val="1"/>
                    <c:pt idx="0">
                      <c:v>NV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{8463022E-5BA5-44B1-8D94-0A4DA4C52E2C}</c15:txfldGUID>
                      <c15:f>Sheet3!$C$46</c15:f>
                      <c15:dlblFieldTableCache>
                        <c:ptCount val="1"/>
                        <c:pt idx="0">
                          <c:v>NV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F9D5-4497-B59E-7313495981B2}"/>
                </c:ext>
              </c:extLst>
            </c:dLbl>
            <c:dLbl>
              <c:idx val="13"/>
              <c:layout>
                <c:manualLayout>
                  <c:x val="-4.9122313626445327E-2"/>
                  <c:y val="0"/>
                </c:manualLayout>
              </c:layout>
              <c:tx>
                <c:strRef>
                  <c:f>Sheet3!$C$47</c:f>
                  <c:strCache>
                    <c:ptCount val="1"/>
                    <c:pt idx="0">
                      <c:v>NM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{667D401C-7072-49BA-8D8D-A8D408C51E47}</c15:txfldGUID>
                      <c15:f>Sheet3!$C$47</c15:f>
                      <c15:dlblFieldTableCache>
                        <c:ptCount val="1"/>
                        <c:pt idx="0">
                          <c:v>NM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F9D5-4497-B59E-7313495981B2}"/>
                </c:ext>
              </c:extLst>
            </c:dLbl>
            <c:dLbl>
              <c:idx val="14"/>
              <c:layout>
                <c:manualLayout>
                  <c:x val="-4.8864664705812987E-2"/>
                  <c:y val="7.7600488623382418E-17"/>
                </c:manualLayout>
              </c:layout>
              <c:tx>
                <c:strRef>
                  <c:f>Sheet3!$C$48</c:f>
                  <c:strCache>
                    <c:ptCount val="1"/>
                    <c:pt idx="0">
                      <c:v>ND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{3C9CFC86-CD25-4ED4-9681-D506C816BF9E}</c15:txfldGUID>
                      <c15:f>Sheet3!$C$48</c15:f>
                      <c15:dlblFieldTableCache>
                        <c:ptCount val="1"/>
                        <c:pt idx="0">
                          <c:v>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F9D5-4497-B59E-7313495981B2}"/>
                </c:ext>
              </c:extLst>
            </c:dLbl>
            <c:dLbl>
              <c:idx val="15"/>
              <c:layout>
                <c:manualLayout>
                  <c:x val="-2.6787499614857914E-2"/>
                  <c:y val="-2.5396816932277744E-2"/>
                </c:manualLayout>
              </c:layout>
              <c:tx>
                <c:strRef>
                  <c:f>Sheet3!$C$49</c:f>
                  <c:strCache>
                    <c:ptCount val="1"/>
                    <c:pt idx="0">
                      <c:v>OK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{3BFB2DA4-4577-4399-A89E-69CFA8893F36}</c15:txfldGUID>
                      <c15:f>Sheet3!$C$49</c15:f>
                      <c15:dlblFieldTableCache>
                        <c:ptCount val="1"/>
                        <c:pt idx="0">
                          <c:v>OK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F9D5-4497-B59E-7313495981B2}"/>
                </c:ext>
              </c:extLst>
            </c:dLbl>
            <c:dLbl>
              <c:idx val="16"/>
              <c:layout>
                <c:manualLayout>
                  <c:x val="-4.4838900320932643E-2"/>
                  <c:y val="0"/>
                </c:manualLayout>
              </c:layout>
              <c:tx>
                <c:strRef>
                  <c:f>Sheet3!$C$50</c:f>
                  <c:strCache>
                    <c:ptCount val="1"/>
                    <c:pt idx="0">
                      <c:v>OR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{EA9BDD71-BCF5-47A6-BC4C-6A3D99C468B6}</c15:txfldGUID>
                      <c15:f>Sheet3!$C$50</c15:f>
                      <c15:dlblFieldTableCache>
                        <c:ptCount val="1"/>
                        <c:pt idx="0">
                          <c:v>OR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F9D5-4497-B59E-7313495981B2}"/>
                </c:ext>
              </c:extLst>
            </c:dLbl>
            <c:dLbl>
              <c:idx val="17"/>
              <c:layout>
                <c:manualLayout>
                  <c:x val="-4.294685445790325E-2"/>
                  <c:y val="0"/>
                </c:manualLayout>
              </c:layout>
              <c:tx>
                <c:strRef>
                  <c:f>Sheet3!$C$51</c:f>
                  <c:strCache>
                    <c:ptCount val="1"/>
                    <c:pt idx="0">
                      <c:v>SD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{B0DB2C53-627A-4379-8AEA-E8E1F6E472F7}</c15:txfldGUID>
                      <c15:f>Sheet3!$C$51</c15:f>
                      <c15:dlblFieldTableCache>
                        <c:ptCount val="1"/>
                        <c:pt idx="0">
                          <c:v>SD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F9D5-4497-B59E-7313495981B2}"/>
                </c:ext>
              </c:extLst>
            </c:dLbl>
            <c:dLbl>
              <c:idx val="18"/>
              <c:layout>
                <c:manualLayout>
                  <c:x val="-4.1956579817087017E-2"/>
                  <c:y val="0"/>
                </c:manualLayout>
              </c:layout>
              <c:tx>
                <c:strRef>
                  <c:f>Sheet3!$C$52</c:f>
                  <c:strCache>
                    <c:ptCount val="1"/>
                    <c:pt idx="0">
                      <c:v>TX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{3117208D-BB29-41FC-9806-C12BF1464CDB}</c15:txfldGUID>
                      <c15:f>Sheet3!$C$52</c15:f>
                      <c15:dlblFieldTableCache>
                        <c:ptCount val="1"/>
                        <c:pt idx="0">
                          <c:v>TX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F9D5-4497-B59E-7313495981B2}"/>
                </c:ext>
              </c:extLst>
            </c:dLbl>
            <c:dLbl>
              <c:idx val="19"/>
              <c:layout>
                <c:manualLayout>
                  <c:x val="-4.3735904277339775E-2"/>
                  <c:y val="0"/>
                </c:manualLayout>
              </c:layout>
              <c:tx>
                <c:strRef>
                  <c:f>Sheet3!$C$53</c:f>
                  <c:strCache>
                    <c:ptCount val="1"/>
                    <c:pt idx="0">
                      <c:v>UT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{88EA7679-2BFD-43E4-BE69-182546B7F3E1}</c15:txfldGUID>
                      <c15:f>Sheet3!$C$53</c15:f>
                      <c15:dlblFieldTableCache>
                        <c:ptCount val="1"/>
                        <c:pt idx="0">
                          <c:v>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F9D5-4497-B59E-7313495981B2}"/>
                </c:ext>
              </c:extLst>
            </c:dLbl>
            <c:dLbl>
              <c:idx val="20"/>
              <c:layout>
                <c:manualLayout>
                  <c:x val="-4.8655451753527867E-2"/>
                  <c:y val="0"/>
                </c:manualLayout>
              </c:layout>
              <c:tx>
                <c:strRef>
                  <c:f>Sheet3!$C$54</c:f>
                  <c:strCache>
                    <c:ptCount val="1"/>
                    <c:pt idx="0">
                      <c:v>WA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 sz="1050" b="0" i="0" u="none" strike="noStrike">
                      <a:latin typeface="ITC Officina Sans Std Book" panose="020B0506040203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{F188BAC7-9669-476A-AAAE-A888A2D70B48}</c15:txfldGUID>
                      <c15:f>Sheet3!$C$54</c15:f>
                      <c15:dlblFieldTableCache>
                        <c:ptCount val="1"/>
                        <c:pt idx="0">
                          <c:v>WA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F9D5-4497-B59E-7313495981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latin typeface="ITC Officina Sans Std Book" panose="020B0506040203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Sheet4!$E$34:$E$54</c:f>
              <c:numCache>
                <c:formatCode>0.00%</c:formatCode>
                <c:ptCount val="21"/>
                <c:pt idx="0">
                  <c:v>-0.14825443452717207</c:v>
                </c:pt>
                <c:pt idx="1">
                  <c:v>-7.675968817082815E-2</c:v>
                </c:pt>
                <c:pt idx="2">
                  <c:v>-1.8528979776296463E-3</c:v>
                </c:pt>
                <c:pt idx="3">
                  <c:v>3.9792113885436672E-2</c:v>
                </c:pt>
                <c:pt idx="4">
                  <c:v>-0.13966783414303469</c:v>
                </c:pt>
                <c:pt idx="5">
                  <c:v>4.7542650547960683E-2</c:v>
                </c:pt>
                <c:pt idx="6">
                  <c:v>7.4387074906790196E-2</c:v>
                </c:pt>
                <c:pt idx="7">
                  <c:v>-2.2099197830753588E-2</c:v>
                </c:pt>
                <c:pt idx="8">
                  <c:v>8.5798214890972765E-2</c:v>
                </c:pt>
                <c:pt idx="9">
                  <c:v>-1.8325612925093208E-2</c:v>
                </c:pt>
                <c:pt idx="10">
                  <c:v>-7.3889955937182242E-2</c:v>
                </c:pt>
                <c:pt idx="11">
                  <c:v>0.13103604112529657</c:v>
                </c:pt>
                <c:pt idx="12">
                  <c:v>-9.0679019319850868E-2</c:v>
                </c:pt>
                <c:pt idx="13">
                  <c:v>-0.16813919331149021</c:v>
                </c:pt>
                <c:pt idx="14">
                  <c:v>0.24272963506948367</c:v>
                </c:pt>
                <c:pt idx="15">
                  <c:v>1.1343351033781493E-2</c:v>
                </c:pt>
                <c:pt idx="16">
                  <c:v>-7.6239972884419846E-2</c:v>
                </c:pt>
                <c:pt idx="17">
                  <c:v>0.11768161789628291</c:v>
                </c:pt>
                <c:pt idx="18">
                  <c:v>3.1634843520506159E-4</c:v>
                </c:pt>
                <c:pt idx="19">
                  <c:v>-0.15410688057846572</c:v>
                </c:pt>
                <c:pt idx="20">
                  <c:v>4.6887357360750198E-2</c:v>
                </c:pt>
              </c:numCache>
            </c:numRef>
          </c:xVal>
          <c:yVal>
            <c:numRef>
              <c:f>Sheet4!$F$34:$F$54</c:f>
              <c:numCache>
                <c:formatCode>General</c:formatCode>
                <c:ptCount val="21"/>
                <c:pt idx="0">
                  <c:v>96.2</c:v>
                </c:pt>
                <c:pt idx="1">
                  <c:v>87.4</c:v>
                </c:pt>
                <c:pt idx="2">
                  <c:v>113.4</c:v>
                </c:pt>
                <c:pt idx="3">
                  <c:v>103.2</c:v>
                </c:pt>
                <c:pt idx="4">
                  <c:v>93.4</c:v>
                </c:pt>
                <c:pt idx="5">
                  <c:v>90.3</c:v>
                </c:pt>
                <c:pt idx="6">
                  <c:v>90.4</c:v>
                </c:pt>
                <c:pt idx="7">
                  <c:v>90.6</c:v>
                </c:pt>
                <c:pt idx="8">
                  <c:v>97.4</c:v>
                </c:pt>
                <c:pt idx="9">
                  <c:v>89.3</c:v>
                </c:pt>
                <c:pt idx="10">
                  <c:v>94.8</c:v>
                </c:pt>
                <c:pt idx="11">
                  <c:v>90.6</c:v>
                </c:pt>
                <c:pt idx="12">
                  <c:v>98</c:v>
                </c:pt>
                <c:pt idx="13">
                  <c:v>94.4</c:v>
                </c:pt>
                <c:pt idx="14">
                  <c:v>92.3</c:v>
                </c:pt>
                <c:pt idx="15">
                  <c:v>89.9</c:v>
                </c:pt>
                <c:pt idx="16">
                  <c:v>99.2</c:v>
                </c:pt>
                <c:pt idx="17">
                  <c:v>88.2</c:v>
                </c:pt>
                <c:pt idx="18">
                  <c:v>96.8</c:v>
                </c:pt>
                <c:pt idx="19">
                  <c:v>97</c:v>
                </c:pt>
                <c:pt idx="20">
                  <c:v>104.8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F9D5-4497-B59E-731349598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237184"/>
        <c:axId val="494239104"/>
      </c:scatterChart>
      <c:valAx>
        <c:axId val="494237184"/>
        <c:scaling>
          <c:orientation val="minMax"/>
          <c:max val="0.31000000000000005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altLang="en-US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与全美平均收入的对比</a:t>
                </a:r>
              </a:p>
            </c:rich>
          </c:tx>
          <c:layout>
            <c:manualLayout>
              <c:xMode val="edge"/>
              <c:yMode val="edge"/>
              <c:x val="0.32871610574823762"/>
              <c:y val="0.92012075505349511"/>
            </c:manualLayout>
          </c:layout>
          <c:overlay val="0"/>
        </c:title>
        <c:numFmt formatCode="0%" sourceLinked="0"/>
        <c:majorTickMark val="none"/>
        <c:minorTickMark val="none"/>
        <c:tickLblPos val="low"/>
        <c:spPr>
          <a:ln w="12700"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494239104"/>
        <c:crossesAt val="100"/>
        <c:crossBetween val="midCat"/>
        <c:majorUnit val="0.1"/>
      </c:valAx>
      <c:valAx>
        <c:axId val="494239104"/>
        <c:scaling>
          <c:orientation val="minMax"/>
          <c:max val="120"/>
          <c:min val="8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defRPr>
                </a:pPr>
                <a:r>
                  <a:rPr lang="zh-CN" altLang="en-US" sz="1100" b="1">
                    <a:solidFill>
                      <a:sysClr val="windowText" lastClr="000000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</a:rPr>
                  <a:t>区域价格指数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chemeClr val="tx1"/>
            </a:solidFill>
            <a:tailEnd type="triangle" w="lg" len="lg"/>
          </a:ln>
        </c:spPr>
        <c:txPr>
          <a:bodyPr/>
          <a:lstStyle/>
          <a:p>
            <a:pPr>
              <a:defRPr>
                <a:solidFill>
                  <a:schemeClr val="tx1"/>
                </a:solidFill>
                <a:latin typeface="ITC Officina Sans Std Book" panose="020B0506040203020204" pitchFamily="34" charset="0"/>
              </a:defRPr>
            </a:pPr>
            <a:endParaRPr lang="zh-CN"/>
          </a:p>
        </c:txPr>
        <c:crossAx val="494237184"/>
        <c:crossesAt val="0"/>
        <c:crossBetween val="midCat"/>
        <c:majorUnit val="10"/>
      </c:valAx>
      <c:spPr>
        <a:noFill/>
        <a:ln w="6350">
          <a:solidFill>
            <a:schemeClr val="bg1">
              <a:lumMod val="85000"/>
            </a:schemeClr>
          </a:solidFill>
        </a:ln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6700983189710326"/>
          <c:y val="0.1158190529849189"/>
          <c:w val="0.19211949330905279"/>
          <c:h val="3.5305741680376063E-2"/>
        </c:manualLayout>
      </c:layout>
      <c:overlay val="0"/>
      <c:txPr>
        <a:bodyPr/>
        <a:lstStyle/>
        <a:p>
          <a:pPr>
            <a:defRPr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3</xdr:row>
      <xdr:rowOff>200023</xdr:rowOff>
    </xdr:from>
    <xdr:to>
      <xdr:col>20</xdr:col>
      <xdr:colOff>0</xdr:colOff>
      <xdr:row>34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3</xdr:row>
      <xdr:rowOff>200023</xdr:rowOff>
    </xdr:from>
    <xdr:to>
      <xdr:col>21</xdr:col>
      <xdr:colOff>0</xdr:colOff>
      <xdr:row>34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3</xdr:row>
      <xdr:rowOff>200023</xdr:rowOff>
    </xdr:from>
    <xdr:to>
      <xdr:col>22</xdr:col>
      <xdr:colOff>0</xdr:colOff>
      <xdr:row>34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2488</xdr:colOff>
      <xdr:row>7</xdr:row>
      <xdr:rowOff>160533</xdr:rowOff>
    </xdr:from>
    <xdr:to>
      <xdr:col>22</xdr:col>
      <xdr:colOff>629657</xdr:colOff>
      <xdr:row>18</xdr:row>
      <xdr:rowOff>155763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0212432" y="1733763"/>
          <a:ext cx="2682000" cy="2232000"/>
        </a:xfrm>
        <a:prstGeom prst="rect">
          <a:avLst/>
        </a:prstGeom>
        <a:solidFill>
          <a:srgbClr val="FD9651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617677</xdr:colOff>
      <xdr:row>18</xdr:row>
      <xdr:rowOff>147793</xdr:rowOff>
    </xdr:from>
    <xdr:to>
      <xdr:col>29</xdr:col>
      <xdr:colOff>2670</xdr:colOff>
      <xdr:row>29</xdr:row>
      <xdr:rowOff>161023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882452" y="3957793"/>
          <a:ext cx="4179600" cy="2250000"/>
        </a:xfrm>
        <a:prstGeom prst="rect">
          <a:avLst/>
        </a:prstGeom>
        <a:solidFill>
          <a:srgbClr val="068594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0</xdr:colOff>
      <xdr:row>35</xdr:row>
      <xdr:rowOff>0</xdr:rowOff>
    </xdr:from>
    <xdr:to>
      <xdr:col>29</xdr:col>
      <xdr:colOff>342901</xdr:colOff>
      <xdr:row>65</xdr:row>
      <xdr:rowOff>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66</xdr:row>
      <xdr:rowOff>0</xdr:rowOff>
    </xdr:from>
    <xdr:to>
      <xdr:col>29</xdr:col>
      <xdr:colOff>342901</xdr:colOff>
      <xdr:row>96</xdr:row>
      <xdr:rowOff>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18</xdr:col>
      <xdr:colOff>9524</xdr:colOff>
      <xdr:row>3</xdr:row>
      <xdr:rowOff>0</xdr:rowOff>
    </xdr:from>
    <xdr:to>
      <xdr:col>30</xdr:col>
      <xdr:colOff>0</xdr:colOff>
      <xdr:row>33</xdr:row>
      <xdr:rowOff>3</xdr:rowOff>
    </xdr:to>
    <xdr:graphicFrame macro="">
      <xdr:nvGraphicFramePr>
        <xdr:cNvPr id="2" name="矩形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 b="1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 b="1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0.00483</cdr:x>
      <cdr:y>0.95397</cdr:y>
    </cdr:from>
    <cdr:to>
      <cdr:x>0.23306</cdr:x>
      <cdr:y>0.98396</cdr:y>
    </cdr:to>
    <cdr:sp macro="" textlink="">
      <cdr:nvSpPr>
        <cdr:cNvPr id="2" name="圆角矩形 1"/>
        <cdr:cNvSpPr/>
      </cdr:nvSpPr>
      <cdr:spPr>
        <a:xfrm xmlns:a="http://schemas.openxmlformats.org/drawingml/2006/main">
          <a:off x="38100" y="5724527"/>
          <a:ext cx="1800000" cy="1800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zh-CN" altLang="en-US" sz="1000" b="1">
              <a:solidFill>
                <a:sysClr val="windowText" lastClr="000000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资料来源：美国经济分析局</a:t>
          </a:r>
          <a:endParaRPr lang="zh-CN" sz="1000" b="1">
            <a:solidFill>
              <a:sysClr val="windowText" lastClr="000000"/>
            </a:solidFill>
            <a:latin typeface="思源宋体 CN Light" panose="02020300000000000000" pitchFamily="18" charset="-122"/>
            <a:ea typeface="思源宋体 CN Light" panose="02020300000000000000" pitchFamily="18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114.xixik.com/usa-stats/" TargetMode="External"/><Relationship Id="rId2" Type="http://schemas.openxmlformats.org/officeDocument/2006/relationships/hyperlink" Target="http://114.xixik.com/usa-stats/" TargetMode="External"/><Relationship Id="rId1" Type="http://schemas.openxmlformats.org/officeDocument/2006/relationships/hyperlink" Target="http://114.xixik.com/usa-sta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4"/>
  <sheetViews>
    <sheetView showGridLines="0" tabSelected="1" workbookViewId="0"/>
  </sheetViews>
  <sheetFormatPr defaultRowHeight="15.95" customHeight="1" x14ac:dyDescent="0.15"/>
  <cols>
    <col min="1" max="1" width="2.625" style="1" customWidth="1"/>
    <col min="2" max="2" width="15.5" style="17" bestFit="1" customWidth="1"/>
    <col min="3" max="4" width="10.5" style="18" bestFit="1" customWidth="1"/>
    <col min="5" max="5" width="2.625" style="18" customWidth="1"/>
    <col min="6" max="6" width="10.5" style="18" customWidth="1"/>
    <col min="7" max="7" width="9" style="17"/>
    <col min="8" max="8" width="2.625" style="1" customWidth="1"/>
    <col min="9" max="19" width="9" style="1"/>
    <col min="20" max="20" width="4.625" style="1" customWidth="1"/>
    <col min="21" max="16384" width="9" style="1"/>
  </cols>
  <sheetData>
    <row r="2" spans="2:7" ht="15.95" customHeight="1" x14ac:dyDescent="0.15">
      <c r="B2" s="17" t="s">
        <v>118</v>
      </c>
    </row>
    <row r="3" spans="2:7" ht="27.95" customHeight="1" thickBot="1" x14ac:dyDescent="0.2">
      <c r="B3" s="17" t="s">
        <v>420</v>
      </c>
      <c r="C3" s="19" t="s">
        <v>421</v>
      </c>
      <c r="D3" s="18" t="s">
        <v>422</v>
      </c>
      <c r="F3" s="17" t="s">
        <v>423</v>
      </c>
    </row>
    <row r="4" spans="2:7" ht="15.95" customHeight="1" x14ac:dyDescent="0.15">
      <c r="B4" s="20" t="s">
        <v>1</v>
      </c>
      <c r="C4" s="21">
        <f>(参考数据!K3-参考数据!K$2)/参考数据!K$2</f>
        <v>-9.0114111399841823E-2</v>
      </c>
      <c r="D4" s="22">
        <v>86.8</v>
      </c>
      <c r="E4" s="23"/>
      <c r="F4" s="24" t="s">
        <v>119</v>
      </c>
      <c r="G4" s="25" t="s">
        <v>120</v>
      </c>
    </row>
    <row r="5" spans="2:7" ht="15.95" customHeight="1" x14ac:dyDescent="0.15">
      <c r="B5" s="26" t="s">
        <v>2</v>
      </c>
      <c r="C5" s="27">
        <f>(参考数据!K4-参考数据!K$2)/参考数据!K$2</f>
        <v>0.10660942266410575</v>
      </c>
      <c r="D5" s="28">
        <v>105.6</v>
      </c>
      <c r="E5" s="23"/>
      <c r="F5" s="29">
        <v>0.28999999999999998</v>
      </c>
      <c r="G5" s="30">
        <v>100</v>
      </c>
    </row>
    <row r="6" spans="2:7" ht="15.95" customHeight="1" thickBot="1" x14ac:dyDescent="0.2">
      <c r="B6" s="26" t="s">
        <v>3</v>
      </c>
      <c r="C6" s="27">
        <f>(参考数据!K5-参考数据!K$2)/参考数据!K$2</f>
        <v>-0.14825443452717207</v>
      </c>
      <c r="D6" s="28">
        <v>96.2</v>
      </c>
      <c r="E6" s="23"/>
      <c r="F6" s="31">
        <v>0</v>
      </c>
      <c r="G6" s="32">
        <v>120</v>
      </c>
    </row>
    <row r="7" spans="2:7" ht="15.95" customHeight="1" x14ac:dyDescent="0.15">
      <c r="B7" s="26" t="s">
        <v>4</v>
      </c>
      <c r="C7" s="27">
        <f>(参考数据!K6-参考数据!K$2)/参考数据!K$2</f>
        <v>-7.675968817082815E-2</v>
      </c>
      <c r="D7" s="28">
        <v>87.4</v>
      </c>
      <c r="E7" s="23"/>
      <c r="F7" s="23"/>
    </row>
    <row r="8" spans="2:7" ht="15.95" customHeight="1" thickBot="1" x14ac:dyDescent="0.2">
      <c r="B8" s="26" t="s">
        <v>5</v>
      </c>
      <c r="C8" s="27">
        <f>(参考数据!K7-参考数据!K$2)/参考数据!K$2</f>
        <v>-1.8528979776296463E-3</v>
      </c>
      <c r="D8" s="28">
        <v>113.4</v>
      </c>
      <c r="E8" s="23"/>
      <c r="F8" s="17" t="s">
        <v>424</v>
      </c>
    </row>
    <row r="9" spans="2:7" ht="15.95" customHeight="1" x14ac:dyDescent="0.15">
      <c r="B9" s="26" t="s">
        <v>6</v>
      </c>
      <c r="C9" s="27">
        <f>(参考数据!K8-参考数据!K$2)/参考数据!K$2</f>
        <v>3.9792113885436672E-2</v>
      </c>
      <c r="D9" s="28">
        <v>103.2</v>
      </c>
      <c r="E9" s="23"/>
      <c r="F9" s="24" t="s">
        <v>119</v>
      </c>
      <c r="G9" s="25" t="s">
        <v>120</v>
      </c>
    </row>
    <row r="10" spans="2:7" ht="15.95" customHeight="1" x14ac:dyDescent="0.15">
      <c r="B10" s="26" t="s">
        <v>7</v>
      </c>
      <c r="C10" s="27">
        <f>(参考数据!K9-参考数据!K$2)/参考数据!K$2</f>
        <v>0.29974014235679586</v>
      </c>
      <c r="D10" s="28">
        <v>108.7</v>
      </c>
      <c r="E10" s="23"/>
      <c r="F10" s="29">
        <v>0.26500000000000001</v>
      </c>
      <c r="G10" s="33">
        <v>116.5</v>
      </c>
    </row>
    <row r="11" spans="2:7" ht="15.95" customHeight="1" x14ac:dyDescent="0.15">
      <c r="B11" s="26" t="s">
        <v>8</v>
      </c>
      <c r="C11" s="27">
        <f>(参考数据!K10-参考数据!K$2)/参考数据!K$2</f>
        <v>-3.0233871878883743E-2</v>
      </c>
      <c r="D11" s="28">
        <v>100.4</v>
      </c>
      <c r="E11" s="23"/>
      <c r="F11" s="29">
        <v>-0.155</v>
      </c>
      <c r="G11" s="33">
        <v>116.5</v>
      </c>
    </row>
    <row r="12" spans="2:7" ht="15.95" customHeight="1" x14ac:dyDescent="0.15">
      <c r="B12" s="26" t="s">
        <v>9</v>
      </c>
      <c r="C12" s="27">
        <f>(参考数据!K11-参考数据!K$2)/参考数据!K$2</f>
        <v>0.30929838436334878</v>
      </c>
      <c r="D12" s="28">
        <v>117</v>
      </c>
      <c r="E12" s="23"/>
      <c r="F12" s="29">
        <v>-0.155</v>
      </c>
      <c r="G12" s="33">
        <v>83</v>
      </c>
    </row>
    <row r="13" spans="2:7" ht="15.95" customHeight="1" thickBot="1" x14ac:dyDescent="0.2">
      <c r="B13" s="26" t="s">
        <v>10</v>
      </c>
      <c r="C13" s="27">
        <f>(参考数据!K12-参考数据!K$2)/参考数据!K$2</f>
        <v>-5.590328776409445E-2</v>
      </c>
      <c r="D13" s="28">
        <v>99.5</v>
      </c>
      <c r="E13" s="23"/>
      <c r="F13" s="34">
        <v>0.26500000000000001</v>
      </c>
      <c r="G13" s="32">
        <v>83</v>
      </c>
    </row>
    <row r="14" spans="2:7" ht="15.95" customHeight="1" x14ac:dyDescent="0.15">
      <c r="B14" s="26" t="s">
        <v>11</v>
      </c>
      <c r="C14" s="27">
        <f>(参考数据!K13-参考数据!K$2)/参考数据!K$2</f>
        <v>-8.3945316913343129E-2</v>
      </c>
      <c r="D14" s="28">
        <v>92.6</v>
      </c>
      <c r="E14" s="23"/>
      <c r="F14" s="23"/>
    </row>
    <row r="15" spans="2:7" ht="15.95" customHeight="1" x14ac:dyDescent="0.15">
      <c r="B15" s="26" t="s">
        <v>12</v>
      </c>
      <c r="C15" s="27">
        <f>(参考数据!K14-参考数据!K$2)/参考数据!K$2</f>
        <v>-0.14961021353519377</v>
      </c>
      <c r="D15" s="28">
        <v>118.8</v>
      </c>
      <c r="E15" s="23"/>
      <c r="F15" s="23"/>
    </row>
    <row r="16" spans="2:7" ht="15.95" customHeight="1" x14ac:dyDescent="0.15">
      <c r="B16" s="26" t="s">
        <v>13</v>
      </c>
      <c r="C16" s="27">
        <f>(参考数据!K15-参考数据!K$2)/参考数据!K$2</f>
        <v>-0.13966783414303469</v>
      </c>
      <c r="D16" s="28">
        <v>93.4</v>
      </c>
      <c r="E16" s="23"/>
      <c r="F16" s="23"/>
    </row>
    <row r="17" spans="2:6" ht="15.95" customHeight="1" x14ac:dyDescent="0.15">
      <c r="B17" s="26" t="s">
        <v>14</v>
      </c>
      <c r="C17" s="27">
        <f>(参考数据!K16-参考数据!K$2)/参考数据!K$2</f>
        <v>5.4276352954468421E-2</v>
      </c>
      <c r="D17" s="28">
        <v>99.7</v>
      </c>
      <c r="E17" s="23"/>
      <c r="F17" s="23"/>
    </row>
    <row r="18" spans="2:6" ht="15.95" customHeight="1" x14ac:dyDescent="0.15">
      <c r="B18" s="26" t="s">
        <v>15</v>
      </c>
      <c r="C18" s="27">
        <f>(参考数据!K17-参考数据!K$2)/参考数据!K$2</f>
        <v>-4.6503219975144054E-2</v>
      </c>
      <c r="D18" s="28">
        <v>90.7</v>
      </c>
      <c r="E18" s="23"/>
      <c r="F18" s="23"/>
    </row>
    <row r="19" spans="2:6" ht="15.95" customHeight="1" x14ac:dyDescent="0.15">
      <c r="B19" s="26" t="s">
        <v>16</v>
      </c>
      <c r="C19" s="27">
        <f>(参考数据!K18-参考数据!K$2)/参考数据!K$2</f>
        <v>4.7542650547960683E-2</v>
      </c>
      <c r="D19" s="28">
        <v>90.3</v>
      </c>
      <c r="E19" s="23"/>
      <c r="F19" s="23"/>
    </row>
    <row r="20" spans="2:6" ht="15.95" customHeight="1" x14ac:dyDescent="0.15">
      <c r="B20" s="26" t="s">
        <v>17</v>
      </c>
      <c r="C20" s="27">
        <f>(参考数据!K19-参考数据!K$2)/参考数据!K$2</f>
        <v>7.4387074906790196E-2</v>
      </c>
      <c r="D20" s="28">
        <v>90.4</v>
      </c>
      <c r="E20" s="23"/>
      <c r="F20" s="23"/>
    </row>
    <row r="21" spans="2:6" ht="15.95" customHeight="1" x14ac:dyDescent="0.15">
      <c r="B21" s="26" t="s">
        <v>18</v>
      </c>
      <c r="C21" s="27">
        <f>(参考数据!K20-参考数据!K$2)/参考数据!K$2</f>
        <v>-0.10195458140323127</v>
      </c>
      <c r="D21" s="28">
        <v>88.6</v>
      </c>
      <c r="E21" s="23"/>
      <c r="F21" s="23"/>
    </row>
    <row r="22" spans="2:6" ht="15.95" customHeight="1" x14ac:dyDescent="0.15">
      <c r="B22" s="26" t="s">
        <v>19</v>
      </c>
      <c r="C22" s="27">
        <f>(参考数据!K21-参考数据!K$2)/参考数据!K$2</f>
        <v>-2.2099197830753588E-2</v>
      </c>
      <c r="D22" s="28">
        <v>90.6</v>
      </c>
      <c r="E22" s="23"/>
      <c r="F22" s="23"/>
    </row>
    <row r="23" spans="2:6" ht="15.95" customHeight="1" x14ac:dyDescent="0.15">
      <c r="B23" s="26" t="s">
        <v>20</v>
      </c>
      <c r="C23" s="27">
        <f>(参考数据!K22-参考数据!K$2)/参考数据!K$2</f>
        <v>-9.6192520619139077E-2</v>
      </c>
      <c r="D23" s="28">
        <v>98</v>
      </c>
      <c r="E23" s="23"/>
      <c r="F23" s="23"/>
    </row>
    <row r="24" spans="2:6" ht="15.95" customHeight="1" x14ac:dyDescent="0.15">
      <c r="B24" s="26" t="s">
        <v>21</v>
      </c>
      <c r="C24" s="27">
        <f>(参考数据!K23-参考数据!K$2)/参考数据!K$2</f>
        <v>6.132640379618122E-2</v>
      </c>
      <c r="D24" s="28">
        <v>109.6</v>
      </c>
      <c r="E24" s="23"/>
      <c r="F24" s="23"/>
    </row>
    <row r="25" spans="2:6" ht="15.95" customHeight="1" x14ac:dyDescent="0.15">
      <c r="B25" s="26" t="s">
        <v>22</v>
      </c>
      <c r="C25" s="27">
        <f>(参考数据!K24-参考数据!K$2)/参考数据!K$2</f>
        <v>0.2152751101570444</v>
      </c>
      <c r="D25" s="28">
        <v>106.9</v>
      </c>
      <c r="E25" s="23"/>
      <c r="F25" s="23"/>
    </row>
    <row r="26" spans="2:6" ht="15.95" customHeight="1" x14ac:dyDescent="0.15">
      <c r="B26" s="26" t="s">
        <v>23</v>
      </c>
      <c r="C26" s="27">
        <f>(参考数据!K25-参考数据!K$2)/参考数据!K$2</f>
        <v>-4.7045531578352728E-2</v>
      </c>
      <c r="D26" s="28">
        <v>93.5</v>
      </c>
      <c r="E26" s="23"/>
      <c r="F26" s="23"/>
    </row>
    <row r="27" spans="2:6" ht="15.95" customHeight="1" x14ac:dyDescent="0.15">
      <c r="B27" s="26" t="s">
        <v>24</v>
      </c>
      <c r="C27" s="27">
        <f>(参考数据!K26-参考数据!K$2)/参考数据!K$2</f>
        <v>8.5798214890972765E-2</v>
      </c>
      <c r="D27" s="28">
        <v>97.4</v>
      </c>
      <c r="E27" s="23"/>
      <c r="F27" s="23"/>
    </row>
    <row r="28" spans="2:6" ht="15.95" customHeight="1" x14ac:dyDescent="0.15">
      <c r="B28" s="26" t="s">
        <v>25</v>
      </c>
      <c r="C28" s="27">
        <f>(参考数据!K27-参考数据!K$2)/参考数据!K$2</f>
        <v>-0.16644446955146311</v>
      </c>
      <c r="D28" s="28">
        <v>86.2</v>
      </c>
      <c r="E28" s="23"/>
      <c r="F28" s="23"/>
    </row>
    <row r="29" spans="2:6" ht="15.95" customHeight="1" x14ac:dyDescent="0.15">
      <c r="B29" s="26" t="s">
        <v>26</v>
      </c>
      <c r="C29" s="27">
        <f>(参考数据!K28-参考数据!K$2)/参考数据!K$2</f>
        <v>-1.8325612925093208E-2</v>
      </c>
      <c r="D29" s="28">
        <v>89.3</v>
      </c>
      <c r="E29" s="23"/>
      <c r="F29" s="23"/>
    </row>
    <row r="30" spans="2:6" ht="15.95" customHeight="1" x14ac:dyDescent="0.15">
      <c r="B30" s="26" t="s">
        <v>27</v>
      </c>
      <c r="C30" s="27">
        <f>(参考数据!K29-参考数据!K$2)/参考数据!K$2</f>
        <v>-7.3889955937182242E-2</v>
      </c>
      <c r="D30" s="28">
        <v>94.8</v>
      </c>
      <c r="E30" s="23"/>
      <c r="F30" s="23"/>
    </row>
    <row r="31" spans="2:6" ht="15.95" customHeight="1" x14ac:dyDescent="0.15">
      <c r="B31" s="26" t="s">
        <v>28</v>
      </c>
      <c r="C31" s="27">
        <f>(参考数据!K30-参考数据!K$2)/参考数据!K$2</f>
        <v>0.13103604112529657</v>
      </c>
      <c r="D31" s="28">
        <v>90.6</v>
      </c>
      <c r="E31" s="23"/>
      <c r="F31" s="23"/>
    </row>
    <row r="32" spans="2:6" ht="15.95" customHeight="1" x14ac:dyDescent="0.15">
      <c r="B32" s="26" t="s">
        <v>29</v>
      </c>
      <c r="C32" s="27">
        <f>(参考数据!K31-参考数据!K$2)/参考数据!K$2</f>
        <v>-9.0679019319850868E-2</v>
      </c>
      <c r="D32" s="28">
        <v>98</v>
      </c>
      <c r="E32" s="23"/>
      <c r="F32" s="23"/>
    </row>
    <row r="33" spans="2:6" ht="15.95" customHeight="1" x14ac:dyDescent="0.15">
      <c r="B33" s="26" t="s">
        <v>30</v>
      </c>
      <c r="C33" s="27">
        <f>(参考数据!K32-参考数据!K$2)/参考数据!K$2</f>
        <v>7.4002937521184045E-2</v>
      </c>
      <c r="D33" s="28">
        <v>105</v>
      </c>
      <c r="E33" s="23"/>
      <c r="F33" s="23"/>
    </row>
    <row r="34" spans="2:6" ht="15.95" customHeight="1" x14ac:dyDescent="0.15">
      <c r="B34" s="26" t="s">
        <v>31</v>
      </c>
      <c r="C34" s="27">
        <f>(参考数据!K33-参考数据!K$2)/参考数据!K$2</f>
        <v>9.7955033329567287E-2</v>
      </c>
      <c r="D34" s="28">
        <v>113.4</v>
      </c>
      <c r="E34" s="23"/>
      <c r="F34" s="23"/>
    </row>
    <row r="35" spans="2:6" ht="15.95" customHeight="1" x14ac:dyDescent="0.15">
      <c r="B35" s="26" t="s">
        <v>32</v>
      </c>
      <c r="C35" s="27">
        <f>(参考数据!K34-参考数据!K$2)/参考数据!K$2</f>
        <v>-0.16813919331149021</v>
      </c>
      <c r="D35" s="28">
        <v>94.4</v>
      </c>
      <c r="E35" s="23"/>
      <c r="F35" s="23"/>
    </row>
    <row r="36" spans="2:6" ht="15.95" customHeight="1" x14ac:dyDescent="0.15">
      <c r="B36" s="26" t="s">
        <v>33</v>
      </c>
      <c r="C36" s="27">
        <f>(参考数据!K35-参考数据!K$2)/参考数据!K$2</f>
        <v>4.9485933792791773E-2</v>
      </c>
      <c r="D36" s="28">
        <v>115.3</v>
      </c>
      <c r="E36" s="23"/>
      <c r="F36" s="23"/>
    </row>
    <row r="37" spans="2:6" ht="15.95" customHeight="1" x14ac:dyDescent="0.15">
      <c r="B37" s="26" t="s">
        <v>34</v>
      </c>
      <c r="C37" s="27">
        <f>(参考数据!K36-参考数据!K$2)/参考数据!K$2</f>
        <v>-6.1529770647384477E-2</v>
      </c>
      <c r="D37" s="28">
        <v>91.2</v>
      </c>
      <c r="E37" s="23"/>
      <c r="F37" s="23"/>
    </row>
    <row r="38" spans="2:6" ht="15.95" customHeight="1" x14ac:dyDescent="0.15">
      <c r="B38" s="26" t="s">
        <v>35</v>
      </c>
      <c r="C38" s="27">
        <f>(参考数据!K37-参考数据!K$2)/参考数据!K$2</f>
        <v>0.24272963506948367</v>
      </c>
      <c r="D38" s="28">
        <v>92.3</v>
      </c>
      <c r="E38" s="23"/>
      <c r="F38" s="23"/>
    </row>
    <row r="39" spans="2:6" ht="15.95" customHeight="1" x14ac:dyDescent="0.15">
      <c r="B39" s="26" t="s">
        <v>36</v>
      </c>
      <c r="C39" s="27">
        <f>(参考数据!K38-参考数据!K$2)/参考数据!K$2</f>
        <v>1.554626595864874E-2</v>
      </c>
      <c r="D39" s="28">
        <v>89.2</v>
      </c>
      <c r="E39" s="23"/>
      <c r="F39" s="23"/>
    </row>
    <row r="40" spans="2:6" ht="15.95" customHeight="1" x14ac:dyDescent="0.15">
      <c r="B40" s="26" t="s">
        <v>37</v>
      </c>
      <c r="C40" s="27">
        <f>(参考数据!K39-参考数据!K$2)/参考数据!K$2</f>
        <v>1.1343351033781493E-2</v>
      </c>
      <c r="D40" s="28">
        <v>89.9</v>
      </c>
      <c r="E40" s="23"/>
      <c r="F40" s="23"/>
    </row>
    <row r="41" spans="2:6" ht="15.95" customHeight="1" x14ac:dyDescent="0.15">
      <c r="B41" s="26" t="s">
        <v>38</v>
      </c>
      <c r="C41" s="27">
        <f>(参考数据!K40-参考数据!K$2)/参考数据!K$2</f>
        <v>-7.6239972884419846E-2</v>
      </c>
      <c r="D41" s="28">
        <v>99.2</v>
      </c>
      <c r="E41" s="23"/>
      <c r="F41" s="23"/>
    </row>
    <row r="42" spans="2:6" ht="15.95" customHeight="1" x14ac:dyDescent="0.15">
      <c r="B42" s="26" t="s">
        <v>39</v>
      </c>
      <c r="C42" s="27">
        <f>(参考数据!K41-参考数据!K$2)/参考数据!K$2</f>
        <v>5.1564794938425036E-2</v>
      </c>
      <c r="D42" s="28">
        <v>97.9</v>
      </c>
      <c r="E42" s="23"/>
      <c r="F42" s="23"/>
    </row>
    <row r="43" spans="2:6" ht="15.95" customHeight="1" x14ac:dyDescent="0.15">
      <c r="B43" s="26" t="s">
        <v>40</v>
      </c>
      <c r="C43" s="27">
        <f>(参考数据!K42-参考数据!K$2)/参考数据!K$2</f>
        <v>4.2119534515873913E-2</v>
      </c>
      <c r="D43" s="28">
        <v>98.7</v>
      </c>
      <c r="E43" s="23"/>
      <c r="F43" s="23"/>
    </row>
    <row r="44" spans="2:6" ht="15.95" customHeight="1" x14ac:dyDescent="0.15">
      <c r="B44" s="26" t="s">
        <v>41</v>
      </c>
      <c r="C44" s="27">
        <f>(参考数据!K43-参考数据!K$2)/参考数据!K$2</f>
        <v>-0.11178397921138854</v>
      </c>
      <c r="D44" s="28">
        <v>90.3</v>
      </c>
      <c r="E44" s="23"/>
      <c r="F44" s="23"/>
    </row>
    <row r="45" spans="2:6" ht="15.95" customHeight="1" x14ac:dyDescent="0.15">
      <c r="B45" s="26" t="s">
        <v>42</v>
      </c>
      <c r="C45" s="27">
        <f>(参考数据!K44-参考数据!K$2)/参考数据!K$2</f>
        <v>0.11768161789628291</v>
      </c>
      <c r="D45" s="28">
        <v>88.2</v>
      </c>
      <c r="E45" s="23"/>
      <c r="F45" s="23"/>
    </row>
    <row r="46" spans="2:6" ht="15.95" customHeight="1" x14ac:dyDescent="0.15">
      <c r="B46" s="26" t="s">
        <v>43</v>
      </c>
      <c r="C46" s="27">
        <f>(参考数据!K45-参考数据!K$2)/参考数据!K$2</f>
        <v>-3.0572816630889166E-2</v>
      </c>
      <c r="D46" s="28">
        <v>89.9</v>
      </c>
      <c r="E46" s="23"/>
      <c r="F46" s="23"/>
    </row>
    <row r="47" spans="2:6" ht="15.95" customHeight="1" x14ac:dyDescent="0.15">
      <c r="B47" s="26" t="s">
        <v>44</v>
      </c>
      <c r="C47" s="27">
        <f>(参考数据!K46-参考数据!K$2)/参考数据!K$2</f>
        <v>3.1634843520506159E-4</v>
      </c>
      <c r="D47" s="28">
        <v>96.8</v>
      </c>
      <c r="E47" s="23"/>
      <c r="F47" s="23"/>
    </row>
    <row r="48" spans="2:6" ht="15.95" customHeight="1" x14ac:dyDescent="0.15">
      <c r="B48" s="26" t="s">
        <v>45</v>
      </c>
      <c r="C48" s="27">
        <f>(参考数据!K47-参考数据!K$2)/参考数据!K$2</f>
        <v>-0.15410688057846572</v>
      </c>
      <c r="D48" s="28">
        <v>97</v>
      </c>
      <c r="E48" s="23"/>
      <c r="F48" s="23"/>
    </row>
    <row r="49" spans="2:6" ht="15.95" customHeight="1" x14ac:dyDescent="0.15">
      <c r="B49" s="26" t="s">
        <v>46</v>
      </c>
      <c r="C49" s="27">
        <f>(参考数据!K48-参考数据!K$2)/参考数据!K$2</f>
        <v>-5.3327307648853234E-3</v>
      </c>
      <c r="D49" s="28">
        <v>101.6</v>
      </c>
      <c r="E49" s="23"/>
      <c r="F49" s="23"/>
    </row>
    <row r="50" spans="2:6" ht="15.95" customHeight="1" x14ac:dyDescent="0.15">
      <c r="B50" s="26" t="s">
        <v>47</v>
      </c>
      <c r="C50" s="27">
        <f>(参考数据!K49-参考数据!K$2)/参考数据!K$2</f>
        <v>5.2581629194441308E-2</v>
      </c>
      <c r="D50" s="28">
        <v>102.5</v>
      </c>
      <c r="E50" s="23"/>
      <c r="F50" s="23"/>
    </row>
    <row r="51" spans="2:6" ht="15.95" customHeight="1" x14ac:dyDescent="0.15">
      <c r="B51" s="26" t="s">
        <v>48</v>
      </c>
      <c r="C51" s="27">
        <f>(参考数据!K50-参考数据!K$2)/参考数据!K$2</f>
        <v>4.6887357360750198E-2</v>
      </c>
      <c r="D51" s="28">
        <v>104.8</v>
      </c>
      <c r="E51" s="23"/>
      <c r="F51" s="23"/>
    </row>
    <row r="52" spans="2:6" ht="15.95" customHeight="1" x14ac:dyDescent="0.15">
      <c r="B52" s="26" t="s">
        <v>49</v>
      </c>
      <c r="C52" s="27">
        <f>(参考数据!K51-参考数据!K$2)/参考数据!K$2</f>
        <v>-0.1498813693367981</v>
      </c>
      <c r="D52" s="28">
        <v>88.9</v>
      </c>
      <c r="E52" s="23"/>
      <c r="F52" s="23"/>
    </row>
    <row r="53" spans="2:6" ht="15.95" customHeight="1" x14ac:dyDescent="0.15">
      <c r="B53" s="26" t="s">
        <v>50</v>
      </c>
      <c r="C53" s="27">
        <f>(参考数据!K52-参考数据!K$2)/参考数据!K$2</f>
        <v>2.0246299853123942E-2</v>
      </c>
      <c r="D53" s="28">
        <v>93.1</v>
      </c>
      <c r="E53" s="23"/>
      <c r="F53" s="23"/>
    </row>
    <row r="54" spans="2:6" ht="15.95" customHeight="1" thickBot="1" x14ac:dyDescent="0.2">
      <c r="B54" s="35" t="s">
        <v>51</v>
      </c>
      <c r="C54" s="36">
        <f>(参考数据!K53-参考数据!K$2)/参考数据!K$2</f>
        <v>0.20917410462094679</v>
      </c>
      <c r="D54" s="37">
        <v>96.2</v>
      </c>
      <c r="E54" s="23"/>
      <c r="F54" s="23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4"/>
  <sheetViews>
    <sheetView showGridLines="0" workbookViewId="0"/>
  </sheetViews>
  <sheetFormatPr defaultRowHeight="15.95" customHeight="1" x14ac:dyDescent="0.15"/>
  <cols>
    <col min="1" max="1" width="2.625" style="1" customWidth="1"/>
    <col min="2" max="2" width="15.5" style="38" bestFit="1" customWidth="1"/>
    <col min="3" max="3" width="6.625" style="38" customWidth="1"/>
    <col min="4" max="5" width="10.5" style="39" bestFit="1" customWidth="1"/>
    <col min="6" max="6" width="2.625" style="39" customWidth="1"/>
    <col min="7" max="7" width="10.5" style="39" customWidth="1"/>
    <col min="8" max="8" width="9" style="38"/>
    <col min="9" max="9" width="2.625" style="1" customWidth="1"/>
    <col min="10" max="20" width="9" style="1"/>
    <col min="21" max="21" width="2.625" style="1" customWidth="1"/>
    <col min="22" max="16384" width="9" style="1"/>
  </cols>
  <sheetData>
    <row r="2" spans="2:8" ht="15.95" customHeight="1" x14ac:dyDescent="0.15">
      <c r="B2" s="38" t="s">
        <v>118</v>
      </c>
    </row>
    <row r="3" spans="2:8" ht="27.95" customHeight="1" thickBot="1" x14ac:dyDescent="0.2">
      <c r="B3" s="38" t="s">
        <v>425</v>
      </c>
      <c r="C3" s="38" t="s">
        <v>426</v>
      </c>
      <c r="D3" s="40" t="s">
        <v>427</v>
      </c>
      <c r="E3" s="39" t="s">
        <v>428</v>
      </c>
      <c r="G3" s="38" t="s">
        <v>429</v>
      </c>
    </row>
    <row r="4" spans="2:8" ht="15.95" customHeight="1" x14ac:dyDescent="0.15">
      <c r="B4" s="41" t="s">
        <v>1</v>
      </c>
      <c r="C4" s="41" t="s">
        <v>124</v>
      </c>
      <c r="D4" s="42">
        <f>(参考数据!K3-参考数据!K$2)/参考数据!K$2</f>
        <v>-9.0114111399841823E-2</v>
      </c>
      <c r="E4" s="43">
        <v>86.8</v>
      </c>
      <c r="F4" s="44"/>
      <c r="G4" s="45" t="s">
        <v>119</v>
      </c>
      <c r="H4" s="46" t="s">
        <v>120</v>
      </c>
    </row>
    <row r="5" spans="2:8" ht="15.95" customHeight="1" x14ac:dyDescent="0.15">
      <c r="B5" s="47" t="s">
        <v>2</v>
      </c>
      <c r="C5" s="47" t="s">
        <v>128</v>
      </c>
      <c r="D5" s="48">
        <f>(参考数据!K4-参考数据!K$2)/参考数据!K$2</f>
        <v>0.10660942266410575</v>
      </c>
      <c r="E5" s="49">
        <v>105.6</v>
      </c>
      <c r="F5" s="44"/>
      <c r="G5" s="50">
        <v>0.28999999999999998</v>
      </c>
      <c r="H5" s="51">
        <v>100</v>
      </c>
    </row>
    <row r="6" spans="2:8" ht="15.95" customHeight="1" thickBot="1" x14ac:dyDescent="0.2">
      <c r="B6" s="47" t="s">
        <v>3</v>
      </c>
      <c r="C6" s="47" t="s">
        <v>132</v>
      </c>
      <c r="D6" s="48">
        <f>(参考数据!K5-参考数据!K$2)/参考数据!K$2</f>
        <v>-0.14825443452717207</v>
      </c>
      <c r="E6" s="49">
        <v>96.2</v>
      </c>
      <c r="F6" s="44"/>
      <c r="G6" s="52">
        <v>0</v>
      </c>
      <c r="H6" s="53">
        <v>120</v>
      </c>
    </row>
    <row r="7" spans="2:8" ht="15.95" customHeight="1" x14ac:dyDescent="0.15">
      <c r="B7" s="47" t="s">
        <v>4</v>
      </c>
      <c r="C7" s="47" t="s">
        <v>136</v>
      </c>
      <c r="D7" s="48">
        <f>(参考数据!K6-参考数据!K$2)/参考数据!K$2</f>
        <v>-7.675968817082815E-2</v>
      </c>
      <c r="E7" s="49">
        <v>87.4</v>
      </c>
      <c r="F7" s="44"/>
      <c r="G7" s="44"/>
    </row>
    <row r="8" spans="2:8" ht="15.95" customHeight="1" thickBot="1" x14ac:dyDescent="0.2">
      <c r="B8" s="47" t="s">
        <v>5</v>
      </c>
      <c r="C8" s="47" t="s">
        <v>140</v>
      </c>
      <c r="D8" s="48">
        <f>(参考数据!K7-参考数据!K$2)/参考数据!K$2</f>
        <v>-1.8528979776296463E-3</v>
      </c>
      <c r="E8" s="49">
        <v>113.4</v>
      </c>
      <c r="F8" s="44"/>
      <c r="G8" s="38" t="s">
        <v>430</v>
      </c>
    </row>
    <row r="9" spans="2:8" ht="15.95" customHeight="1" x14ac:dyDescent="0.15">
      <c r="B9" s="47" t="s">
        <v>6</v>
      </c>
      <c r="C9" s="47" t="s">
        <v>144</v>
      </c>
      <c r="D9" s="48">
        <f>(参考数据!K8-参考数据!K$2)/参考数据!K$2</f>
        <v>3.9792113885436672E-2</v>
      </c>
      <c r="E9" s="49">
        <v>103.2</v>
      </c>
      <c r="F9" s="44"/>
      <c r="G9" s="45" t="s">
        <v>119</v>
      </c>
      <c r="H9" s="46" t="s">
        <v>120</v>
      </c>
    </row>
    <row r="10" spans="2:8" ht="15.95" customHeight="1" x14ac:dyDescent="0.15">
      <c r="B10" s="47" t="s">
        <v>7</v>
      </c>
      <c r="C10" s="47" t="s">
        <v>148</v>
      </c>
      <c r="D10" s="48">
        <f>(参考数据!K9-参考数据!K$2)/参考数据!K$2</f>
        <v>0.29974014235679586</v>
      </c>
      <c r="E10" s="49">
        <v>108.7</v>
      </c>
      <c r="F10" s="44"/>
      <c r="G10" s="50">
        <v>0.26500000000000001</v>
      </c>
      <c r="H10" s="54">
        <v>116.5</v>
      </c>
    </row>
    <row r="11" spans="2:8" ht="15.95" customHeight="1" x14ac:dyDescent="0.15">
      <c r="B11" s="47" t="s">
        <v>8</v>
      </c>
      <c r="C11" s="47" t="s">
        <v>152</v>
      </c>
      <c r="D11" s="48">
        <f>(参考数据!K10-参考数据!K$2)/参考数据!K$2</f>
        <v>-3.0233871878883743E-2</v>
      </c>
      <c r="E11" s="49">
        <v>100.4</v>
      </c>
      <c r="F11" s="44"/>
      <c r="G11" s="50">
        <v>-0.155</v>
      </c>
      <c r="H11" s="54">
        <v>116.5</v>
      </c>
    </row>
    <row r="12" spans="2:8" ht="15.95" customHeight="1" x14ac:dyDescent="0.15">
      <c r="B12" s="47" t="s">
        <v>9</v>
      </c>
      <c r="C12" s="47" t="s">
        <v>338</v>
      </c>
      <c r="D12" s="48">
        <f>(参考数据!K11-参考数据!K$2)/参考数据!K$2</f>
        <v>0.30929838436334878</v>
      </c>
      <c r="E12" s="49">
        <v>117</v>
      </c>
      <c r="F12" s="44"/>
      <c r="G12" s="50">
        <v>-0.155</v>
      </c>
      <c r="H12" s="54">
        <v>83</v>
      </c>
    </row>
    <row r="13" spans="2:8" ht="15.95" customHeight="1" thickBot="1" x14ac:dyDescent="0.2">
      <c r="B13" s="47" t="s">
        <v>10</v>
      </c>
      <c r="C13" s="47" t="s">
        <v>156</v>
      </c>
      <c r="D13" s="48">
        <f>(参考数据!K12-参考数据!K$2)/参考数据!K$2</f>
        <v>-5.590328776409445E-2</v>
      </c>
      <c r="E13" s="49">
        <v>99.5</v>
      </c>
      <c r="F13" s="44"/>
      <c r="G13" s="55">
        <v>0.26500000000000001</v>
      </c>
      <c r="H13" s="53">
        <v>83</v>
      </c>
    </row>
    <row r="14" spans="2:8" ht="15.95" customHeight="1" x14ac:dyDescent="0.15">
      <c r="B14" s="47" t="s">
        <v>11</v>
      </c>
      <c r="C14" s="47" t="s">
        <v>160</v>
      </c>
      <c r="D14" s="48">
        <f>(参考数据!K13-参考数据!K$2)/参考数据!K$2</f>
        <v>-8.3945316913343129E-2</v>
      </c>
      <c r="E14" s="49">
        <v>92.6</v>
      </c>
      <c r="F14" s="44"/>
      <c r="G14" s="44"/>
    </row>
    <row r="15" spans="2:8" ht="15.95" customHeight="1" x14ac:dyDescent="0.15">
      <c r="B15" s="47" t="s">
        <v>12</v>
      </c>
      <c r="C15" s="47" t="s">
        <v>164</v>
      </c>
      <c r="D15" s="48">
        <f>(参考数据!K14-参考数据!K$2)/参考数据!K$2</f>
        <v>-0.14961021353519377</v>
      </c>
      <c r="E15" s="49">
        <v>118.8</v>
      </c>
      <c r="F15" s="44"/>
      <c r="G15" s="44"/>
    </row>
    <row r="16" spans="2:8" ht="15.95" customHeight="1" x14ac:dyDescent="0.15">
      <c r="B16" s="47" t="s">
        <v>13</v>
      </c>
      <c r="C16" s="47" t="s">
        <v>168</v>
      </c>
      <c r="D16" s="48">
        <f>(参考数据!K15-参考数据!K$2)/参考数据!K$2</f>
        <v>-0.13966783414303469</v>
      </c>
      <c r="E16" s="49">
        <v>93.4</v>
      </c>
      <c r="F16" s="44"/>
      <c r="G16" s="44"/>
    </row>
    <row r="17" spans="2:7" ht="15.95" customHeight="1" x14ac:dyDescent="0.15">
      <c r="B17" s="47" t="s">
        <v>14</v>
      </c>
      <c r="C17" s="47" t="s">
        <v>172</v>
      </c>
      <c r="D17" s="48">
        <f>(参考数据!K16-参考数据!K$2)/参考数据!K$2</f>
        <v>5.4276352954468421E-2</v>
      </c>
      <c r="E17" s="49">
        <v>99.7</v>
      </c>
      <c r="F17" s="44"/>
      <c r="G17" s="44"/>
    </row>
    <row r="18" spans="2:7" ht="15.95" customHeight="1" x14ac:dyDescent="0.15">
      <c r="B18" s="47" t="s">
        <v>15</v>
      </c>
      <c r="C18" s="47" t="s">
        <v>176</v>
      </c>
      <c r="D18" s="48">
        <f>(参考数据!K17-参考数据!K$2)/参考数据!K$2</f>
        <v>-4.6503219975144054E-2</v>
      </c>
      <c r="E18" s="49">
        <v>90.7</v>
      </c>
      <c r="F18" s="44"/>
      <c r="G18" s="44"/>
    </row>
    <row r="19" spans="2:7" ht="15.95" customHeight="1" x14ac:dyDescent="0.15">
      <c r="B19" s="47" t="s">
        <v>16</v>
      </c>
      <c r="C19" s="47" t="s">
        <v>180</v>
      </c>
      <c r="D19" s="48">
        <f>(参考数据!K18-参考数据!K$2)/参考数据!K$2</f>
        <v>4.7542650547960683E-2</v>
      </c>
      <c r="E19" s="49">
        <v>90.3</v>
      </c>
      <c r="F19" s="44"/>
      <c r="G19" s="44"/>
    </row>
    <row r="20" spans="2:7" ht="15.95" customHeight="1" x14ac:dyDescent="0.15">
      <c r="B20" s="47" t="s">
        <v>17</v>
      </c>
      <c r="C20" s="47" t="s">
        <v>184</v>
      </c>
      <c r="D20" s="48">
        <f>(参考数据!K19-参考数据!K$2)/参考数据!K$2</f>
        <v>7.4387074906790196E-2</v>
      </c>
      <c r="E20" s="49">
        <v>90.4</v>
      </c>
      <c r="F20" s="44"/>
      <c r="G20" s="44"/>
    </row>
    <row r="21" spans="2:7" ht="15.95" customHeight="1" x14ac:dyDescent="0.15">
      <c r="B21" s="47" t="s">
        <v>18</v>
      </c>
      <c r="C21" s="47" t="s">
        <v>188</v>
      </c>
      <c r="D21" s="48">
        <f>(参考数据!K20-参考数据!K$2)/参考数据!K$2</f>
        <v>-0.10195458140323127</v>
      </c>
      <c r="E21" s="49">
        <v>88.6</v>
      </c>
      <c r="F21" s="44"/>
      <c r="G21" s="44"/>
    </row>
    <row r="22" spans="2:7" ht="15.95" customHeight="1" x14ac:dyDescent="0.15">
      <c r="B22" s="47" t="s">
        <v>19</v>
      </c>
      <c r="C22" s="47" t="s">
        <v>192</v>
      </c>
      <c r="D22" s="48">
        <f>(参考数据!K21-参考数据!K$2)/参考数据!K$2</f>
        <v>-2.2099197830753588E-2</v>
      </c>
      <c r="E22" s="49">
        <v>90.6</v>
      </c>
      <c r="F22" s="44"/>
      <c r="G22" s="44"/>
    </row>
    <row r="23" spans="2:7" ht="15.95" customHeight="1" x14ac:dyDescent="0.15">
      <c r="B23" s="47" t="s">
        <v>20</v>
      </c>
      <c r="C23" s="47" t="s">
        <v>196</v>
      </c>
      <c r="D23" s="48">
        <f>(参考数据!K22-参考数据!K$2)/参考数据!K$2</f>
        <v>-9.6192520619139077E-2</v>
      </c>
      <c r="E23" s="49">
        <v>98</v>
      </c>
      <c r="F23" s="44"/>
      <c r="G23" s="44"/>
    </row>
    <row r="24" spans="2:7" ht="15.95" customHeight="1" x14ac:dyDescent="0.15">
      <c r="B24" s="47" t="s">
        <v>21</v>
      </c>
      <c r="C24" s="47" t="s">
        <v>200</v>
      </c>
      <c r="D24" s="48">
        <f>(参考数据!K23-参考数据!K$2)/参考数据!K$2</f>
        <v>6.132640379618122E-2</v>
      </c>
      <c r="E24" s="49">
        <v>109.6</v>
      </c>
      <c r="F24" s="44"/>
      <c r="G24" s="56"/>
    </row>
    <row r="25" spans="2:7" ht="15.95" customHeight="1" x14ac:dyDescent="0.15">
      <c r="B25" s="47" t="s">
        <v>22</v>
      </c>
      <c r="C25" s="47" t="s">
        <v>204</v>
      </c>
      <c r="D25" s="48">
        <f>(参考数据!K24-参考数据!K$2)/参考数据!K$2</f>
        <v>0.2152751101570444</v>
      </c>
      <c r="E25" s="49">
        <v>106.9</v>
      </c>
      <c r="F25" s="44"/>
      <c r="G25" s="44"/>
    </row>
    <row r="26" spans="2:7" ht="15.95" customHeight="1" x14ac:dyDescent="0.15">
      <c r="B26" s="47" t="s">
        <v>23</v>
      </c>
      <c r="C26" s="47" t="s">
        <v>208</v>
      </c>
      <c r="D26" s="48">
        <f>(参考数据!K25-参考数据!K$2)/参考数据!K$2</f>
        <v>-4.7045531578352728E-2</v>
      </c>
      <c r="E26" s="49">
        <v>93.5</v>
      </c>
      <c r="F26" s="44"/>
      <c r="G26" s="44"/>
    </row>
    <row r="27" spans="2:7" ht="15.95" customHeight="1" x14ac:dyDescent="0.15">
      <c r="B27" s="47" t="s">
        <v>24</v>
      </c>
      <c r="C27" s="47" t="s">
        <v>212</v>
      </c>
      <c r="D27" s="48">
        <f>(参考数据!K26-参考数据!K$2)/参考数据!K$2</f>
        <v>8.5798214890972765E-2</v>
      </c>
      <c r="E27" s="49">
        <v>97.4</v>
      </c>
      <c r="F27" s="44"/>
      <c r="G27" s="44"/>
    </row>
    <row r="28" spans="2:7" ht="15.95" customHeight="1" x14ac:dyDescent="0.15">
      <c r="B28" s="47" t="s">
        <v>25</v>
      </c>
      <c r="C28" s="47" t="s">
        <v>216</v>
      </c>
      <c r="D28" s="48">
        <f>(参考数据!K27-参考数据!K$2)/参考数据!K$2</f>
        <v>-0.16644446955146311</v>
      </c>
      <c r="E28" s="49">
        <v>86.2</v>
      </c>
      <c r="F28" s="44"/>
      <c r="G28" s="44"/>
    </row>
    <row r="29" spans="2:7" ht="15.95" customHeight="1" x14ac:dyDescent="0.15">
      <c r="B29" s="47" t="s">
        <v>26</v>
      </c>
      <c r="C29" s="47" t="s">
        <v>220</v>
      </c>
      <c r="D29" s="48">
        <f>(参考数据!K28-参考数据!K$2)/参考数据!K$2</f>
        <v>-1.8325612925093208E-2</v>
      </c>
      <c r="E29" s="49">
        <v>89.3</v>
      </c>
      <c r="F29" s="44"/>
      <c r="G29" s="44"/>
    </row>
    <row r="30" spans="2:7" ht="15.95" customHeight="1" x14ac:dyDescent="0.15">
      <c r="B30" s="47" t="s">
        <v>27</v>
      </c>
      <c r="C30" s="47" t="s">
        <v>224</v>
      </c>
      <c r="D30" s="48">
        <f>(参考数据!K29-参考数据!K$2)/参考数据!K$2</f>
        <v>-7.3889955937182242E-2</v>
      </c>
      <c r="E30" s="49">
        <v>94.8</v>
      </c>
      <c r="F30" s="44"/>
      <c r="G30" s="44"/>
    </row>
    <row r="31" spans="2:7" ht="15.95" customHeight="1" x14ac:dyDescent="0.15">
      <c r="B31" s="47" t="s">
        <v>28</v>
      </c>
      <c r="C31" s="47" t="s">
        <v>228</v>
      </c>
      <c r="D31" s="48">
        <f>(参考数据!K30-参考数据!K$2)/参考数据!K$2</f>
        <v>0.13103604112529657</v>
      </c>
      <c r="E31" s="49">
        <v>90.6</v>
      </c>
      <c r="F31" s="44"/>
      <c r="G31" s="44"/>
    </row>
    <row r="32" spans="2:7" ht="15.95" customHeight="1" x14ac:dyDescent="0.15">
      <c r="B32" s="47" t="s">
        <v>29</v>
      </c>
      <c r="C32" s="47" t="s">
        <v>232</v>
      </c>
      <c r="D32" s="48">
        <f>(参考数据!K31-参考数据!K$2)/参考数据!K$2</f>
        <v>-9.0679019319850868E-2</v>
      </c>
      <c r="E32" s="49">
        <v>98</v>
      </c>
      <c r="F32" s="44"/>
      <c r="G32" s="44"/>
    </row>
    <row r="33" spans="2:7" ht="15.95" customHeight="1" x14ac:dyDescent="0.15">
      <c r="B33" s="47" t="s">
        <v>30</v>
      </c>
      <c r="C33" s="47" t="s">
        <v>339</v>
      </c>
      <c r="D33" s="48">
        <f>(参考数据!K32-参考数据!K$2)/参考数据!K$2</f>
        <v>7.4002937521184045E-2</v>
      </c>
      <c r="E33" s="49">
        <v>105</v>
      </c>
      <c r="F33" s="44"/>
      <c r="G33" s="44"/>
    </row>
    <row r="34" spans="2:7" ht="15.95" customHeight="1" x14ac:dyDescent="0.15">
      <c r="B34" s="47" t="s">
        <v>31</v>
      </c>
      <c r="C34" s="47" t="s">
        <v>340</v>
      </c>
      <c r="D34" s="48">
        <f>(参考数据!K33-参考数据!K$2)/参考数据!K$2</f>
        <v>9.7955033329567287E-2</v>
      </c>
      <c r="E34" s="49">
        <v>113.4</v>
      </c>
      <c r="F34" s="44"/>
      <c r="G34" s="44"/>
    </row>
    <row r="35" spans="2:7" ht="15.95" customHeight="1" x14ac:dyDescent="0.15">
      <c r="B35" s="47" t="s">
        <v>32</v>
      </c>
      <c r="C35" s="47" t="s">
        <v>341</v>
      </c>
      <c r="D35" s="48">
        <f>(参考数据!K34-参考数据!K$2)/参考数据!K$2</f>
        <v>-0.16813919331149021</v>
      </c>
      <c r="E35" s="49">
        <v>94.4</v>
      </c>
      <c r="F35" s="44"/>
      <c r="G35" s="44"/>
    </row>
    <row r="36" spans="2:7" ht="15.95" customHeight="1" x14ac:dyDescent="0.15">
      <c r="B36" s="47" t="s">
        <v>33</v>
      </c>
      <c r="C36" s="47" t="s">
        <v>342</v>
      </c>
      <c r="D36" s="48">
        <f>(参考数据!K35-参考数据!K$2)/参考数据!K$2</f>
        <v>4.9485933792791773E-2</v>
      </c>
      <c r="E36" s="49">
        <v>115.3</v>
      </c>
      <c r="F36" s="44"/>
      <c r="G36" s="44"/>
    </row>
    <row r="37" spans="2:7" ht="15.95" customHeight="1" x14ac:dyDescent="0.15">
      <c r="B37" s="47" t="s">
        <v>34</v>
      </c>
      <c r="C37" s="47" t="s">
        <v>343</v>
      </c>
      <c r="D37" s="48">
        <f>(参考数据!K36-参考数据!K$2)/参考数据!K$2</f>
        <v>-6.1529770647384477E-2</v>
      </c>
      <c r="E37" s="49">
        <v>91.2</v>
      </c>
      <c r="F37" s="44"/>
      <c r="G37" s="44"/>
    </row>
    <row r="38" spans="2:7" ht="15.95" customHeight="1" x14ac:dyDescent="0.15">
      <c r="B38" s="47" t="s">
        <v>35</v>
      </c>
      <c r="C38" s="47" t="s">
        <v>344</v>
      </c>
      <c r="D38" s="48">
        <f>(参考数据!K37-参考数据!K$2)/参考数据!K$2</f>
        <v>0.24272963506948367</v>
      </c>
      <c r="E38" s="49">
        <v>92.3</v>
      </c>
      <c r="F38" s="44"/>
      <c r="G38" s="44"/>
    </row>
    <row r="39" spans="2:7" ht="15.95" customHeight="1" x14ac:dyDescent="0.15">
      <c r="B39" s="47" t="s">
        <v>36</v>
      </c>
      <c r="C39" s="47" t="s">
        <v>266</v>
      </c>
      <c r="D39" s="48">
        <f>(参考数据!K38-参考数据!K$2)/参考数据!K$2</f>
        <v>1.554626595864874E-2</v>
      </c>
      <c r="E39" s="49">
        <v>89.2</v>
      </c>
      <c r="F39" s="44"/>
      <c r="G39" s="44"/>
    </row>
    <row r="40" spans="2:7" ht="15.95" customHeight="1" x14ac:dyDescent="0.15">
      <c r="B40" s="47" t="s">
        <v>37</v>
      </c>
      <c r="C40" s="47" t="s">
        <v>270</v>
      </c>
      <c r="D40" s="48">
        <f>(参考数据!K39-参考数据!K$2)/参考数据!K$2</f>
        <v>1.1343351033781493E-2</v>
      </c>
      <c r="E40" s="49">
        <v>89.9</v>
      </c>
      <c r="F40" s="44"/>
      <c r="G40" s="44"/>
    </row>
    <row r="41" spans="2:7" ht="15.95" customHeight="1" x14ac:dyDescent="0.15">
      <c r="B41" s="47" t="s">
        <v>38</v>
      </c>
      <c r="C41" s="47" t="s">
        <v>274</v>
      </c>
      <c r="D41" s="48">
        <f>(参考数据!K40-参考数据!K$2)/参考数据!K$2</f>
        <v>-7.6239972884419846E-2</v>
      </c>
      <c r="E41" s="49">
        <v>99.2</v>
      </c>
      <c r="F41" s="44"/>
      <c r="G41" s="44"/>
    </row>
    <row r="42" spans="2:7" ht="15.95" customHeight="1" x14ac:dyDescent="0.15">
      <c r="B42" s="47" t="s">
        <v>39</v>
      </c>
      <c r="C42" s="47" t="s">
        <v>278</v>
      </c>
      <c r="D42" s="48">
        <f>(参考数据!K41-参考数据!K$2)/参考数据!K$2</f>
        <v>5.1564794938425036E-2</v>
      </c>
      <c r="E42" s="49">
        <v>97.9</v>
      </c>
      <c r="F42" s="44"/>
      <c r="G42" s="44"/>
    </row>
    <row r="43" spans="2:7" ht="15.95" customHeight="1" x14ac:dyDescent="0.15">
      <c r="B43" s="47" t="s">
        <v>40</v>
      </c>
      <c r="C43" s="47" t="s">
        <v>345</v>
      </c>
      <c r="D43" s="48">
        <f>(参考数据!K42-参考数据!K$2)/参考数据!K$2</f>
        <v>4.2119534515873913E-2</v>
      </c>
      <c r="E43" s="49">
        <v>98.7</v>
      </c>
      <c r="F43" s="44"/>
      <c r="G43" s="44"/>
    </row>
    <row r="44" spans="2:7" ht="15.95" customHeight="1" x14ac:dyDescent="0.15">
      <c r="B44" s="47" t="s">
        <v>41</v>
      </c>
      <c r="C44" s="47" t="s">
        <v>346</v>
      </c>
      <c r="D44" s="48">
        <f>(参考数据!K43-参考数据!K$2)/参考数据!K$2</f>
        <v>-0.11178397921138854</v>
      </c>
      <c r="E44" s="49">
        <v>90.3</v>
      </c>
      <c r="F44" s="44"/>
      <c r="G44" s="44"/>
    </row>
    <row r="45" spans="2:7" ht="15.95" customHeight="1" x14ac:dyDescent="0.15">
      <c r="B45" s="47" t="s">
        <v>42</v>
      </c>
      <c r="C45" s="47" t="s">
        <v>347</v>
      </c>
      <c r="D45" s="48">
        <f>(参考数据!K44-参考数据!K$2)/参考数据!K$2</f>
        <v>0.11768161789628291</v>
      </c>
      <c r="E45" s="49">
        <v>88.2</v>
      </c>
      <c r="F45" s="44"/>
      <c r="G45" s="44"/>
    </row>
    <row r="46" spans="2:7" ht="15.95" customHeight="1" x14ac:dyDescent="0.15">
      <c r="B46" s="47" t="s">
        <v>43</v>
      </c>
      <c r="C46" s="47" t="s">
        <v>297</v>
      </c>
      <c r="D46" s="48">
        <f>(参考数据!K45-参考数据!K$2)/参考数据!K$2</f>
        <v>-3.0572816630889166E-2</v>
      </c>
      <c r="E46" s="49">
        <v>89.9</v>
      </c>
      <c r="F46" s="44"/>
      <c r="G46" s="44"/>
    </row>
    <row r="47" spans="2:7" ht="15.95" customHeight="1" x14ac:dyDescent="0.15">
      <c r="B47" s="47" t="s">
        <v>44</v>
      </c>
      <c r="C47" s="47" t="s">
        <v>301</v>
      </c>
      <c r="D47" s="48">
        <f>(参考数据!K46-参考数据!K$2)/参考数据!K$2</f>
        <v>3.1634843520506159E-4</v>
      </c>
      <c r="E47" s="49">
        <v>96.8</v>
      </c>
      <c r="F47" s="44"/>
      <c r="G47" s="44"/>
    </row>
    <row r="48" spans="2:7" ht="15.95" customHeight="1" x14ac:dyDescent="0.15">
      <c r="B48" s="47" t="s">
        <v>45</v>
      </c>
      <c r="C48" s="47" t="s">
        <v>305</v>
      </c>
      <c r="D48" s="48">
        <f>(参考数据!K47-参考数据!K$2)/参考数据!K$2</f>
        <v>-0.15410688057846572</v>
      </c>
      <c r="E48" s="49">
        <v>97</v>
      </c>
      <c r="F48" s="44"/>
      <c r="G48" s="44"/>
    </row>
    <row r="49" spans="2:7" ht="15.95" customHeight="1" x14ac:dyDescent="0.15">
      <c r="B49" s="47" t="s">
        <v>46</v>
      </c>
      <c r="C49" s="47" t="s">
        <v>309</v>
      </c>
      <c r="D49" s="48">
        <f>(参考数据!K48-参考数据!K$2)/参考数据!K$2</f>
        <v>-5.3327307648853234E-3</v>
      </c>
      <c r="E49" s="49">
        <v>101.6</v>
      </c>
      <c r="F49" s="44"/>
      <c r="G49" s="44"/>
    </row>
    <row r="50" spans="2:7" ht="15.95" customHeight="1" x14ac:dyDescent="0.15">
      <c r="B50" s="47" t="s">
        <v>47</v>
      </c>
      <c r="C50" s="47" t="s">
        <v>313</v>
      </c>
      <c r="D50" s="48">
        <f>(参考数据!K49-参考数据!K$2)/参考数据!K$2</f>
        <v>5.2581629194441308E-2</v>
      </c>
      <c r="E50" s="49">
        <v>102.5</v>
      </c>
      <c r="F50" s="44"/>
      <c r="G50" s="44"/>
    </row>
    <row r="51" spans="2:7" ht="15.95" customHeight="1" x14ac:dyDescent="0.15">
      <c r="B51" s="47" t="s">
        <v>48</v>
      </c>
      <c r="C51" s="47" t="s">
        <v>317</v>
      </c>
      <c r="D51" s="48">
        <f>(参考数据!K50-参考数据!K$2)/参考数据!K$2</f>
        <v>4.6887357360750198E-2</v>
      </c>
      <c r="E51" s="49">
        <v>104.8</v>
      </c>
      <c r="F51" s="44"/>
      <c r="G51" s="44"/>
    </row>
    <row r="52" spans="2:7" ht="15.95" customHeight="1" x14ac:dyDescent="0.15">
      <c r="B52" s="47" t="s">
        <v>49</v>
      </c>
      <c r="C52" s="47" t="s">
        <v>348</v>
      </c>
      <c r="D52" s="48">
        <f>(参考数据!K51-参考数据!K$2)/参考数据!K$2</f>
        <v>-0.1498813693367981</v>
      </c>
      <c r="E52" s="49">
        <v>88.9</v>
      </c>
      <c r="F52" s="44"/>
      <c r="G52" s="44"/>
    </row>
    <row r="53" spans="2:7" ht="15.95" customHeight="1" x14ac:dyDescent="0.15">
      <c r="B53" s="47" t="s">
        <v>50</v>
      </c>
      <c r="C53" s="47" t="s">
        <v>326</v>
      </c>
      <c r="D53" s="48">
        <f>(参考数据!K52-参考数据!K$2)/参考数据!K$2</f>
        <v>2.0246299853123942E-2</v>
      </c>
      <c r="E53" s="49">
        <v>93.1</v>
      </c>
      <c r="F53" s="44"/>
      <c r="G53" s="44"/>
    </row>
    <row r="54" spans="2:7" ht="15.95" customHeight="1" thickBot="1" x14ac:dyDescent="0.2">
      <c r="B54" s="57" t="s">
        <v>51</v>
      </c>
      <c r="C54" s="57" t="s">
        <v>330</v>
      </c>
      <c r="D54" s="58">
        <f>(参考数据!K53-参考数据!K$2)/参考数据!K$2</f>
        <v>0.20917410462094679</v>
      </c>
      <c r="E54" s="59">
        <v>96.2</v>
      </c>
      <c r="F54" s="44"/>
      <c r="G54" s="44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4"/>
  <sheetViews>
    <sheetView showGridLines="0" workbookViewId="0"/>
  </sheetViews>
  <sheetFormatPr defaultRowHeight="15.95" customHeight="1" x14ac:dyDescent="0.15"/>
  <cols>
    <col min="1" max="1" width="2.625" style="1" customWidth="1"/>
    <col min="2" max="2" width="15.5" style="38" bestFit="1" customWidth="1"/>
    <col min="3" max="3" width="6.625" style="38" customWidth="1"/>
    <col min="4" max="4" width="7.5" style="38" bestFit="1" customWidth="1"/>
    <col min="5" max="6" width="10.5" style="39" bestFit="1" customWidth="1"/>
    <col min="7" max="7" width="2.625" style="39" customWidth="1"/>
    <col min="8" max="8" width="10.5" style="39" customWidth="1"/>
    <col min="9" max="9" width="9" style="38"/>
    <col min="10" max="10" width="2.625" style="1" customWidth="1"/>
    <col min="11" max="21" width="9" style="1"/>
    <col min="22" max="22" width="4.625" style="1" customWidth="1"/>
    <col min="23" max="16384" width="9" style="1"/>
  </cols>
  <sheetData>
    <row r="2" spans="2:9" ht="15.95" customHeight="1" x14ac:dyDescent="0.15">
      <c r="B2" s="38" t="s">
        <v>118</v>
      </c>
    </row>
    <row r="3" spans="2:9" ht="27.95" customHeight="1" thickBot="1" x14ac:dyDescent="0.2">
      <c r="B3" s="38" t="s">
        <v>425</v>
      </c>
      <c r="C3" s="38" t="s">
        <v>426</v>
      </c>
      <c r="D3" s="38" t="s">
        <v>431</v>
      </c>
      <c r="E3" s="40" t="s">
        <v>427</v>
      </c>
      <c r="F3" s="39" t="s">
        <v>428</v>
      </c>
      <c r="H3" s="38" t="s">
        <v>429</v>
      </c>
    </row>
    <row r="4" spans="2:9" ht="15.95" customHeight="1" x14ac:dyDescent="0.15">
      <c r="B4" s="41" t="s">
        <v>1</v>
      </c>
      <c r="C4" s="41" t="s">
        <v>124</v>
      </c>
      <c r="D4" s="41" t="str">
        <f>IF(ISNUMBER(MATCH(C4,分区域!$C$3:$C$24,0)),"美国西部","美国东部")</f>
        <v>美国东部</v>
      </c>
      <c r="E4" s="42">
        <f>(参考数据!K3-参考数据!K$2)/参考数据!K$2</f>
        <v>-9.0114111399841823E-2</v>
      </c>
      <c r="F4" s="43">
        <v>86.8</v>
      </c>
      <c r="G4" s="44"/>
      <c r="H4" s="45" t="s">
        <v>119</v>
      </c>
      <c r="I4" s="46" t="s">
        <v>120</v>
      </c>
    </row>
    <row r="5" spans="2:9" ht="15.95" customHeight="1" x14ac:dyDescent="0.15">
      <c r="B5" s="47" t="s">
        <v>2</v>
      </c>
      <c r="C5" s="47" t="s">
        <v>128</v>
      </c>
      <c r="D5" s="47" t="str">
        <f>IF(ISNUMBER(MATCH(C5,分区域!$C$3:$C$24,0)),"美国西部","美国东部")</f>
        <v>美国东部</v>
      </c>
      <c r="E5" s="48">
        <f>(参考数据!K4-参考数据!K$2)/参考数据!K$2</f>
        <v>0.10660942266410575</v>
      </c>
      <c r="F5" s="49">
        <v>105.6</v>
      </c>
      <c r="G5" s="44"/>
      <c r="H5" s="50">
        <v>0.28999999999999998</v>
      </c>
      <c r="I5" s="51">
        <v>100</v>
      </c>
    </row>
    <row r="6" spans="2:9" ht="15.95" customHeight="1" thickBot="1" x14ac:dyDescent="0.2">
      <c r="B6" s="47" t="s">
        <v>7</v>
      </c>
      <c r="C6" s="47" t="s">
        <v>148</v>
      </c>
      <c r="D6" s="47" t="str">
        <f>IF(ISNUMBER(MATCH(C6,分区域!$C$3:$C$24,0)),"美国西部","美国东部")</f>
        <v>美国东部</v>
      </c>
      <c r="E6" s="48">
        <f>(参考数据!K9-参考数据!K$2)/参考数据!K$2</f>
        <v>0.29974014235679586</v>
      </c>
      <c r="F6" s="49">
        <v>108.7</v>
      </c>
      <c r="G6" s="44"/>
      <c r="H6" s="52">
        <v>0</v>
      </c>
      <c r="I6" s="53">
        <v>120</v>
      </c>
    </row>
    <row r="7" spans="2:9" ht="15.95" customHeight="1" x14ac:dyDescent="0.15">
      <c r="B7" s="47" t="s">
        <v>8</v>
      </c>
      <c r="C7" s="47" t="s">
        <v>152</v>
      </c>
      <c r="D7" s="47" t="str">
        <f>IF(ISNUMBER(MATCH(C7,分区域!$C$3:$C$24,0)),"美国西部","美国东部")</f>
        <v>美国东部</v>
      </c>
      <c r="E7" s="48">
        <f>(参考数据!K10-参考数据!K$2)/参考数据!K$2</f>
        <v>-3.0233871878883743E-2</v>
      </c>
      <c r="F7" s="49">
        <v>100.4</v>
      </c>
      <c r="G7" s="44"/>
      <c r="H7" s="44"/>
    </row>
    <row r="8" spans="2:9" ht="15.95" customHeight="1" thickBot="1" x14ac:dyDescent="0.2">
      <c r="B8" s="47" t="s">
        <v>9</v>
      </c>
      <c r="C8" s="47" t="s">
        <v>338</v>
      </c>
      <c r="D8" s="47" t="str">
        <f>IF(ISNUMBER(MATCH(C8,分区域!$C$3:$C$24,0)),"美国西部","美国东部")</f>
        <v>美国东部</v>
      </c>
      <c r="E8" s="48">
        <f>(参考数据!K11-参考数据!K$2)/参考数据!K$2</f>
        <v>0.30929838436334878</v>
      </c>
      <c r="F8" s="49">
        <v>117</v>
      </c>
      <c r="G8" s="44"/>
      <c r="H8" s="38" t="s">
        <v>430</v>
      </c>
    </row>
    <row r="9" spans="2:9" ht="15.95" customHeight="1" x14ac:dyDescent="0.15">
      <c r="B9" s="47" t="s">
        <v>10</v>
      </c>
      <c r="C9" s="47" t="s">
        <v>156</v>
      </c>
      <c r="D9" s="47" t="str">
        <f>IF(ISNUMBER(MATCH(C9,分区域!$C$3:$C$24,0)),"美国西部","美国东部")</f>
        <v>美国东部</v>
      </c>
      <c r="E9" s="48">
        <f>(参考数据!K12-参考数据!K$2)/参考数据!K$2</f>
        <v>-5.590328776409445E-2</v>
      </c>
      <c r="F9" s="49">
        <v>99.5</v>
      </c>
      <c r="G9" s="44"/>
      <c r="H9" s="45" t="s">
        <v>119</v>
      </c>
      <c r="I9" s="46" t="s">
        <v>120</v>
      </c>
    </row>
    <row r="10" spans="2:9" ht="15.95" customHeight="1" x14ac:dyDescent="0.15">
      <c r="B10" s="47" t="s">
        <v>11</v>
      </c>
      <c r="C10" s="47" t="s">
        <v>160</v>
      </c>
      <c r="D10" s="47" t="str">
        <f>IF(ISNUMBER(MATCH(C10,分区域!$C$3:$C$24,0)),"美国西部","美国东部")</f>
        <v>美国东部</v>
      </c>
      <c r="E10" s="48">
        <f>(参考数据!K13-参考数据!K$2)/参考数据!K$2</f>
        <v>-8.3945316913343129E-2</v>
      </c>
      <c r="F10" s="49">
        <v>92.6</v>
      </c>
      <c r="G10" s="44"/>
      <c r="H10" s="50">
        <v>0.26500000000000001</v>
      </c>
      <c r="I10" s="54">
        <v>116.5</v>
      </c>
    </row>
    <row r="11" spans="2:9" ht="15.95" customHeight="1" x14ac:dyDescent="0.15">
      <c r="B11" s="47" t="s">
        <v>12</v>
      </c>
      <c r="C11" s="47" t="s">
        <v>164</v>
      </c>
      <c r="D11" s="47" t="str">
        <f>IF(ISNUMBER(MATCH(C11,分区域!$C$3:$C$24,0)),"美国西部","美国东部")</f>
        <v>美国东部</v>
      </c>
      <c r="E11" s="48">
        <f>(参考数据!K14-参考数据!K$2)/参考数据!K$2</f>
        <v>-0.14961021353519377</v>
      </c>
      <c r="F11" s="49">
        <v>118.8</v>
      </c>
      <c r="G11" s="44"/>
      <c r="H11" s="50">
        <v>-0.155</v>
      </c>
      <c r="I11" s="54">
        <v>116.5</v>
      </c>
    </row>
    <row r="12" spans="2:9" ht="15.95" customHeight="1" x14ac:dyDescent="0.15">
      <c r="B12" s="47" t="s">
        <v>14</v>
      </c>
      <c r="C12" s="47" t="s">
        <v>172</v>
      </c>
      <c r="D12" s="47" t="str">
        <f>IF(ISNUMBER(MATCH(C12,分区域!$C$3:$C$24,0)),"美国西部","美国东部")</f>
        <v>美国东部</v>
      </c>
      <c r="E12" s="48">
        <f>(参考数据!K16-参考数据!K$2)/参考数据!K$2</f>
        <v>5.4276352954468421E-2</v>
      </c>
      <c r="F12" s="49">
        <v>99.7</v>
      </c>
      <c r="G12" s="44"/>
      <c r="H12" s="50">
        <v>-0.155</v>
      </c>
      <c r="I12" s="54">
        <v>83</v>
      </c>
    </row>
    <row r="13" spans="2:9" ht="15.95" customHeight="1" thickBot="1" x14ac:dyDescent="0.2">
      <c r="B13" s="47" t="s">
        <v>15</v>
      </c>
      <c r="C13" s="47" t="s">
        <v>176</v>
      </c>
      <c r="D13" s="47" t="str">
        <f>IF(ISNUMBER(MATCH(C13,分区域!$C$3:$C$24,0)),"美国西部","美国东部")</f>
        <v>美国东部</v>
      </c>
      <c r="E13" s="48">
        <f>(参考数据!K17-参考数据!K$2)/参考数据!K$2</f>
        <v>-4.6503219975144054E-2</v>
      </c>
      <c r="F13" s="49">
        <v>90.7</v>
      </c>
      <c r="G13" s="44"/>
      <c r="H13" s="55">
        <v>0.26500000000000001</v>
      </c>
      <c r="I13" s="53">
        <v>83</v>
      </c>
    </row>
    <row r="14" spans="2:9" ht="15.95" customHeight="1" x14ac:dyDescent="0.15">
      <c r="B14" s="47" t="s">
        <v>18</v>
      </c>
      <c r="C14" s="47" t="s">
        <v>188</v>
      </c>
      <c r="D14" s="47" t="str">
        <f>IF(ISNUMBER(MATCH(C14,分区域!$C$3:$C$24,0)),"美国西部","美国东部")</f>
        <v>美国东部</v>
      </c>
      <c r="E14" s="48">
        <f>(参考数据!K20-参考数据!K$2)/参考数据!K$2</f>
        <v>-0.10195458140323127</v>
      </c>
      <c r="F14" s="49">
        <v>88.6</v>
      </c>
      <c r="G14" s="44"/>
      <c r="H14" s="44"/>
    </row>
    <row r="15" spans="2:9" ht="15.95" customHeight="1" x14ac:dyDescent="0.15">
      <c r="B15" s="47" t="s">
        <v>20</v>
      </c>
      <c r="C15" s="47" t="s">
        <v>196</v>
      </c>
      <c r="D15" s="47" t="str">
        <f>IF(ISNUMBER(MATCH(C15,分区域!$C$3:$C$24,0)),"美国西部","美国东部")</f>
        <v>美国东部</v>
      </c>
      <c r="E15" s="48">
        <f>(参考数据!K22-参考数据!K$2)/参考数据!K$2</f>
        <v>-9.6192520619139077E-2</v>
      </c>
      <c r="F15" s="49">
        <v>98</v>
      </c>
      <c r="G15" s="44"/>
      <c r="H15" s="44"/>
    </row>
    <row r="16" spans="2:9" ht="15.95" customHeight="1" x14ac:dyDescent="0.15">
      <c r="B16" s="47" t="s">
        <v>21</v>
      </c>
      <c r="C16" s="47" t="s">
        <v>200</v>
      </c>
      <c r="D16" s="47" t="str">
        <f>IF(ISNUMBER(MATCH(C16,分区域!$C$3:$C$24,0)),"美国西部","美国东部")</f>
        <v>美国东部</v>
      </c>
      <c r="E16" s="48">
        <f>(参考数据!K23-参考数据!K$2)/参考数据!K$2</f>
        <v>6.132640379618122E-2</v>
      </c>
      <c r="F16" s="49">
        <v>109.6</v>
      </c>
      <c r="G16" s="44"/>
      <c r="H16" s="44"/>
    </row>
    <row r="17" spans="2:8" ht="15.95" customHeight="1" x14ac:dyDescent="0.15">
      <c r="B17" s="47" t="s">
        <v>22</v>
      </c>
      <c r="C17" s="47" t="s">
        <v>204</v>
      </c>
      <c r="D17" s="47" t="str">
        <f>IF(ISNUMBER(MATCH(C17,分区域!$C$3:$C$24,0)),"美国西部","美国东部")</f>
        <v>美国东部</v>
      </c>
      <c r="E17" s="48">
        <f>(参考数据!K24-参考数据!K$2)/参考数据!K$2</f>
        <v>0.2152751101570444</v>
      </c>
      <c r="F17" s="49">
        <v>106.9</v>
      </c>
      <c r="G17" s="44"/>
      <c r="H17" s="44"/>
    </row>
    <row r="18" spans="2:8" ht="15.95" customHeight="1" x14ac:dyDescent="0.15">
      <c r="B18" s="47" t="s">
        <v>23</v>
      </c>
      <c r="C18" s="47" t="s">
        <v>208</v>
      </c>
      <c r="D18" s="47" t="str">
        <f>IF(ISNUMBER(MATCH(C18,分区域!$C$3:$C$24,0)),"美国西部","美国东部")</f>
        <v>美国东部</v>
      </c>
      <c r="E18" s="48">
        <f>(参考数据!K25-参考数据!K$2)/参考数据!K$2</f>
        <v>-4.7045531578352728E-2</v>
      </c>
      <c r="F18" s="49">
        <v>93.5</v>
      </c>
      <c r="G18" s="44"/>
      <c r="H18" s="44"/>
    </row>
    <row r="19" spans="2:8" ht="15.95" customHeight="1" x14ac:dyDescent="0.15">
      <c r="B19" s="47" t="s">
        <v>25</v>
      </c>
      <c r="C19" s="47" t="s">
        <v>216</v>
      </c>
      <c r="D19" s="47" t="str">
        <f>IF(ISNUMBER(MATCH(C19,分区域!$C$3:$C$24,0)),"美国西部","美国东部")</f>
        <v>美国东部</v>
      </c>
      <c r="E19" s="48">
        <f>(参考数据!K27-参考数据!K$2)/参考数据!K$2</f>
        <v>-0.16644446955146311</v>
      </c>
      <c r="F19" s="49">
        <v>86.2</v>
      </c>
      <c r="G19" s="44"/>
      <c r="H19" s="44"/>
    </row>
    <row r="20" spans="2:8" ht="15.95" customHeight="1" x14ac:dyDescent="0.15">
      <c r="B20" s="47" t="s">
        <v>30</v>
      </c>
      <c r="C20" s="47" t="s">
        <v>339</v>
      </c>
      <c r="D20" s="47" t="str">
        <f>IF(ISNUMBER(MATCH(C20,分区域!$C$3:$C$24,0)),"美国西部","美国东部")</f>
        <v>美国东部</v>
      </c>
      <c r="E20" s="48">
        <f>(参考数据!K32-参考数据!K$2)/参考数据!K$2</f>
        <v>7.4002937521184045E-2</v>
      </c>
      <c r="F20" s="49">
        <v>105</v>
      </c>
      <c r="G20" s="44"/>
      <c r="H20" s="44"/>
    </row>
    <row r="21" spans="2:8" ht="15.95" customHeight="1" x14ac:dyDescent="0.15">
      <c r="B21" s="47" t="s">
        <v>31</v>
      </c>
      <c r="C21" s="47" t="s">
        <v>340</v>
      </c>
      <c r="D21" s="47" t="str">
        <f>IF(ISNUMBER(MATCH(C21,分区域!$C$3:$C$24,0)),"美国西部","美国东部")</f>
        <v>美国东部</v>
      </c>
      <c r="E21" s="48">
        <f>(参考数据!K33-参考数据!K$2)/参考数据!K$2</f>
        <v>9.7955033329567287E-2</v>
      </c>
      <c r="F21" s="49">
        <v>113.4</v>
      </c>
      <c r="G21" s="44"/>
      <c r="H21" s="44"/>
    </row>
    <row r="22" spans="2:8" ht="15.95" customHeight="1" x14ac:dyDescent="0.15">
      <c r="B22" s="47" t="s">
        <v>33</v>
      </c>
      <c r="C22" s="47" t="s">
        <v>342</v>
      </c>
      <c r="D22" s="47" t="str">
        <f>IF(ISNUMBER(MATCH(C22,分区域!$C$3:$C$24,0)),"美国西部","美国东部")</f>
        <v>美国东部</v>
      </c>
      <c r="E22" s="48">
        <f>(参考数据!K35-参考数据!K$2)/参考数据!K$2</f>
        <v>4.9485933792791773E-2</v>
      </c>
      <c r="F22" s="49">
        <v>115.3</v>
      </c>
      <c r="G22" s="44"/>
      <c r="H22" s="44"/>
    </row>
    <row r="23" spans="2:8" ht="15.95" customHeight="1" x14ac:dyDescent="0.15">
      <c r="B23" s="47" t="s">
        <v>34</v>
      </c>
      <c r="C23" s="47" t="s">
        <v>343</v>
      </c>
      <c r="D23" s="47" t="str">
        <f>IF(ISNUMBER(MATCH(C23,分区域!$C$3:$C$24,0)),"美国西部","美国东部")</f>
        <v>美国东部</v>
      </c>
      <c r="E23" s="48">
        <f>(参考数据!K36-参考数据!K$2)/参考数据!K$2</f>
        <v>-6.1529770647384477E-2</v>
      </c>
      <c r="F23" s="49">
        <v>91.2</v>
      </c>
      <c r="G23" s="44"/>
      <c r="H23" s="44"/>
    </row>
    <row r="24" spans="2:8" ht="15.95" customHeight="1" x14ac:dyDescent="0.15">
      <c r="B24" s="47" t="s">
        <v>36</v>
      </c>
      <c r="C24" s="47" t="s">
        <v>266</v>
      </c>
      <c r="D24" s="47" t="str">
        <f>IF(ISNUMBER(MATCH(C24,分区域!$C$3:$C$24,0)),"美国西部","美国东部")</f>
        <v>美国东部</v>
      </c>
      <c r="E24" s="48">
        <f>(参考数据!K38-参考数据!K$2)/参考数据!K$2</f>
        <v>1.554626595864874E-2</v>
      </c>
      <c r="F24" s="49">
        <v>89.2</v>
      </c>
      <c r="G24" s="44"/>
      <c r="H24" s="44"/>
    </row>
    <row r="25" spans="2:8" ht="15.95" customHeight="1" x14ac:dyDescent="0.15">
      <c r="B25" s="47" t="s">
        <v>39</v>
      </c>
      <c r="C25" s="47" t="s">
        <v>278</v>
      </c>
      <c r="D25" s="47" t="str">
        <f>IF(ISNUMBER(MATCH(C25,分区域!$C$3:$C$24,0)),"美国西部","美国东部")</f>
        <v>美国东部</v>
      </c>
      <c r="E25" s="48">
        <f>(参考数据!K41-参考数据!K$2)/参考数据!K$2</f>
        <v>5.1564794938425036E-2</v>
      </c>
      <c r="F25" s="49">
        <v>97.9</v>
      </c>
      <c r="G25" s="44"/>
      <c r="H25" s="44"/>
    </row>
    <row r="26" spans="2:8" ht="15.95" customHeight="1" x14ac:dyDescent="0.15">
      <c r="B26" s="47" t="s">
        <v>40</v>
      </c>
      <c r="C26" s="47" t="s">
        <v>345</v>
      </c>
      <c r="D26" s="47" t="str">
        <f>IF(ISNUMBER(MATCH(C26,分区域!$C$3:$C$24,0)),"美国西部","美国东部")</f>
        <v>美国东部</v>
      </c>
      <c r="E26" s="48">
        <f>(参考数据!K42-参考数据!K$2)/参考数据!K$2</f>
        <v>4.2119534515873913E-2</v>
      </c>
      <c r="F26" s="49">
        <v>98.7</v>
      </c>
      <c r="G26" s="44"/>
      <c r="H26" s="44"/>
    </row>
    <row r="27" spans="2:8" ht="15.95" customHeight="1" x14ac:dyDescent="0.15">
      <c r="B27" s="47" t="s">
        <v>41</v>
      </c>
      <c r="C27" s="47" t="s">
        <v>346</v>
      </c>
      <c r="D27" s="47" t="str">
        <f>IF(ISNUMBER(MATCH(C27,分区域!$C$3:$C$24,0)),"美国西部","美国东部")</f>
        <v>美国东部</v>
      </c>
      <c r="E27" s="48">
        <f>(参考数据!K43-参考数据!K$2)/参考数据!K$2</f>
        <v>-0.11178397921138854</v>
      </c>
      <c r="F27" s="49">
        <v>90.3</v>
      </c>
      <c r="G27" s="44"/>
      <c r="H27" s="44"/>
    </row>
    <row r="28" spans="2:8" ht="15.95" customHeight="1" x14ac:dyDescent="0.15">
      <c r="B28" s="47" t="s">
        <v>43</v>
      </c>
      <c r="C28" s="47" t="s">
        <v>297</v>
      </c>
      <c r="D28" s="47" t="str">
        <f>IF(ISNUMBER(MATCH(C28,分区域!$C$3:$C$24,0)),"美国西部","美国东部")</f>
        <v>美国东部</v>
      </c>
      <c r="E28" s="48">
        <f>(参考数据!K45-参考数据!K$2)/参考数据!K$2</f>
        <v>-3.0572816630889166E-2</v>
      </c>
      <c r="F28" s="49">
        <v>89.9</v>
      </c>
      <c r="G28" s="44"/>
      <c r="H28" s="44"/>
    </row>
    <row r="29" spans="2:8" ht="15.95" customHeight="1" x14ac:dyDescent="0.15">
      <c r="B29" s="47" t="s">
        <v>46</v>
      </c>
      <c r="C29" s="47" t="s">
        <v>309</v>
      </c>
      <c r="D29" s="47" t="str">
        <f>IF(ISNUMBER(MATCH(C29,分区域!$C$3:$C$24,0)),"美国西部","美国东部")</f>
        <v>美国东部</v>
      </c>
      <c r="E29" s="48">
        <f>(参考数据!K48-参考数据!K$2)/参考数据!K$2</f>
        <v>-5.3327307648853234E-3</v>
      </c>
      <c r="F29" s="49">
        <v>101.6</v>
      </c>
      <c r="G29" s="44"/>
      <c r="H29" s="44"/>
    </row>
    <row r="30" spans="2:8" ht="15.95" customHeight="1" x14ac:dyDescent="0.15">
      <c r="B30" s="47" t="s">
        <v>47</v>
      </c>
      <c r="C30" s="47" t="s">
        <v>313</v>
      </c>
      <c r="D30" s="47" t="str">
        <f>IF(ISNUMBER(MATCH(C30,分区域!$C$3:$C$24,0)),"美国西部","美国东部")</f>
        <v>美国东部</v>
      </c>
      <c r="E30" s="48">
        <f>(参考数据!K49-参考数据!K$2)/参考数据!K$2</f>
        <v>5.2581629194441308E-2</v>
      </c>
      <c r="F30" s="49">
        <v>102.5</v>
      </c>
      <c r="G30" s="44"/>
      <c r="H30" s="44"/>
    </row>
    <row r="31" spans="2:8" ht="15.95" customHeight="1" x14ac:dyDescent="0.15">
      <c r="B31" s="47" t="s">
        <v>49</v>
      </c>
      <c r="C31" s="47" t="s">
        <v>348</v>
      </c>
      <c r="D31" s="47" t="str">
        <f>IF(ISNUMBER(MATCH(C31,分区域!$C$3:$C$24,0)),"美国西部","美国东部")</f>
        <v>美国东部</v>
      </c>
      <c r="E31" s="48">
        <f>(参考数据!K51-参考数据!K$2)/参考数据!K$2</f>
        <v>-0.1498813693367981</v>
      </c>
      <c r="F31" s="49">
        <v>88.9</v>
      </c>
      <c r="G31" s="44"/>
      <c r="H31" s="44"/>
    </row>
    <row r="32" spans="2:8" ht="15.95" customHeight="1" x14ac:dyDescent="0.15">
      <c r="B32" s="47" t="s">
        <v>50</v>
      </c>
      <c r="C32" s="47" t="s">
        <v>326</v>
      </c>
      <c r="D32" s="47" t="str">
        <f>IF(ISNUMBER(MATCH(C32,分区域!$C$3:$C$24,0)),"美国西部","美国东部")</f>
        <v>美国东部</v>
      </c>
      <c r="E32" s="48">
        <f>(参考数据!K52-参考数据!K$2)/参考数据!K$2</f>
        <v>2.0246299853123942E-2</v>
      </c>
      <c r="F32" s="49">
        <v>93.1</v>
      </c>
      <c r="G32" s="44"/>
      <c r="H32" s="44"/>
    </row>
    <row r="33" spans="2:8" ht="15.95" customHeight="1" x14ac:dyDescent="0.15">
      <c r="B33" s="47" t="s">
        <v>51</v>
      </c>
      <c r="C33" s="47" t="s">
        <v>330</v>
      </c>
      <c r="D33" s="47" t="str">
        <f>IF(ISNUMBER(MATCH(C33,分区域!$C$3:$C$24,0)),"美国西部","美国东部")</f>
        <v>美国东部</v>
      </c>
      <c r="E33" s="48">
        <f>(参考数据!K53-参考数据!K$2)/参考数据!K$2</f>
        <v>0.20917410462094679</v>
      </c>
      <c r="F33" s="49">
        <v>96.2</v>
      </c>
      <c r="G33" s="44"/>
      <c r="H33" s="44"/>
    </row>
    <row r="34" spans="2:8" ht="15.95" customHeight="1" x14ac:dyDescent="0.15">
      <c r="B34" s="47" t="s">
        <v>3</v>
      </c>
      <c r="C34" s="47" t="s">
        <v>132</v>
      </c>
      <c r="D34" s="47" t="str">
        <f>IF(ISNUMBER(MATCH(C34,分区域!$C$3:$C$24,0)),"美国西部","美国东部")</f>
        <v>美国西部</v>
      </c>
      <c r="E34" s="48">
        <f>(参考数据!K5-参考数据!K$2)/参考数据!K$2</f>
        <v>-0.14825443452717207</v>
      </c>
      <c r="F34" s="49">
        <v>96.2</v>
      </c>
      <c r="G34" s="44"/>
      <c r="H34" s="44"/>
    </row>
    <row r="35" spans="2:8" ht="15.95" customHeight="1" x14ac:dyDescent="0.15">
      <c r="B35" s="47" t="s">
        <v>4</v>
      </c>
      <c r="C35" s="47" t="s">
        <v>136</v>
      </c>
      <c r="D35" s="47" t="str">
        <f>IF(ISNUMBER(MATCH(C35,分区域!$C$3:$C$24,0)),"美国西部","美国东部")</f>
        <v>美国西部</v>
      </c>
      <c r="E35" s="48">
        <f>(参考数据!K6-参考数据!K$2)/参考数据!K$2</f>
        <v>-7.675968817082815E-2</v>
      </c>
      <c r="F35" s="49">
        <v>87.4</v>
      </c>
      <c r="G35" s="44"/>
      <c r="H35" s="44"/>
    </row>
    <row r="36" spans="2:8" ht="15.95" customHeight="1" x14ac:dyDescent="0.15">
      <c r="B36" s="47" t="s">
        <v>5</v>
      </c>
      <c r="C36" s="47" t="s">
        <v>140</v>
      </c>
      <c r="D36" s="47" t="str">
        <f>IF(ISNUMBER(MATCH(C36,分区域!$C$3:$C$24,0)),"美国西部","美国东部")</f>
        <v>美国西部</v>
      </c>
      <c r="E36" s="48">
        <f>(参考数据!K7-参考数据!K$2)/参考数据!K$2</f>
        <v>-1.8528979776296463E-3</v>
      </c>
      <c r="F36" s="49">
        <v>113.4</v>
      </c>
      <c r="G36" s="44"/>
      <c r="H36" s="44"/>
    </row>
    <row r="37" spans="2:8" ht="15.95" customHeight="1" x14ac:dyDescent="0.15">
      <c r="B37" s="47" t="s">
        <v>6</v>
      </c>
      <c r="C37" s="47" t="s">
        <v>144</v>
      </c>
      <c r="D37" s="47" t="str">
        <f>IF(ISNUMBER(MATCH(C37,分区域!$C$3:$C$24,0)),"美国西部","美国东部")</f>
        <v>美国西部</v>
      </c>
      <c r="E37" s="48">
        <f>(参考数据!K8-参考数据!K$2)/参考数据!K$2</f>
        <v>3.9792113885436672E-2</v>
      </c>
      <c r="F37" s="49">
        <v>103.2</v>
      </c>
      <c r="G37" s="44"/>
      <c r="H37" s="44"/>
    </row>
    <row r="38" spans="2:8" ht="15.95" customHeight="1" x14ac:dyDescent="0.15">
      <c r="B38" s="47" t="s">
        <v>13</v>
      </c>
      <c r="C38" s="47" t="s">
        <v>168</v>
      </c>
      <c r="D38" s="47" t="str">
        <f>IF(ISNUMBER(MATCH(C38,分区域!$C$3:$C$24,0)),"美国西部","美国东部")</f>
        <v>美国西部</v>
      </c>
      <c r="E38" s="48">
        <f>(参考数据!K15-参考数据!K$2)/参考数据!K$2</f>
        <v>-0.13966783414303469</v>
      </c>
      <c r="F38" s="49">
        <v>93.4</v>
      </c>
      <c r="G38" s="44"/>
      <c r="H38" s="44"/>
    </row>
    <row r="39" spans="2:8" ht="15.95" customHeight="1" x14ac:dyDescent="0.15">
      <c r="B39" s="47" t="s">
        <v>16</v>
      </c>
      <c r="C39" s="47" t="s">
        <v>180</v>
      </c>
      <c r="D39" s="47" t="str">
        <f>IF(ISNUMBER(MATCH(C39,分区域!$C$3:$C$24,0)),"美国西部","美国东部")</f>
        <v>美国西部</v>
      </c>
      <c r="E39" s="48">
        <f>(参考数据!K18-参考数据!K$2)/参考数据!K$2</f>
        <v>4.7542650547960683E-2</v>
      </c>
      <c r="F39" s="49">
        <v>90.3</v>
      </c>
      <c r="G39" s="44"/>
      <c r="H39" s="44"/>
    </row>
    <row r="40" spans="2:8" ht="15.95" customHeight="1" x14ac:dyDescent="0.15">
      <c r="B40" s="47" t="s">
        <v>17</v>
      </c>
      <c r="C40" s="47" t="s">
        <v>184</v>
      </c>
      <c r="D40" s="47" t="str">
        <f>IF(ISNUMBER(MATCH(C40,分区域!$C$3:$C$24,0)),"美国西部","美国东部")</f>
        <v>美国西部</v>
      </c>
      <c r="E40" s="48">
        <f>(参考数据!K19-参考数据!K$2)/参考数据!K$2</f>
        <v>7.4387074906790196E-2</v>
      </c>
      <c r="F40" s="49">
        <v>90.4</v>
      </c>
      <c r="G40" s="44"/>
      <c r="H40" s="44"/>
    </row>
    <row r="41" spans="2:8" ht="15.95" customHeight="1" x14ac:dyDescent="0.15">
      <c r="B41" s="47" t="s">
        <v>19</v>
      </c>
      <c r="C41" s="47" t="s">
        <v>192</v>
      </c>
      <c r="D41" s="47" t="str">
        <f>IF(ISNUMBER(MATCH(C41,分区域!$C$3:$C$24,0)),"美国西部","美国东部")</f>
        <v>美国西部</v>
      </c>
      <c r="E41" s="48">
        <f>(参考数据!K21-参考数据!K$2)/参考数据!K$2</f>
        <v>-2.2099197830753588E-2</v>
      </c>
      <c r="F41" s="49">
        <v>90.6</v>
      </c>
      <c r="G41" s="44"/>
      <c r="H41" s="44"/>
    </row>
    <row r="42" spans="2:8" ht="15.95" customHeight="1" x14ac:dyDescent="0.15">
      <c r="B42" s="47" t="s">
        <v>24</v>
      </c>
      <c r="C42" s="47" t="s">
        <v>212</v>
      </c>
      <c r="D42" s="47" t="str">
        <f>IF(ISNUMBER(MATCH(C42,分区域!$C$3:$C$24,0)),"美国西部","美国东部")</f>
        <v>美国西部</v>
      </c>
      <c r="E42" s="48">
        <f>(参考数据!K26-参考数据!K$2)/参考数据!K$2</f>
        <v>8.5798214890972765E-2</v>
      </c>
      <c r="F42" s="49">
        <v>97.4</v>
      </c>
      <c r="G42" s="44"/>
      <c r="H42" s="44"/>
    </row>
    <row r="43" spans="2:8" ht="15.95" customHeight="1" x14ac:dyDescent="0.15">
      <c r="B43" s="47" t="s">
        <v>26</v>
      </c>
      <c r="C43" s="47" t="s">
        <v>220</v>
      </c>
      <c r="D43" s="47" t="str">
        <f>IF(ISNUMBER(MATCH(C43,分区域!$C$3:$C$24,0)),"美国西部","美国东部")</f>
        <v>美国西部</v>
      </c>
      <c r="E43" s="48">
        <f>(参考数据!K28-参考数据!K$2)/参考数据!K$2</f>
        <v>-1.8325612925093208E-2</v>
      </c>
      <c r="F43" s="49">
        <v>89.3</v>
      </c>
      <c r="G43" s="44"/>
      <c r="H43" s="44"/>
    </row>
    <row r="44" spans="2:8" ht="15.95" customHeight="1" x14ac:dyDescent="0.15">
      <c r="B44" s="47" t="s">
        <v>27</v>
      </c>
      <c r="C44" s="47" t="s">
        <v>224</v>
      </c>
      <c r="D44" s="47" t="str">
        <f>IF(ISNUMBER(MATCH(C44,分区域!$C$3:$C$24,0)),"美国西部","美国东部")</f>
        <v>美国西部</v>
      </c>
      <c r="E44" s="48">
        <f>(参考数据!K29-参考数据!K$2)/参考数据!K$2</f>
        <v>-7.3889955937182242E-2</v>
      </c>
      <c r="F44" s="49">
        <v>94.8</v>
      </c>
      <c r="G44" s="44"/>
      <c r="H44" s="44"/>
    </row>
    <row r="45" spans="2:8" ht="15.95" customHeight="1" x14ac:dyDescent="0.15">
      <c r="B45" s="47" t="s">
        <v>28</v>
      </c>
      <c r="C45" s="47" t="s">
        <v>228</v>
      </c>
      <c r="D45" s="47" t="str">
        <f>IF(ISNUMBER(MATCH(C45,分区域!$C$3:$C$24,0)),"美国西部","美国东部")</f>
        <v>美国西部</v>
      </c>
      <c r="E45" s="48">
        <f>(参考数据!K30-参考数据!K$2)/参考数据!K$2</f>
        <v>0.13103604112529657</v>
      </c>
      <c r="F45" s="49">
        <v>90.6</v>
      </c>
      <c r="G45" s="44"/>
      <c r="H45" s="44"/>
    </row>
    <row r="46" spans="2:8" ht="15.95" customHeight="1" x14ac:dyDescent="0.15">
      <c r="B46" s="47" t="s">
        <v>29</v>
      </c>
      <c r="C46" s="47" t="s">
        <v>232</v>
      </c>
      <c r="D46" s="47" t="str">
        <f>IF(ISNUMBER(MATCH(C46,分区域!$C$3:$C$24,0)),"美国西部","美国东部")</f>
        <v>美国西部</v>
      </c>
      <c r="E46" s="48">
        <f>(参考数据!K31-参考数据!K$2)/参考数据!K$2</f>
        <v>-9.0679019319850868E-2</v>
      </c>
      <c r="F46" s="49">
        <v>98</v>
      </c>
      <c r="G46" s="44"/>
      <c r="H46" s="44"/>
    </row>
    <row r="47" spans="2:8" ht="15.95" customHeight="1" x14ac:dyDescent="0.15">
      <c r="B47" s="47" t="s">
        <v>32</v>
      </c>
      <c r="C47" s="47" t="s">
        <v>341</v>
      </c>
      <c r="D47" s="47" t="str">
        <f>IF(ISNUMBER(MATCH(C47,分区域!$C$3:$C$24,0)),"美国西部","美国东部")</f>
        <v>美国西部</v>
      </c>
      <c r="E47" s="48">
        <f>(参考数据!K34-参考数据!K$2)/参考数据!K$2</f>
        <v>-0.16813919331149021</v>
      </c>
      <c r="F47" s="49">
        <v>94.4</v>
      </c>
      <c r="G47" s="44"/>
      <c r="H47" s="44"/>
    </row>
    <row r="48" spans="2:8" ht="15.95" customHeight="1" x14ac:dyDescent="0.15">
      <c r="B48" s="47" t="s">
        <v>35</v>
      </c>
      <c r="C48" s="47" t="s">
        <v>344</v>
      </c>
      <c r="D48" s="47" t="str">
        <f>IF(ISNUMBER(MATCH(C48,分区域!$C$3:$C$24,0)),"美国西部","美国东部")</f>
        <v>美国西部</v>
      </c>
      <c r="E48" s="48">
        <f>(参考数据!K37-参考数据!K$2)/参考数据!K$2</f>
        <v>0.24272963506948367</v>
      </c>
      <c r="F48" s="49">
        <v>92.3</v>
      </c>
      <c r="G48" s="44"/>
      <c r="H48" s="44"/>
    </row>
    <row r="49" spans="2:8" ht="15.95" customHeight="1" x14ac:dyDescent="0.15">
      <c r="B49" s="47" t="s">
        <v>37</v>
      </c>
      <c r="C49" s="47" t="s">
        <v>270</v>
      </c>
      <c r="D49" s="47" t="str">
        <f>IF(ISNUMBER(MATCH(C49,分区域!$C$3:$C$24,0)),"美国西部","美国东部")</f>
        <v>美国西部</v>
      </c>
      <c r="E49" s="48">
        <f>(参考数据!K39-参考数据!K$2)/参考数据!K$2</f>
        <v>1.1343351033781493E-2</v>
      </c>
      <c r="F49" s="49">
        <v>89.9</v>
      </c>
      <c r="G49" s="44"/>
      <c r="H49" s="44"/>
    </row>
    <row r="50" spans="2:8" ht="15.95" customHeight="1" x14ac:dyDescent="0.15">
      <c r="B50" s="47" t="s">
        <v>38</v>
      </c>
      <c r="C50" s="47" t="s">
        <v>274</v>
      </c>
      <c r="D50" s="47" t="str">
        <f>IF(ISNUMBER(MATCH(C50,分区域!$C$3:$C$24,0)),"美国西部","美国东部")</f>
        <v>美国西部</v>
      </c>
      <c r="E50" s="48">
        <f>(参考数据!K40-参考数据!K$2)/参考数据!K$2</f>
        <v>-7.6239972884419846E-2</v>
      </c>
      <c r="F50" s="49">
        <v>99.2</v>
      </c>
      <c r="G50" s="44"/>
      <c r="H50" s="44"/>
    </row>
    <row r="51" spans="2:8" ht="15.95" customHeight="1" x14ac:dyDescent="0.15">
      <c r="B51" s="47" t="s">
        <v>42</v>
      </c>
      <c r="C51" s="47" t="s">
        <v>347</v>
      </c>
      <c r="D51" s="47" t="str">
        <f>IF(ISNUMBER(MATCH(C51,分区域!$C$3:$C$24,0)),"美国西部","美国东部")</f>
        <v>美国西部</v>
      </c>
      <c r="E51" s="48">
        <f>(参考数据!K44-参考数据!K$2)/参考数据!K$2</f>
        <v>0.11768161789628291</v>
      </c>
      <c r="F51" s="49">
        <v>88.2</v>
      </c>
      <c r="G51" s="44"/>
      <c r="H51" s="44"/>
    </row>
    <row r="52" spans="2:8" ht="15.95" customHeight="1" x14ac:dyDescent="0.15">
      <c r="B52" s="47" t="s">
        <v>44</v>
      </c>
      <c r="C52" s="47" t="s">
        <v>301</v>
      </c>
      <c r="D52" s="47" t="str">
        <f>IF(ISNUMBER(MATCH(C52,分区域!$C$3:$C$24,0)),"美国西部","美国东部")</f>
        <v>美国西部</v>
      </c>
      <c r="E52" s="48">
        <f>(参考数据!K46-参考数据!K$2)/参考数据!K$2</f>
        <v>3.1634843520506159E-4</v>
      </c>
      <c r="F52" s="49">
        <v>96.8</v>
      </c>
      <c r="G52" s="44"/>
      <c r="H52" s="44"/>
    </row>
    <row r="53" spans="2:8" ht="15.95" customHeight="1" x14ac:dyDescent="0.15">
      <c r="B53" s="47" t="s">
        <v>45</v>
      </c>
      <c r="C53" s="47" t="s">
        <v>305</v>
      </c>
      <c r="D53" s="47" t="str">
        <f>IF(ISNUMBER(MATCH(C53,分区域!$C$3:$C$24,0)),"美国西部","美国东部")</f>
        <v>美国西部</v>
      </c>
      <c r="E53" s="48">
        <f>(参考数据!K47-参考数据!K$2)/参考数据!K$2</f>
        <v>-0.15410688057846572</v>
      </c>
      <c r="F53" s="49">
        <v>97</v>
      </c>
      <c r="G53" s="44"/>
      <c r="H53" s="44"/>
    </row>
    <row r="54" spans="2:8" ht="15.95" customHeight="1" thickBot="1" x14ac:dyDescent="0.2">
      <c r="B54" s="57" t="s">
        <v>48</v>
      </c>
      <c r="C54" s="57" t="s">
        <v>317</v>
      </c>
      <c r="D54" s="57" t="str">
        <f>IF(ISNUMBER(MATCH(C54,分区域!$C$3:$C$24,0)),"美国西部","美国东部")</f>
        <v>美国西部</v>
      </c>
      <c r="E54" s="58">
        <f>(参考数据!K50-参考数据!K$2)/参考数据!K$2</f>
        <v>4.6887357360750198E-2</v>
      </c>
      <c r="F54" s="59">
        <v>104.8</v>
      </c>
      <c r="G54" s="44"/>
      <c r="H54" s="44"/>
    </row>
  </sheetData>
  <sortState ref="B4:F54">
    <sortCondition ref="D4:D54"/>
  </sortState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67"/>
  <sheetViews>
    <sheetView showGridLines="0" zoomScale="89" zoomScaleNormal="89" workbookViewId="0"/>
  </sheetViews>
  <sheetFormatPr defaultRowHeight="15.95" customHeight="1" x14ac:dyDescent="0.15"/>
  <cols>
    <col min="1" max="1" width="2.625" style="1" customWidth="1"/>
    <col min="2" max="2" width="15.5" style="38" bestFit="1" customWidth="1"/>
    <col min="3" max="3" width="6.625" style="38" customWidth="1"/>
    <col min="4" max="4" width="7.5" style="38" bestFit="1" customWidth="1"/>
    <col min="5" max="6" width="10.5" style="39" bestFit="1" customWidth="1"/>
    <col min="7" max="7" width="2.625" style="44" customWidth="1"/>
    <col min="8" max="8" width="10.5" style="39" customWidth="1"/>
    <col min="9" max="9" width="9" style="38"/>
    <col min="10" max="10" width="4.625" style="39" customWidth="1"/>
    <col min="11" max="13" width="6.625" style="39" customWidth="1"/>
    <col min="14" max="14" width="2.625" style="39" customWidth="1"/>
    <col min="15" max="17" width="6.625" style="39" customWidth="1"/>
    <col min="18" max="18" width="2.625" style="1" customWidth="1"/>
    <col min="19" max="29" width="9" style="1"/>
    <col min="30" max="30" width="4.625" style="1" customWidth="1"/>
    <col min="31" max="16384" width="9" style="1"/>
  </cols>
  <sheetData>
    <row r="2" spans="2:31" s="16" customFormat="1" ht="15.95" customHeight="1" x14ac:dyDescent="0.15">
      <c r="B2" s="60" t="s">
        <v>118</v>
      </c>
      <c r="C2" s="62"/>
      <c r="D2" s="62"/>
      <c r="E2" s="63"/>
      <c r="F2" s="63"/>
      <c r="G2" s="64"/>
      <c r="H2" s="63"/>
      <c r="I2" s="62"/>
      <c r="J2" s="63"/>
      <c r="K2" s="62" t="s">
        <v>415</v>
      </c>
      <c r="L2" s="63"/>
      <c r="M2" s="63"/>
      <c r="N2" s="63"/>
      <c r="O2" s="62" t="s">
        <v>417</v>
      </c>
      <c r="P2" s="63"/>
      <c r="Q2" s="63"/>
    </row>
    <row r="3" spans="2:31" ht="27.95" customHeight="1" thickBot="1" x14ac:dyDescent="0.2">
      <c r="B3" s="65" t="s">
        <v>0</v>
      </c>
      <c r="C3" s="65" t="s">
        <v>336</v>
      </c>
      <c r="D3" s="65" t="s">
        <v>410</v>
      </c>
      <c r="E3" s="66" t="s">
        <v>349</v>
      </c>
      <c r="F3" s="67" t="s">
        <v>117</v>
      </c>
      <c r="G3" s="68"/>
      <c r="H3" s="65" t="s">
        <v>416</v>
      </c>
      <c r="I3" s="65"/>
      <c r="J3" s="67"/>
      <c r="K3" s="67" t="s">
        <v>411</v>
      </c>
      <c r="L3" s="67" t="s">
        <v>412</v>
      </c>
      <c r="M3" s="67" t="s">
        <v>413</v>
      </c>
      <c r="N3" s="67"/>
      <c r="O3" s="67" t="s">
        <v>418</v>
      </c>
      <c r="P3" s="67" t="s">
        <v>120</v>
      </c>
      <c r="Q3" s="67" t="s">
        <v>419</v>
      </c>
    </row>
    <row r="4" spans="2:31" ht="15.95" customHeight="1" x14ac:dyDescent="0.15">
      <c r="B4" s="41" t="s">
        <v>1</v>
      </c>
      <c r="C4" s="41" t="s">
        <v>124</v>
      </c>
      <c r="D4" s="41" t="str">
        <f>IF(ISNUMBER(MATCH(C4,分区域!$C$3:$C$24,0)),"美国西部","美国东部")</f>
        <v>美国东部</v>
      </c>
      <c r="E4" s="42">
        <f>(参考数据!K3-参考数据!K$2)/参考数据!K$2</f>
        <v>-9.0114111399841823E-2</v>
      </c>
      <c r="F4" s="43">
        <v>86.8</v>
      </c>
      <c r="H4" s="45" t="s">
        <v>119</v>
      </c>
      <c r="I4" s="46" t="s">
        <v>120</v>
      </c>
      <c r="J4" s="44"/>
      <c r="K4" s="43">
        <v>20</v>
      </c>
      <c r="L4" s="43"/>
      <c r="M4" s="43">
        <v>20</v>
      </c>
      <c r="N4" s="44"/>
      <c r="O4" s="69">
        <v>-0.2</v>
      </c>
      <c r="P4" s="43">
        <v>100</v>
      </c>
      <c r="Q4" s="43">
        <v>20</v>
      </c>
    </row>
    <row r="5" spans="2:31" ht="15.95" customHeight="1" x14ac:dyDescent="0.15">
      <c r="B5" s="47" t="s">
        <v>2</v>
      </c>
      <c r="C5" s="47" t="s">
        <v>128</v>
      </c>
      <c r="D5" s="47" t="str">
        <f>IF(ISNUMBER(MATCH(C5,分区域!$C$3:$C$24,0)),"美国西部","美国东部")</f>
        <v>美国东部</v>
      </c>
      <c r="E5" s="48">
        <f>(参考数据!K4-参考数据!K$2)/参考数据!K$2</f>
        <v>0.10660942266410575</v>
      </c>
      <c r="F5" s="49">
        <v>105.6</v>
      </c>
      <c r="H5" s="50">
        <v>0.28999999999999998</v>
      </c>
      <c r="I5" s="51">
        <v>100</v>
      </c>
      <c r="J5" s="44"/>
      <c r="K5" s="49">
        <v>20</v>
      </c>
      <c r="L5" s="49"/>
      <c r="M5" s="49">
        <v>20</v>
      </c>
      <c r="N5" s="44"/>
      <c r="O5" s="70">
        <v>-0.19</v>
      </c>
      <c r="P5" s="49">
        <v>100</v>
      </c>
      <c r="Q5" s="49">
        <v>20</v>
      </c>
      <c r="AE5" s="61" t="s">
        <v>432</v>
      </c>
    </row>
    <row r="6" spans="2:31" ht="15.95" customHeight="1" thickBot="1" x14ac:dyDescent="0.2">
      <c r="B6" s="47" t="s">
        <v>7</v>
      </c>
      <c r="C6" s="47" t="s">
        <v>148</v>
      </c>
      <c r="D6" s="47" t="str">
        <f>IF(ISNUMBER(MATCH(C6,分区域!$C$3:$C$24,0)),"美国西部","美国东部")</f>
        <v>美国东部</v>
      </c>
      <c r="E6" s="48">
        <f>(参考数据!K9-参考数据!K$2)/参考数据!K$2</f>
        <v>0.29974014235679586</v>
      </c>
      <c r="F6" s="49">
        <v>108.7</v>
      </c>
      <c r="H6" s="52">
        <v>0</v>
      </c>
      <c r="I6" s="53">
        <v>120</v>
      </c>
      <c r="J6" s="44"/>
      <c r="K6" s="49">
        <v>20</v>
      </c>
      <c r="L6" s="49"/>
      <c r="M6" s="49">
        <v>20</v>
      </c>
      <c r="N6" s="44"/>
      <c r="O6" s="70">
        <v>-0.18</v>
      </c>
      <c r="P6" s="49">
        <v>100</v>
      </c>
      <c r="Q6" s="49">
        <v>20</v>
      </c>
    </row>
    <row r="7" spans="2:31" ht="15.95" customHeight="1" x14ac:dyDescent="0.15">
      <c r="B7" s="47" t="s">
        <v>8</v>
      </c>
      <c r="C7" s="47" t="s">
        <v>152</v>
      </c>
      <c r="D7" s="47" t="str">
        <f>IF(ISNUMBER(MATCH(C7,分区域!$C$3:$C$24,0)),"美国西部","美国东部")</f>
        <v>美国东部</v>
      </c>
      <c r="E7" s="48">
        <f>(参考数据!K10-参考数据!K$2)/参考数据!K$2</f>
        <v>-3.0233871878883743E-2</v>
      </c>
      <c r="F7" s="49">
        <v>100.4</v>
      </c>
      <c r="H7" s="44"/>
      <c r="J7" s="44"/>
      <c r="K7" s="49">
        <v>20</v>
      </c>
      <c r="L7" s="49"/>
      <c r="M7" s="49">
        <v>20</v>
      </c>
      <c r="N7" s="44"/>
      <c r="O7" s="70">
        <v>-0.17</v>
      </c>
      <c r="P7" s="49">
        <v>100</v>
      </c>
      <c r="Q7" s="49">
        <v>20</v>
      </c>
    </row>
    <row r="8" spans="2:31" ht="15.95" customHeight="1" thickBot="1" x14ac:dyDescent="0.2">
      <c r="B8" s="47" t="s">
        <v>9</v>
      </c>
      <c r="C8" s="47" t="s">
        <v>338</v>
      </c>
      <c r="D8" s="47" t="str">
        <f>IF(ISNUMBER(MATCH(C8,分区域!$C$3:$C$24,0)),"美国西部","美国东部")</f>
        <v>美国东部</v>
      </c>
      <c r="E8" s="48">
        <f>(参考数据!K11-参考数据!K$2)/参考数据!K$2</f>
        <v>0.30929838436334878</v>
      </c>
      <c r="F8" s="49">
        <v>117</v>
      </c>
      <c r="H8" s="38" t="s">
        <v>430</v>
      </c>
      <c r="J8" s="44"/>
      <c r="K8" s="49">
        <v>20</v>
      </c>
      <c r="L8" s="49"/>
      <c r="M8" s="49">
        <v>20</v>
      </c>
      <c r="N8" s="44"/>
      <c r="O8" s="70">
        <v>-0.16</v>
      </c>
      <c r="P8" s="49">
        <v>100</v>
      </c>
      <c r="Q8" s="49">
        <v>20</v>
      </c>
    </row>
    <row r="9" spans="2:31" ht="15.95" customHeight="1" x14ac:dyDescent="0.15">
      <c r="B9" s="47" t="s">
        <v>10</v>
      </c>
      <c r="C9" s="47" t="s">
        <v>156</v>
      </c>
      <c r="D9" s="47" t="str">
        <f>IF(ISNUMBER(MATCH(C9,分区域!$C$3:$C$24,0)),"美国西部","美国东部")</f>
        <v>美国东部</v>
      </c>
      <c r="E9" s="48">
        <f>(参考数据!K12-参考数据!K$2)/参考数据!K$2</f>
        <v>-5.590328776409445E-2</v>
      </c>
      <c r="F9" s="49">
        <v>99.5</v>
      </c>
      <c r="H9" s="45" t="s">
        <v>119</v>
      </c>
      <c r="I9" s="46" t="s">
        <v>120</v>
      </c>
      <c r="J9" s="44"/>
      <c r="K9" s="49">
        <v>20</v>
      </c>
      <c r="L9" s="49"/>
      <c r="M9" s="49">
        <v>20</v>
      </c>
      <c r="N9" s="44"/>
      <c r="O9" s="70">
        <v>-0.15</v>
      </c>
      <c r="P9" s="49">
        <v>100</v>
      </c>
      <c r="Q9" s="49">
        <v>20</v>
      </c>
    </row>
    <row r="10" spans="2:31" ht="15.95" customHeight="1" x14ac:dyDescent="0.15">
      <c r="B10" s="47" t="s">
        <v>11</v>
      </c>
      <c r="C10" s="47" t="s">
        <v>160</v>
      </c>
      <c r="D10" s="47" t="str">
        <f>IF(ISNUMBER(MATCH(C10,分区域!$C$3:$C$24,0)),"美国西部","美国东部")</f>
        <v>美国东部</v>
      </c>
      <c r="E10" s="48">
        <f>(参考数据!K13-参考数据!K$2)/参考数据!K$2</f>
        <v>-8.3945316913343129E-2</v>
      </c>
      <c r="F10" s="49">
        <v>92.6</v>
      </c>
      <c r="H10" s="50">
        <v>0.26500000000000001</v>
      </c>
      <c r="I10" s="54">
        <v>116.5</v>
      </c>
      <c r="J10" s="44"/>
      <c r="K10" s="49">
        <v>20</v>
      </c>
      <c r="L10" s="49"/>
      <c r="M10" s="49">
        <v>20</v>
      </c>
      <c r="N10" s="44"/>
      <c r="O10" s="70">
        <v>-0.14000000000000001</v>
      </c>
      <c r="P10" s="49">
        <v>100</v>
      </c>
      <c r="Q10" s="49">
        <v>20</v>
      </c>
    </row>
    <row r="11" spans="2:31" ht="15.95" customHeight="1" x14ac:dyDescent="0.15">
      <c r="B11" s="47" t="s">
        <v>12</v>
      </c>
      <c r="C11" s="47" t="s">
        <v>164</v>
      </c>
      <c r="D11" s="47" t="str">
        <f>IF(ISNUMBER(MATCH(C11,分区域!$C$3:$C$24,0)),"美国西部","美国东部")</f>
        <v>美国东部</v>
      </c>
      <c r="E11" s="48">
        <f>(参考数据!K14-参考数据!K$2)/参考数据!K$2</f>
        <v>-0.14961021353519377</v>
      </c>
      <c r="F11" s="49">
        <v>118.8</v>
      </c>
      <c r="H11" s="50">
        <v>-0.155</v>
      </c>
      <c r="I11" s="54">
        <v>116.5</v>
      </c>
      <c r="J11" s="44"/>
      <c r="K11" s="49">
        <v>20</v>
      </c>
      <c r="L11" s="49"/>
      <c r="M11" s="49">
        <v>20</v>
      </c>
      <c r="N11" s="44"/>
      <c r="O11" s="70">
        <v>-0.13</v>
      </c>
      <c r="P11" s="49">
        <v>100</v>
      </c>
      <c r="Q11" s="49">
        <v>20</v>
      </c>
    </row>
    <row r="12" spans="2:31" ht="15.95" customHeight="1" x14ac:dyDescent="0.15">
      <c r="B12" s="47" t="s">
        <v>14</v>
      </c>
      <c r="C12" s="47" t="s">
        <v>172</v>
      </c>
      <c r="D12" s="47" t="str">
        <f>IF(ISNUMBER(MATCH(C12,分区域!$C$3:$C$24,0)),"美国西部","美国东部")</f>
        <v>美国东部</v>
      </c>
      <c r="E12" s="48">
        <f>(参考数据!K16-参考数据!K$2)/参考数据!K$2</f>
        <v>5.4276352954468421E-2</v>
      </c>
      <c r="F12" s="49">
        <v>99.7</v>
      </c>
      <c r="H12" s="50">
        <v>-0.155</v>
      </c>
      <c r="I12" s="54">
        <v>83</v>
      </c>
      <c r="J12" s="44"/>
      <c r="K12" s="49">
        <v>20</v>
      </c>
      <c r="L12" s="49"/>
      <c r="M12" s="49">
        <v>20</v>
      </c>
      <c r="N12" s="44"/>
      <c r="O12" s="70">
        <v>-0.12</v>
      </c>
      <c r="P12" s="49">
        <v>100</v>
      </c>
      <c r="Q12" s="49">
        <v>20</v>
      </c>
    </row>
    <row r="13" spans="2:31" ht="15.95" customHeight="1" thickBot="1" x14ac:dyDescent="0.2">
      <c r="B13" s="47" t="s">
        <v>15</v>
      </c>
      <c r="C13" s="47" t="s">
        <v>176</v>
      </c>
      <c r="D13" s="47" t="str">
        <f>IF(ISNUMBER(MATCH(C13,分区域!$C$3:$C$24,0)),"美国西部","美国东部")</f>
        <v>美国东部</v>
      </c>
      <c r="E13" s="48">
        <f>(参考数据!K17-参考数据!K$2)/参考数据!K$2</f>
        <v>-4.6503219975144054E-2</v>
      </c>
      <c r="F13" s="49">
        <v>90.7</v>
      </c>
      <c r="H13" s="55">
        <v>0.26500000000000001</v>
      </c>
      <c r="I13" s="53">
        <v>83</v>
      </c>
      <c r="J13" s="44"/>
      <c r="K13" s="49">
        <v>20</v>
      </c>
      <c r="L13" s="49"/>
      <c r="M13" s="49">
        <v>20</v>
      </c>
      <c r="N13" s="44"/>
      <c r="O13" s="70">
        <v>-0.11</v>
      </c>
      <c r="P13" s="49">
        <v>100</v>
      </c>
      <c r="Q13" s="49">
        <v>20</v>
      </c>
    </row>
    <row r="14" spans="2:31" ht="15.95" customHeight="1" x14ac:dyDescent="0.15">
      <c r="B14" s="47" t="s">
        <v>18</v>
      </c>
      <c r="C14" s="47" t="s">
        <v>188</v>
      </c>
      <c r="D14" s="47" t="str">
        <f>IF(ISNUMBER(MATCH(C14,分区域!$C$3:$C$24,0)),"美国西部","美国东部")</f>
        <v>美国东部</v>
      </c>
      <c r="E14" s="48">
        <f>(参考数据!K20-参考数据!K$2)/参考数据!K$2</f>
        <v>-0.10195458140323127</v>
      </c>
      <c r="F14" s="49">
        <v>88.6</v>
      </c>
      <c r="H14" s="44"/>
      <c r="J14" s="44"/>
      <c r="K14" s="49">
        <v>20</v>
      </c>
      <c r="L14" s="49"/>
      <c r="M14" s="49">
        <v>20</v>
      </c>
      <c r="N14" s="44"/>
      <c r="O14" s="70">
        <v>-9.9999999999999895E-2</v>
      </c>
      <c r="P14" s="49">
        <v>100</v>
      </c>
      <c r="Q14" s="49">
        <v>20</v>
      </c>
    </row>
    <row r="15" spans="2:31" ht="15.95" customHeight="1" x14ac:dyDescent="0.15">
      <c r="B15" s="47" t="s">
        <v>20</v>
      </c>
      <c r="C15" s="47" t="s">
        <v>196</v>
      </c>
      <c r="D15" s="47" t="str">
        <f>IF(ISNUMBER(MATCH(C15,分区域!$C$3:$C$24,0)),"美国西部","美国东部")</f>
        <v>美国东部</v>
      </c>
      <c r="E15" s="48">
        <f>(参考数据!K22-参考数据!K$2)/参考数据!K$2</f>
        <v>-9.6192520619139077E-2</v>
      </c>
      <c r="F15" s="49">
        <v>98</v>
      </c>
      <c r="H15" s="44"/>
      <c r="J15" s="44"/>
      <c r="K15" s="49">
        <v>20</v>
      </c>
      <c r="L15" s="49"/>
      <c r="M15" s="49">
        <v>20</v>
      </c>
      <c r="N15" s="44"/>
      <c r="O15" s="70">
        <v>-0.09</v>
      </c>
      <c r="P15" s="49">
        <v>100</v>
      </c>
      <c r="Q15" s="49">
        <v>20</v>
      </c>
    </row>
    <row r="16" spans="2:31" ht="15.95" customHeight="1" x14ac:dyDescent="0.15">
      <c r="B16" s="47" t="s">
        <v>21</v>
      </c>
      <c r="C16" s="47" t="s">
        <v>200</v>
      </c>
      <c r="D16" s="47" t="str">
        <f>IF(ISNUMBER(MATCH(C16,分区域!$C$3:$C$24,0)),"美国西部","美国东部")</f>
        <v>美国东部</v>
      </c>
      <c r="E16" s="48">
        <f>(参考数据!K23-参考数据!K$2)/参考数据!K$2</f>
        <v>6.132640379618122E-2</v>
      </c>
      <c r="F16" s="49">
        <v>109.6</v>
      </c>
      <c r="H16" s="44"/>
      <c r="J16" s="44"/>
      <c r="K16" s="49">
        <v>20</v>
      </c>
      <c r="L16" s="49"/>
      <c r="M16" s="49">
        <v>20</v>
      </c>
      <c r="N16" s="44"/>
      <c r="O16" s="70">
        <v>-0.08</v>
      </c>
      <c r="P16" s="49">
        <v>100</v>
      </c>
      <c r="Q16" s="49">
        <v>20</v>
      </c>
    </row>
    <row r="17" spans="2:17" ht="15.95" customHeight="1" x14ac:dyDescent="0.15">
      <c r="B17" s="47" t="s">
        <v>22</v>
      </c>
      <c r="C17" s="47" t="s">
        <v>204</v>
      </c>
      <c r="D17" s="47" t="str">
        <f>IF(ISNUMBER(MATCH(C17,分区域!$C$3:$C$24,0)),"美国西部","美国东部")</f>
        <v>美国东部</v>
      </c>
      <c r="E17" s="48">
        <f>(参考数据!K24-参考数据!K$2)/参考数据!K$2</f>
        <v>0.2152751101570444</v>
      </c>
      <c r="F17" s="49">
        <v>106.9</v>
      </c>
      <c r="H17" s="44"/>
      <c r="J17" s="44"/>
      <c r="K17" s="49">
        <v>20</v>
      </c>
      <c r="L17" s="49"/>
      <c r="M17" s="49">
        <v>20</v>
      </c>
      <c r="N17" s="44"/>
      <c r="O17" s="70">
        <v>-7.0000000000000007E-2</v>
      </c>
      <c r="P17" s="49">
        <v>100</v>
      </c>
      <c r="Q17" s="49">
        <v>20</v>
      </c>
    </row>
    <row r="18" spans="2:17" ht="15.95" customHeight="1" x14ac:dyDescent="0.15">
      <c r="B18" s="47" t="s">
        <v>23</v>
      </c>
      <c r="C18" s="47" t="s">
        <v>208</v>
      </c>
      <c r="D18" s="47" t="str">
        <f>IF(ISNUMBER(MATCH(C18,分区域!$C$3:$C$24,0)),"美国西部","美国东部")</f>
        <v>美国东部</v>
      </c>
      <c r="E18" s="48">
        <f>(参考数据!K25-参考数据!K$2)/参考数据!K$2</f>
        <v>-4.7045531578352728E-2</v>
      </c>
      <c r="F18" s="49">
        <v>93.5</v>
      </c>
      <c r="H18" s="44"/>
      <c r="J18" s="44"/>
      <c r="K18" s="49">
        <v>20</v>
      </c>
      <c r="L18" s="49"/>
      <c r="M18" s="49">
        <v>20</v>
      </c>
      <c r="N18" s="44"/>
      <c r="O18" s="70">
        <v>-0.06</v>
      </c>
      <c r="P18" s="49">
        <v>100</v>
      </c>
      <c r="Q18" s="49">
        <v>20</v>
      </c>
    </row>
    <row r="19" spans="2:17" ht="15.95" customHeight="1" x14ac:dyDescent="0.15">
      <c r="B19" s="47" t="s">
        <v>25</v>
      </c>
      <c r="C19" s="47" t="s">
        <v>216</v>
      </c>
      <c r="D19" s="47" t="str">
        <f>IF(ISNUMBER(MATCH(C19,分区域!$C$3:$C$24,0)),"美国西部","美国东部")</f>
        <v>美国东部</v>
      </c>
      <c r="E19" s="48">
        <f>(参考数据!K27-参考数据!K$2)/参考数据!K$2</f>
        <v>-0.16644446955146311</v>
      </c>
      <c r="F19" s="49">
        <v>86.2</v>
      </c>
      <c r="H19" s="44"/>
      <c r="J19" s="44"/>
      <c r="K19" s="49">
        <v>20</v>
      </c>
      <c r="L19" s="49"/>
      <c r="M19" s="49">
        <v>20</v>
      </c>
      <c r="N19" s="44"/>
      <c r="O19" s="70">
        <v>-0.05</v>
      </c>
      <c r="P19" s="49">
        <v>100</v>
      </c>
      <c r="Q19" s="49">
        <v>20</v>
      </c>
    </row>
    <row r="20" spans="2:17" ht="15.95" customHeight="1" x14ac:dyDescent="0.15">
      <c r="B20" s="47" t="s">
        <v>30</v>
      </c>
      <c r="C20" s="47" t="s">
        <v>339</v>
      </c>
      <c r="D20" s="47" t="str">
        <f>IF(ISNUMBER(MATCH(C20,分区域!$C$3:$C$24,0)),"美国西部","美国东部")</f>
        <v>美国东部</v>
      </c>
      <c r="E20" s="48">
        <f>(参考数据!K32-参考数据!K$2)/参考数据!K$2</f>
        <v>7.4002937521184045E-2</v>
      </c>
      <c r="F20" s="49">
        <v>105</v>
      </c>
      <c r="H20" s="44"/>
      <c r="J20" s="44"/>
      <c r="K20" s="49">
        <v>20</v>
      </c>
      <c r="L20" s="49"/>
      <c r="M20" s="49">
        <v>20</v>
      </c>
      <c r="N20" s="44"/>
      <c r="O20" s="70">
        <v>-0.04</v>
      </c>
      <c r="P20" s="49">
        <v>100</v>
      </c>
      <c r="Q20" s="49">
        <v>20</v>
      </c>
    </row>
    <row r="21" spans="2:17" ht="15.95" customHeight="1" x14ac:dyDescent="0.15">
      <c r="B21" s="47" t="s">
        <v>31</v>
      </c>
      <c r="C21" s="47" t="s">
        <v>340</v>
      </c>
      <c r="D21" s="47" t="str">
        <f>IF(ISNUMBER(MATCH(C21,分区域!$C$3:$C$24,0)),"美国西部","美国东部")</f>
        <v>美国东部</v>
      </c>
      <c r="E21" s="48">
        <f>(参考数据!K33-参考数据!K$2)/参考数据!K$2</f>
        <v>9.7955033329567287E-2</v>
      </c>
      <c r="F21" s="49">
        <v>113.4</v>
      </c>
      <c r="H21" s="44"/>
      <c r="J21" s="44"/>
      <c r="K21" s="49">
        <v>20</v>
      </c>
      <c r="L21" s="49"/>
      <c r="M21" s="49">
        <v>20</v>
      </c>
      <c r="N21" s="44"/>
      <c r="O21" s="70">
        <v>-0.03</v>
      </c>
      <c r="P21" s="49">
        <v>100</v>
      </c>
      <c r="Q21" s="49">
        <v>20</v>
      </c>
    </row>
    <row r="22" spans="2:17" ht="15.95" customHeight="1" x14ac:dyDescent="0.15">
      <c r="B22" s="47" t="s">
        <v>33</v>
      </c>
      <c r="C22" s="47" t="s">
        <v>342</v>
      </c>
      <c r="D22" s="47" t="str">
        <f>IF(ISNUMBER(MATCH(C22,分区域!$C$3:$C$24,0)),"美国西部","美国东部")</f>
        <v>美国东部</v>
      </c>
      <c r="E22" s="48">
        <f>(参考数据!K35-参考数据!K$2)/参考数据!K$2</f>
        <v>4.9485933792791773E-2</v>
      </c>
      <c r="F22" s="49">
        <v>115.3</v>
      </c>
      <c r="H22" s="44"/>
      <c r="J22" s="44"/>
      <c r="K22" s="49">
        <v>20</v>
      </c>
      <c r="L22" s="49"/>
      <c r="M22" s="49">
        <v>20</v>
      </c>
      <c r="N22" s="44"/>
      <c r="O22" s="70">
        <v>-0.02</v>
      </c>
      <c r="P22" s="49">
        <v>100</v>
      </c>
      <c r="Q22" s="49">
        <v>20</v>
      </c>
    </row>
    <row r="23" spans="2:17" ht="15.95" customHeight="1" x14ac:dyDescent="0.15">
      <c r="B23" s="47" t="s">
        <v>34</v>
      </c>
      <c r="C23" s="47" t="s">
        <v>343</v>
      </c>
      <c r="D23" s="47" t="str">
        <f>IF(ISNUMBER(MATCH(C23,分区域!$C$3:$C$24,0)),"美国西部","美国东部")</f>
        <v>美国东部</v>
      </c>
      <c r="E23" s="48">
        <f>(参考数据!K36-参考数据!K$2)/参考数据!K$2</f>
        <v>-6.1529770647384477E-2</v>
      </c>
      <c r="F23" s="49">
        <v>91.2</v>
      </c>
      <c r="H23" s="44"/>
      <c r="J23" s="44"/>
      <c r="K23" s="49">
        <v>20</v>
      </c>
      <c r="L23" s="49"/>
      <c r="M23" s="49">
        <v>20</v>
      </c>
      <c r="N23" s="44"/>
      <c r="O23" s="70">
        <v>-0.01</v>
      </c>
      <c r="P23" s="49">
        <v>100</v>
      </c>
      <c r="Q23" s="49">
        <v>20</v>
      </c>
    </row>
    <row r="24" spans="2:17" ht="15.95" customHeight="1" x14ac:dyDescent="0.15">
      <c r="B24" s="47" t="s">
        <v>36</v>
      </c>
      <c r="C24" s="47" t="s">
        <v>266</v>
      </c>
      <c r="D24" s="47" t="str">
        <f>IF(ISNUMBER(MATCH(C24,分区域!$C$3:$C$24,0)),"美国西部","美国东部")</f>
        <v>美国东部</v>
      </c>
      <c r="E24" s="48">
        <f>(参考数据!K38-参考数据!K$2)/参考数据!K$2</f>
        <v>1.554626595864874E-2</v>
      </c>
      <c r="F24" s="49">
        <v>89.2</v>
      </c>
      <c r="H24" s="44"/>
      <c r="J24" s="44"/>
      <c r="K24" s="49"/>
      <c r="L24" s="49">
        <v>20</v>
      </c>
      <c r="M24" s="49">
        <v>20</v>
      </c>
      <c r="N24" s="44"/>
      <c r="O24" s="70">
        <v>-6.0000000000000001E-3</v>
      </c>
      <c r="P24" s="49">
        <v>100</v>
      </c>
      <c r="Q24" s="49">
        <v>20</v>
      </c>
    </row>
    <row r="25" spans="2:17" ht="15.95" customHeight="1" x14ac:dyDescent="0.15">
      <c r="B25" s="47" t="s">
        <v>39</v>
      </c>
      <c r="C25" s="47" t="s">
        <v>278</v>
      </c>
      <c r="D25" s="47" t="str">
        <f>IF(ISNUMBER(MATCH(C25,分区域!$C$3:$C$24,0)),"美国西部","美国东部")</f>
        <v>美国东部</v>
      </c>
      <c r="E25" s="48">
        <f>(参考数据!K41-参考数据!K$2)/参考数据!K$2</f>
        <v>5.1564794938425036E-2</v>
      </c>
      <c r="F25" s="49">
        <v>97.9</v>
      </c>
      <c r="H25" s="44"/>
      <c r="J25" s="44"/>
      <c r="K25" s="49"/>
      <c r="L25" s="49">
        <v>20</v>
      </c>
      <c r="M25" s="49">
        <v>20</v>
      </c>
      <c r="N25" s="44"/>
      <c r="O25" s="70">
        <v>6.0000000000000001E-3</v>
      </c>
      <c r="P25" s="49">
        <v>100</v>
      </c>
      <c r="Q25" s="49">
        <v>-20</v>
      </c>
    </row>
    <row r="26" spans="2:17" ht="15.95" customHeight="1" x14ac:dyDescent="0.15">
      <c r="B26" s="47" t="s">
        <v>40</v>
      </c>
      <c r="C26" s="47" t="s">
        <v>345</v>
      </c>
      <c r="D26" s="47" t="str">
        <f>IF(ISNUMBER(MATCH(C26,分区域!$C$3:$C$24,0)),"美国西部","美国东部")</f>
        <v>美国东部</v>
      </c>
      <c r="E26" s="48">
        <f>(参考数据!K42-参考数据!K$2)/参考数据!K$2</f>
        <v>4.2119534515873913E-2</v>
      </c>
      <c r="F26" s="49">
        <v>98.7</v>
      </c>
      <c r="H26" s="44"/>
      <c r="J26" s="44"/>
      <c r="K26" s="49"/>
      <c r="L26" s="49">
        <v>20</v>
      </c>
      <c r="M26" s="49">
        <v>20</v>
      </c>
      <c r="N26" s="44"/>
      <c r="O26" s="70">
        <v>0.01</v>
      </c>
      <c r="P26" s="49">
        <v>100</v>
      </c>
      <c r="Q26" s="49">
        <v>-20</v>
      </c>
    </row>
    <row r="27" spans="2:17" ht="15.95" customHeight="1" x14ac:dyDescent="0.15">
      <c r="B27" s="47" t="s">
        <v>41</v>
      </c>
      <c r="C27" s="47" t="s">
        <v>346</v>
      </c>
      <c r="D27" s="47" t="str">
        <f>IF(ISNUMBER(MATCH(C27,分区域!$C$3:$C$24,0)),"美国西部","美国东部")</f>
        <v>美国东部</v>
      </c>
      <c r="E27" s="48">
        <f>(参考数据!K43-参考数据!K$2)/参考数据!K$2</f>
        <v>-0.11178397921138854</v>
      </c>
      <c r="F27" s="49">
        <v>90.3</v>
      </c>
      <c r="H27" s="44"/>
      <c r="J27" s="44"/>
      <c r="K27" s="49"/>
      <c r="L27" s="49">
        <v>20</v>
      </c>
      <c r="M27" s="49">
        <v>20</v>
      </c>
      <c r="N27" s="44"/>
      <c r="O27" s="70">
        <v>0.02</v>
      </c>
      <c r="P27" s="49">
        <v>100</v>
      </c>
      <c r="Q27" s="49">
        <v>-20</v>
      </c>
    </row>
    <row r="28" spans="2:17" ht="15.95" customHeight="1" x14ac:dyDescent="0.15">
      <c r="B28" s="47" t="s">
        <v>43</v>
      </c>
      <c r="C28" s="47" t="s">
        <v>297</v>
      </c>
      <c r="D28" s="47" t="str">
        <f>IF(ISNUMBER(MATCH(C28,分区域!$C$3:$C$24,0)),"美国西部","美国东部")</f>
        <v>美国东部</v>
      </c>
      <c r="E28" s="48">
        <f>(参考数据!K45-参考数据!K$2)/参考数据!K$2</f>
        <v>-3.0572816630889166E-2</v>
      </c>
      <c r="F28" s="49">
        <v>89.9</v>
      </c>
      <c r="H28" s="44"/>
      <c r="J28" s="44"/>
      <c r="K28" s="49"/>
      <c r="L28" s="49">
        <v>20</v>
      </c>
      <c r="M28" s="49">
        <v>20</v>
      </c>
      <c r="N28" s="44"/>
      <c r="O28" s="70">
        <v>0.03</v>
      </c>
      <c r="P28" s="49">
        <v>100</v>
      </c>
      <c r="Q28" s="49">
        <v>-20</v>
      </c>
    </row>
    <row r="29" spans="2:17" ht="15.95" customHeight="1" x14ac:dyDescent="0.15">
      <c r="B29" s="47" t="s">
        <v>46</v>
      </c>
      <c r="C29" s="47" t="s">
        <v>309</v>
      </c>
      <c r="D29" s="47" t="str">
        <f>IF(ISNUMBER(MATCH(C29,分区域!$C$3:$C$24,0)),"美国西部","美国东部")</f>
        <v>美国东部</v>
      </c>
      <c r="E29" s="48">
        <f>(参考数据!K48-参考数据!K$2)/参考数据!K$2</f>
        <v>-5.3327307648853234E-3</v>
      </c>
      <c r="F29" s="49">
        <v>101.6</v>
      </c>
      <c r="H29" s="44"/>
      <c r="J29" s="44"/>
      <c r="K29" s="49"/>
      <c r="L29" s="49">
        <v>20</v>
      </c>
      <c r="M29" s="49">
        <v>20</v>
      </c>
      <c r="N29" s="44"/>
      <c r="O29" s="70">
        <v>0.04</v>
      </c>
      <c r="P29" s="49">
        <v>100</v>
      </c>
      <c r="Q29" s="49">
        <v>-20</v>
      </c>
    </row>
    <row r="30" spans="2:17" ht="15.95" customHeight="1" x14ac:dyDescent="0.15">
      <c r="B30" s="47" t="s">
        <v>47</v>
      </c>
      <c r="C30" s="47" t="s">
        <v>313</v>
      </c>
      <c r="D30" s="47" t="str">
        <f>IF(ISNUMBER(MATCH(C30,分区域!$C$3:$C$24,0)),"美国西部","美国东部")</f>
        <v>美国东部</v>
      </c>
      <c r="E30" s="48">
        <f>(参考数据!K49-参考数据!K$2)/参考数据!K$2</f>
        <v>5.2581629194441308E-2</v>
      </c>
      <c r="F30" s="49">
        <v>102.5</v>
      </c>
      <c r="H30" s="44"/>
      <c r="J30" s="44"/>
      <c r="K30" s="49"/>
      <c r="L30" s="49">
        <v>20</v>
      </c>
      <c r="M30" s="49">
        <v>20</v>
      </c>
      <c r="N30" s="44"/>
      <c r="O30" s="70">
        <v>0.05</v>
      </c>
      <c r="P30" s="49">
        <v>100</v>
      </c>
      <c r="Q30" s="49">
        <v>-20</v>
      </c>
    </row>
    <row r="31" spans="2:17" ht="15.95" customHeight="1" x14ac:dyDescent="0.15">
      <c r="B31" s="47" t="s">
        <v>49</v>
      </c>
      <c r="C31" s="47" t="s">
        <v>348</v>
      </c>
      <c r="D31" s="47" t="str">
        <f>IF(ISNUMBER(MATCH(C31,分区域!$C$3:$C$24,0)),"美国西部","美国东部")</f>
        <v>美国东部</v>
      </c>
      <c r="E31" s="48">
        <f>(参考数据!K51-参考数据!K$2)/参考数据!K$2</f>
        <v>-0.1498813693367981</v>
      </c>
      <c r="F31" s="49">
        <v>88.9</v>
      </c>
      <c r="H31" s="44"/>
      <c r="J31" s="44"/>
      <c r="K31" s="49"/>
      <c r="L31" s="49">
        <v>20</v>
      </c>
      <c r="M31" s="49">
        <v>20</v>
      </c>
      <c r="N31" s="44"/>
      <c r="O31" s="70">
        <v>0.06</v>
      </c>
      <c r="P31" s="49">
        <v>100</v>
      </c>
      <c r="Q31" s="49">
        <v>-20</v>
      </c>
    </row>
    <row r="32" spans="2:17" ht="15.95" customHeight="1" x14ac:dyDescent="0.15">
      <c r="B32" s="47" t="s">
        <v>50</v>
      </c>
      <c r="C32" s="47" t="s">
        <v>326</v>
      </c>
      <c r="D32" s="47" t="str">
        <f>IF(ISNUMBER(MATCH(C32,分区域!$C$3:$C$24,0)),"美国西部","美国东部")</f>
        <v>美国东部</v>
      </c>
      <c r="E32" s="48">
        <f>(参考数据!K52-参考数据!K$2)/参考数据!K$2</f>
        <v>2.0246299853123942E-2</v>
      </c>
      <c r="F32" s="49">
        <v>93.1</v>
      </c>
      <c r="H32" s="44"/>
      <c r="J32" s="44"/>
      <c r="K32" s="49"/>
      <c r="L32" s="49">
        <v>20</v>
      </c>
      <c r="M32" s="49">
        <v>20</v>
      </c>
      <c r="N32" s="44"/>
      <c r="O32" s="70">
        <v>7.0000000000000007E-2</v>
      </c>
      <c r="P32" s="49">
        <v>100</v>
      </c>
      <c r="Q32" s="49">
        <v>-20</v>
      </c>
    </row>
    <row r="33" spans="2:31" ht="15.95" customHeight="1" x14ac:dyDescent="0.15">
      <c r="B33" s="47" t="s">
        <v>51</v>
      </c>
      <c r="C33" s="47" t="s">
        <v>330</v>
      </c>
      <c r="D33" s="47" t="str">
        <f>IF(ISNUMBER(MATCH(C33,分区域!$C$3:$C$24,0)),"美国西部","美国东部")</f>
        <v>美国东部</v>
      </c>
      <c r="E33" s="48">
        <f>(参考数据!K53-参考数据!K$2)/参考数据!K$2</f>
        <v>0.20917410462094679</v>
      </c>
      <c r="F33" s="49">
        <v>96.2</v>
      </c>
      <c r="H33" s="44"/>
      <c r="J33" s="44"/>
      <c r="K33" s="49"/>
      <c r="L33" s="49">
        <v>20</v>
      </c>
      <c r="M33" s="49">
        <v>20</v>
      </c>
      <c r="N33" s="44"/>
      <c r="O33" s="70">
        <v>0.08</v>
      </c>
      <c r="P33" s="49">
        <v>100</v>
      </c>
      <c r="Q33" s="49">
        <v>-20</v>
      </c>
    </row>
    <row r="34" spans="2:31" ht="15.95" customHeight="1" x14ac:dyDescent="0.15">
      <c r="B34" s="47" t="s">
        <v>3</v>
      </c>
      <c r="C34" s="47" t="s">
        <v>132</v>
      </c>
      <c r="D34" s="47" t="str">
        <f>IF(ISNUMBER(MATCH(C34,分区域!$C$3:$C$24,0)),"美国西部","美国东部")</f>
        <v>美国西部</v>
      </c>
      <c r="E34" s="48">
        <f>(参考数据!K5-参考数据!K$2)/参考数据!K$2</f>
        <v>-0.14825443452717207</v>
      </c>
      <c r="F34" s="49">
        <v>96.2</v>
      </c>
      <c r="H34" s="44"/>
      <c r="J34" s="44"/>
      <c r="K34" s="49"/>
      <c r="L34" s="49">
        <v>20</v>
      </c>
      <c r="M34" s="49">
        <v>20</v>
      </c>
      <c r="N34" s="44"/>
      <c r="O34" s="70">
        <v>0.09</v>
      </c>
      <c r="P34" s="49">
        <v>100</v>
      </c>
      <c r="Q34" s="49">
        <v>-20</v>
      </c>
    </row>
    <row r="35" spans="2:31" ht="15.95" customHeight="1" x14ac:dyDescent="0.15">
      <c r="B35" s="47" t="s">
        <v>4</v>
      </c>
      <c r="C35" s="47" t="s">
        <v>136</v>
      </c>
      <c r="D35" s="47" t="str">
        <f>IF(ISNUMBER(MATCH(C35,分区域!$C$3:$C$24,0)),"美国西部","美国东部")</f>
        <v>美国西部</v>
      </c>
      <c r="E35" s="48">
        <f>(参考数据!K6-参考数据!K$2)/参考数据!K$2</f>
        <v>-7.675968817082815E-2</v>
      </c>
      <c r="F35" s="49">
        <v>87.4</v>
      </c>
      <c r="H35" s="44"/>
      <c r="J35" s="44"/>
      <c r="K35" s="49"/>
      <c r="L35" s="49">
        <v>20</v>
      </c>
      <c r="M35" s="49">
        <v>20</v>
      </c>
      <c r="N35" s="44"/>
      <c r="O35" s="70">
        <v>0.1</v>
      </c>
      <c r="P35" s="49">
        <v>100</v>
      </c>
      <c r="Q35" s="49">
        <v>-20</v>
      </c>
    </row>
    <row r="36" spans="2:31" ht="15.95" customHeight="1" x14ac:dyDescent="0.15">
      <c r="B36" s="47" t="s">
        <v>5</v>
      </c>
      <c r="C36" s="47" t="s">
        <v>140</v>
      </c>
      <c r="D36" s="47" t="str">
        <f>IF(ISNUMBER(MATCH(C36,分区域!$C$3:$C$24,0)),"美国西部","美国东部")</f>
        <v>美国西部</v>
      </c>
      <c r="E36" s="48">
        <f>(参考数据!K7-参考数据!K$2)/参考数据!K$2</f>
        <v>-1.8528979776296463E-3</v>
      </c>
      <c r="F36" s="49">
        <v>113.4</v>
      </c>
      <c r="H36" s="44"/>
      <c r="J36" s="44"/>
      <c r="K36" s="49"/>
      <c r="L36" s="49">
        <v>20</v>
      </c>
      <c r="M36" s="49">
        <v>20</v>
      </c>
      <c r="N36" s="44"/>
      <c r="O36" s="70">
        <v>0.11</v>
      </c>
      <c r="P36" s="49">
        <v>100</v>
      </c>
      <c r="Q36" s="49">
        <v>-20</v>
      </c>
      <c r="AE36" s="61" t="s">
        <v>414</v>
      </c>
    </row>
    <row r="37" spans="2:31" ht="15.95" customHeight="1" x14ac:dyDescent="0.15">
      <c r="B37" s="47" t="s">
        <v>6</v>
      </c>
      <c r="C37" s="47" t="s">
        <v>144</v>
      </c>
      <c r="D37" s="47" t="str">
        <f>IF(ISNUMBER(MATCH(C37,分区域!$C$3:$C$24,0)),"美国西部","美国东部")</f>
        <v>美国西部</v>
      </c>
      <c r="E37" s="48">
        <f>(参考数据!K8-参考数据!K$2)/参考数据!K$2</f>
        <v>3.9792113885436672E-2</v>
      </c>
      <c r="F37" s="49">
        <v>103.2</v>
      </c>
      <c r="H37" s="44"/>
      <c r="J37" s="44"/>
      <c r="K37" s="49"/>
      <c r="L37" s="49">
        <v>20</v>
      </c>
      <c r="M37" s="49">
        <v>20</v>
      </c>
      <c r="N37" s="44"/>
      <c r="O37" s="70">
        <v>0.12</v>
      </c>
      <c r="P37" s="49">
        <v>100</v>
      </c>
      <c r="Q37" s="49">
        <v>-20</v>
      </c>
    </row>
    <row r="38" spans="2:31" ht="15.95" customHeight="1" x14ac:dyDescent="0.15">
      <c r="B38" s="47" t="s">
        <v>13</v>
      </c>
      <c r="C38" s="47" t="s">
        <v>168</v>
      </c>
      <c r="D38" s="47" t="str">
        <f>IF(ISNUMBER(MATCH(C38,分区域!$C$3:$C$24,0)),"美国西部","美国东部")</f>
        <v>美国西部</v>
      </c>
      <c r="E38" s="48">
        <f>(参考数据!K15-参考数据!K$2)/参考数据!K$2</f>
        <v>-0.13966783414303469</v>
      </c>
      <c r="F38" s="49">
        <v>93.4</v>
      </c>
      <c r="H38" s="44"/>
      <c r="J38" s="44"/>
      <c r="K38" s="49"/>
      <c r="L38" s="49">
        <v>20</v>
      </c>
      <c r="M38" s="49">
        <v>20</v>
      </c>
      <c r="N38" s="44"/>
      <c r="O38" s="70">
        <v>0.13</v>
      </c>
      <c r="P38" s="49">
        <v>100</v>
      </c>
      <c r="Q38" s="49">
        <v>-20</v>
      </c>
    </row>
    <row r="39" spans="2:31" ht="15.95" customHeight="1" x14ac:dyDescent="0.15">
      <c r="B39" s="47" t="s">
        <v>16</v>
      </c>
      <c r="C39" s="47" t="s">
        <v>180</v>
      </c>
      <c r="D39" s="47" t="str">
        <f>IF(ISNUMBER(MATCH(C39,分区域!$C$3:$C$24,0)),"美国西部","美国东部")</f>
        <v>美国西部</v>
      </c>
      <c r="E39" s="48">
        <f>(参考数据!K18-参考数据!K$2)/参考数据!K$2</f>
        <v>4.7542650547960683E-2</v>
      </c>
      <c r="F39" s="49">
        <v>90.3</v>
      </c>
      <c r="H39" s="44"/>
      <c r="J39" s="44"/>
      <c r="K39" s="49"/>
      <c r="L39" s="49">
        <v>20</v>
      </c>
      <c r="M39" s="49">
        <v>20</v>
      </c>
      <c r="N39" s="44"/>
      <c r="O39" s="70">
        <v>0.14000000000000001</v>
      </c>
      <c r="P39" s="49">
        <v>100</v>
      </c>
      <c r="Q39" s="49">
        <v>-20</v>
      </c>
    </row>
    <row r="40" spans="2:31" ht="15.95" customHeight="1" x14ac:dyDescent="0.15">
      <c r="B40" s="47" t="s">
        <v>17</v>
      </c>
      <c r="C40" s="47" t="s">
        <v>184</v>
      </c>
      <c r="D40" s="47" t="str">
        <f>IF(ISNUMBER(MATCH(C40,分区域!$C$3:$C$24,0)),"美国西部","美国东部")</f>
        <v>美国西部</v>
      </c>
      <c r="E40" s="48">
        <f>(参考数据!K19-参考数据!K$2)/参考数据!K$2</f>
        <v>7.4387074906790196E-2</v>
      </c>
      <c r="F40" s="49">
        <v>90.4</v>
      </c>
      <c r="H40" s="44"/>
      <c r="J40" s="44"/>
      <c r="K40" s="49"/>
      <c r="L40" s="49">
        <v>20</v>
      </c>
      <c r="M40" s="49">
        <v>20</v>
      </c>
      <c r="N40" s="44"/>
      <c r="O40" s="70">
        <v>0.15</v>
      </c>
      <c r="P40" s="49">
        <v>100</v>
      </c>
      <c r="Q40" s="49">
        <v>-20</v>
      </c>
    </row>
    <row r="41" spans="2:31" ht="15.95" customHeight="1" x14ac:dyDescent="0.15">
      <c r="B41" s="47" t="s">
        <v>19</v>
      </c>
      <c r="C41" s="47" t="s">
        <v>192</v>
      </c>
      <c r="D41" s="47" t="str">
        <f>IF(ISNUMBER(MATCH(C41,分区域!$C$3:$C$24,0)),"美国西部","美国东部")</f>
        <v>美国西部</v>
      </c>
      <c r="E41" s="48">
        <f>(参考数据!K21-参考数据!K$2)/参考数据!K$2</f>
        <v>-2.2099197830753588E-2</v>
      </c>
      <c r="F41" s="49">
        <v>90.6</v>
      </c>
      <c r="H41" s="44"/>
      <c r="J41" s="44"/>
      <c r="K41" s="49"/>
      <c r="L41" s="49">
        <v>20</v>
      </c>
      <c r="M41" s="49">
        <v>20</v>
      </c>
      <c r="N41" s="44"/>
      <c r="O41" s="70">
        <v>0.16</v>
      </c>
      <c r="P41" s="49">
        <v>100</v>
      </c>
      <c r="Q41" s="49">
        <v>-20</v>
      </c>
    </row>
    <row r="42" spans="2:31" ht="15.95" customHeight="1" x14ac:dyDescent="0.15">
      <c r="B42" s="47" t="s">
        <v>24</v>
      </c>
      <c r="C42" s="47" t="s">
        <v>212</v>
      </c>
      <c r="D42" s="47" t="str">
        <f>IF(ISNUMBER(MATCH(C42,分区域!$C$3:$C$24,0)),"美国西部","美国东部")</f>
        <v>美国西部</v>
      </c>
      <c r="E42" s="48">
        <f>(参考数据!K26-参考数据!K$2)/参考数据!K$2</f>
        <v>8.5798214890972765E-2</v>
      </c>
      <c r="F42" s="49">
        <v>97.4</v>
      </c>
      <c r="H42" s="44"/>
      <c r="J42" s="44"/>
      <c r="K42" s="49"/>
      <c r="L42" s="49">
        <v>20</v>
      </c>
      <c r="M42" s="49">
        <v>20</v>
      </c>
      <c r="N42" s="44"/>
      <c r="O42" s="70">
        <v>0.17</v>
      </c>
      <c r="P42" s="49">
        <v>100</v>
      </c>
      <c r="Q42" s="49">
        <v>-20</v>
      </c>
    </row>
    <row r="43" spans="2:31" ht="15.95" customHeight="1" x14ac:dyDescent="0.15">
      <c r="B43" s="47" t="s">
        <v>26</v>
      </c>
      <c r="C43" s="47" t="s">
        <v>220</v>
      </c>
      <c r="D43" s="47" t="str">
        <f>IF(ISNUMBER(MATCH(C43,分区域!$C$3:$C$24,0)),"美国西部","美国东部")</f>
        <v>美国西部</v>
      </c>
      <c r="E43" s="48">
        <f>(参考数据!K28-参考数据!K$2)/参考数据!K$2</f>
        <v>-1.8325612925093208E-2</v>
      </c>
      <c r="F43" s="49">
        <v>89.3</v>
      </c>
      <c r="H43" s="44"/>
      <c r="J43" s="44"/>
      <c r="K43" s="49"/>
      <c r="L43" s="49">
        <v>20</v>
      </c>
      <c r="M43" s="49">
        <v>20</v>
      </c>
      <c r="N43" s="44"/>
      <c r="O43" s="70">
        <v>0.18</v>
      </c>
      <c r="P43" s="49">
        <v>100</v>
      </c>
      <c r="Q43" s="49">
        <v>-20</v>
      </c>
    </row>
    <row r="44" spans="2:31" ht="15.95" customHeight="1" x14ac:dyDescent="0.15">
      <c r="B44" s="47" t="s">
        <v>27</v>
      </c>
      <c r="C44" s="47" t="s">
        <v>224</v>
      </c>
      <c r="D44" s="47" t="str">
        <f>IF(ISNUMBER(MATCH(C44,分区域!$C$3:$C$24,0)),"美国西部","美国东部")</f>
        <v>美国西部</v>
      </c>
      <c r="E44" s="48">
        <f>(参考数据!K29-参考数据!K$2)/参考数据!K$2</f>
        <v>-7.3889955937182242E-2</v>
      </c>
      <c r="F44" s="49">
        <v>94.8</v>
      </c>
      <c r="H44" s="44"/>
      <c r="J44" s="44"/>
      <c r="K44" s="49"/>
      <c r="L44" s="49">
        <v>20</v>
      </c>
      <c r="M44" s="49">
        <v>20</v>
      </c>
      <c r="N44" s="44"/>
      <c r="O44" s="70">
        <v>0.19</v>
      </c>
      <c r="P44" s="49">
        <v>100</v>
      </c>
      <c r="Q44" s="49">
        <v>-20</v>
      </c>
    </row>
    <row r="45" spans="2:31" ht="15.95" customHeight="1" x14ac:dyDescent="0.15">
      <c r="B45" s="47" t="s">
        <v>28</v>
      </c>
      <c r="C45" s="47" t="s">
        <v>228</v>
      </c>
      <c r="D45" s="47" t="str">
        <f>IF(ISNUMBER(MATCH(C45,分区域!$C$3:$C$24,0)),"美国西部","美国东部")</f>
        <v>美国西部</v>
      </c>
      <c r="E45" s="48">
        <f>(参考数据!K30-参考数据!K$2)/参考数据!K$2</f>
        <v>0.13103604112529657</v>
      </c>
      <c r="F45" s="49">
        <v>90.6</v>
      </c>
      <c r="H45" s="44"/>
      <c r="J45" s="44"/>
      <c r="K45" s="49"/>
      <c r="L45" s="49">
        <v>20</v>
      </c>
      <c r="M45" s="49">
        <v>20</v>
      </c>
      <c r="N45" s="44"/>
      <c r="O45" s="70">
        <v>0.2</v>
      </c>
      <c r="P45" s="49">
        <v>100</v>
      </c>
      <c r="Q45" s="49">
        <v>-20</v>
      </c>
    </row>
    <row r="46" spans="2:31" ht="15.95" customHeight="1" x14ac:dyDescent="0.15">
      <c r="B46" s="47" t="s">
        <v>29</v>
      </c>
      <c r="C46" s="47" t="s">
        <v>232</v>
      </c>
      <c r="D46" s="47" t="str">
        <f>IF(ISNUMBER(MATCH(C46,分区域!$C$3:$C$24,0)),"美国西部","美国东部")</f>
        <v>美国西部</v>
      </c>
      <c r="E46" s="48">
        <f>(参考数据!K31-参考数据!K$2)/参考数据!K$2</f>
        <v>-9.0679019319850868E-2</v>
      </c>
      <c r="F46" s="49">
        <v>98</v>
      </c>
      <c r="H46" s="44"/>
      <c r="J46" s="44"/>
      <c r="K46" s="49"/>
      <c r="L46" s="49">
        <v>20</v>
      </c>
      <c r="M46" s="49">
        <v>20</v>
      </c>
      <c r="N46" s="44"/>
      <c r="O46" s="70">
        <v>0.21</v>
      </c>
      <c r="P46" s="49">
        <v>100</v>
      </c>
      <c r="Q46" s="49">
        <v>-20</v>
      </c>
    </row>
    <row r="47" spans="2:31" ht="15.95" customHeight="1" x14ac:dyDescent="0.15">
      <c r="B47" s="47" t="s">
        <v>32</v>
      </c>
      <c r="C47" s="47" t="s">
        <v>341</v>
      </c>
      <c r="D47" s="47" t="str">
        <f>IF(ISNUMBER(MATCH(C47,分区域!$C$3:$C$24,0)),"美国西部","美国东部")</f>
        <v>美国西部</v>
      </c>
      <c r="E47" s="48">
        <f>(参考数据!K34-参考数据!K$2)/参考数据!K$2</f>
        <v>-0.16813919331149021</v>
      </c>
      <c r="F47" s="49">
        <v>94.4</v>
      </c>
      <c r="H47" s="44"/>
      <c r="J47" s="44"/>
      <c r="K47" s="49"/>
      <c r="L47" s="49">
        <v>20</v>
      </c>
      <c r="M47" s="49">
        <v>20</v>
      </c>
      <c r="N47" s="44"/>
      <c r="O47" s="70">
        <v>0.22</v>
      </c>
      <c r="P47" s="49">
        <v>100</v>
      </c>
      <c r="Q47" s="49">
        <v>-20</v>
      </c>
    </row>
    <row r="48" spans="2:31" ht="15.95" customHeight="1" x14ac:dyDescent="0.15">
      <c r="B48" s="47" t="s">
        <v>35</v>
      </c>
      <c r="C48" s="47" t="s">
        <v>344</v>
      </c>
      <c r="D48" s="47" t="str">
        <f>IF(ISNUMBER(MATCH(C48,分区域!$C$3:$C$24,0)),"美国西部","美国东部")</f>
        <v>美国西部</v>
      </c>
      <c r="E48" s="48">
        <f>(参考数据!K37-参考数据!K$2)/参考数据!K$2</f>
        <v>0.24272963506948367</v>
      </c>
      <c r="F48" s="49">
        <v>92.3</v>
      </c>
      <c r="H48" s="44"/>
      <c r="J48" s="44"/>
      <c r="K48" s="49"/>
      <c r="L48" s="49">
        <v>20</v>
      </c>
      <c r="M48" s="49">
        <v>20</v>
      </c>
      <c r="N48" s="44"/>
      <c r="O48" s="70">
        <v>0.23</v>
      </c>
      <c r="P48" s="49">
        <v>100</v>
      </c>
      <c r="Q48" s="49">
        <v>-20</v>
      </c>
    </row>
    <row r="49" spans="2:17" ht="15.95" customHeight="1" x14ac:dyDescent="0.15">
      <c r="B49" s="47" t="s">
        <v>37</v>
      </c>
      <c r="C49" s="47" t="s">
        <v>270</v>
      </c>
      <c r="D49" s="47" t="str">
        <f>IF(ISNUMBER(MATCH(C49,分区域!$C$3:$C$24,0)),"美国西部","美国东部")</f>
        <v>美国西部</v>
      </c>
      <c r="E49" s="48">
        <f>(参考数据!K39-参考数据!K$2)/参考数据!K$2</f>
        <v>1.1343351033781493E-2</v>
      </c>
      <c r="F49" s="49">
        <v>89.9</v>
      </c>
      <c r="H49" s="44"/>
      <c r="J49" s="44"/>
      <c r="K49" s="49"/>
      <c r="L49" s="49">
        <v>20</v>
      </c>
      <c r="M49" s="49">
        <v>20</v>
      </c>
      <c r="N49" s="44"/>
      <c r="O49" s="70">
        <v>0.24</v>
      </c>
      <c r="P49" s="49">
        <v>100</v>
      </c>
      <c r="Q49" s="49">
        <v>-20</v>
      </c>
    </row>
    <row r="50" spans="2:17" ht="15.95" customHeight="1" x14ac:dyDescent="0.15">
      <c r="B50" s="47" t="s">
        <v>38</v>
      </c>
      <c r="C50" s="47" t="s">
        <v>274</v>
      </c>
      <c r="D50" s="47" t="str">
        <f>IF(ISNUMBER(MATCH(C50,分区域!$C$3:$C$24,0)),"美国西部","美国东部")</f>
        <v>美国西部</v>
      </c>
      <c r="E50" s="48">
        <f>(参考数据!K40-参考数据!K$2)/参考数据!K$2</f>
        <v>-7.6239972884419846E-2</v>
      </c>
      <c r="F50" s="49">
        <v>99.2</v>
      </c>
      <c r="H50" s="44"/>
      <c r="J50" s="44"/>
      <c r="K50" s="49"/>
      <c r="L50" s="49">
        <v>20</v>
      </c>
      <c r="M50" s="49">
        <v>20</v>
      </c>
      <c r="N50" s="44"/>
      <c r="O50" s="70">
        <v>0.25</v>
      </c>
      <c r="P50" s="49">
        <v>100</v>
      </c>
      <c r="Q50" s="49">
        <v>-20</v>
      </c>
    </row>
    <row r="51" spans="2:17" ht="15.95" customHeight="1" x14ac:dyDescent="0.15">
      <c r="B51" s="47" t="s">
        <v>42</v>
      </c>
      <c r="C51" s="47" t="s">
        <v>347</v>
      </c>
      <c r="D51" s="47" t="str">
        <f>IF(ISNUMBER(MATCH(C51,分区域!$C$3:$C$24,0)),"美国西部","美国东部")</f>
        <v>美国西部</v>
      </c>
      <c r="E51" s="48">
        <f>(参考数据!K44-参考数据!K$2)/参考数据!K$2</f>
        <v>0.11768161789628291</v>
      </c>
      <c r="F51" s="49">
        <v>88.2</v>
      </c>
      <c r="H51" s="44"/>
      <c r="J51" s="44"/>
      <c r="K51" s="49"/>
      <c r="L51" s="49">
        <v>20</v>
      </c>
      <c r="M51" s="49">
        <v>20</v>
      </c>
      <c r="N51" s="44"/>
      <c r="O51" s="70">
        <v>0.26</v>
      </c>
      <c r="P51" s="49">
        <v>100</v>
      </c>
      <c r="Q51" s="49">
        <v>-20</v>
      </c>
    </row>
    <row r="52" spans="2:17" ht="15.95" customHeight="1" x14ac:dyDescent="0.15">
      <c r="B52" s="47" t="s">
        <v>44</v>
      </c>
      <c r="C52" s="47" t="s">
        <v>301</v>
      </c>
      <c r="D52" s="47" t="str">
        <f>IF(ISNUMBER(MATCH(C52,分区域!$C$3:$C$24,0)),"美国西部","美国东部")</f>
        <v>美国西部</v>
      </c>
      <c r="E52" s="48">
        <f>(参考数据!K46-参考数据!K$2)/参考数据!K$2</f>
        <v>3.1634843520506159E-4</v>
      </c>
      <c r="F52" s="49">
        <v>96.8</v>
      </c>
      <c r="H52" s="44"/>
      <c r="J52" s="44"/>
      <c r="K52" s="49"/>
      <c r="L52" s="49">
        <v>20</v>
      </c>
      <c r="M52" s="49">
        <v>20</v>
      </c>
      <c r="N52" s="44"/>
      <c r="O52" s="70">
        <v>0.27</v>
      </c>
      <c r="P52" s="49">
        <v>100</v>
      </c>
      <c r="Q52" s="49">
        <v>-20</v>
      </c>
    </row>
    <row r="53" spans="2:17" ht="15.95" customHeight="1" x14ac:dyDescent="0.15">
      <c r="B53" s="47" t="s">
        <v>45</v>
      </c>
      <c r="C53" s="47" t="s">
        <v>305</v>
      </c>
      <c r="D53" s="47" t="str">
        <f>IF(ISNUMBER(MATCH(C53,分区域!$C$3:$C$24,0)),"美国西部","美国东部")</f>
        <v>美国西部</v>
      </c>
      <c r="E53" s="48">
        <f>(参考数据!K47-参考数据!K$2)/参考数据!K$2</f>
        <v>-0.15410688057846572</v>
      </c>
      <c r="F53" s="49">
        <v>97</v>
      </c>
      <c r="H53" s="44"/>
      <c r="J53" s="44"/>
      <c r="K53" s="49"/>
      <c r="L53" s="49">
        <v>20</v>
      </c>
      <c r="M53" s="49">
        <v>20</v>
      </c>
      <c r="N53" s="44"/>
      <c r="O53" s="70">
        <v>0.28000000000000003</v>
      </c>
      <c r="P53" s="49">
        <v>100</v>
      </c>
      <c r="Q53" s="49">
        <v>-20</v>
      </c>
    </row>
    <row r="54" spans="2:17" ht="15.95" customHeight="1" thickBot="1" x14ac:dyDescent="0.2">
      <c r="B54" s="57" t="s">
        <v>48</v>
      </c>
      <c r="C54" s="57" t="s">
        <v>317</v>
      </c>
      <c r="D54" s="57" t="str">
        <f>IF(ISNUMBER(MATCH(C54,分区域!$C$3:$C$24,0)),"美国西部","美国东部")</f>
        <v>美国西部</v>
      </c>
      <c r="E54" s="58">
        <f>(参考数据!K50-参考数据!K$2)/参考数据!K$2</f>
        <v>4.6887357360750198E-2</v>
      </c>
      <c r="F54" s="59">
        <v>104.8</v>
      </c>
      <c r="H54" s="44"/>
      <c r="J54" s="44"/>
      <c r="K54" s="59"/>
      <c r="L54" s="59">
        <v>20</v>
      </c>
      <c r="M54" s="59">
        <v>20</v>
      </c>
      <c r="N54" s="44"/>
      <c r="O54" s="70">
        <v>0.28999999999999998</v>
      </c>
      <c r="P54" s="49">
        <v>100</v>
      </c>
      <c r="Q54" s="49">
        <v>-20</v>
      </c>
    </row>
    <row r="55" spans="2:17" ht="15.95" customHeight="1" x14ac:dyDescent="0.15">
      <c r="O55" s="70">
        <v>0.3</v>
      </c>
      <c r="P55" s="49">
        <v>100</v>
      </c>
      <c r="Q55" s="49">
        <v>-20</v>
      </c>
    </row>
    <row r="56" spans="2:17" ht="15.95" customHeight="1" thickBot="1" x14ac:dyDescent="0.2">
      <c r="O56" s="71">
        <v>0.30499999999999999</v>
      </c>
      <c r="P56" s="59">
        <v>100</v>
      </c>
      <c r="Q56" s="59">
        <v>-20</v>
      </c>
    </row>
    <row r="67" spans="31:31" ht="15.95" customHeight="1" x14ac:dyDescent="0.15">
      <c r="AE67" s="61" t="s">
        <v>417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workbookViewId="0"/>
  </sheetViews>
  <sheetFormatPr defaultRowHeight="14.25" x14ac:dyDescent="0.2"/>
  <cols>
    <col min="1" max="1" width="8" style="3" bestFit="1" customWidth="1"/>
    <col min="2" max="2" width="22.75" style="3" bestFit="1" customWidth="1"/>
    <col min="3" max="3" width="9.125" style="3" bestFit="1" customWidth="1"/>
    <col min="4" max="11" width="6.5" style="5" bestFit="1" customWidth="1"/>
  </cols>
  <sheetData>
    <row r="1" spans="1:11" x14ac:dyDescent="0.2">
      <c r="A1" s="2" t="s">
        <v>52</v>
      </c>
      <c r="B1" s="2" t="s">
        <v>53</v>
      </c>
      <c r="C1" s="2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</row>
    <row r="2" spans="1:11" x14ac:dyDescent="0.2">
      <c r="A2" s="3" t="s">
        <v>63</v>
      </c>
      <c r="B2" s="3" t="s">
        <v>64</v>
      </c>
      <c r="C2" s="3" t="s">
        <v>65</v>
      </c>
      <c r="D2" s="5">
        <v>41055</v>
      </c>
      <c r="E2" s="5">
        <v>39376</v>
      </c>
      <c r="F2" s="5">
        <v>39622</v>
      </c>
      <c r="G2" s="5">
        <v>40769</v>
      </c>
      <c r="H2" s="5">
        <v>41728</v>
      </c>
      <c r="I2" s="5">
        <v>41377</v>
      </c>
      <c r="J2" s="5">
        <v>42594</v>
      </c>
      <c r="K2" s="5">
        <v>44255</v>
      </c>
    </row>
    <row r="3" spans="1:11" x14ac:dyDescent="0.2">
      <c r="A3" s="3" t="s">
        <v>66</v>
      </c>
      <c r="B3" s="3" t="s">
        <v>1</v>
      </c>
      <c r="C3" s="3" t="s">
        <v>65</v>
      </c>
      <c r="D3" s="5">
        <v>38228</v>
      </c>
      <c r="E3" s="5">
        <v>37476</v>
      </c>
      <c r="F3" s="5">
        <v>37782</v>
      </c>
      <c r="G3" s="5">
        <v>38104</v>
      </c>
      <c r="H3" s="5">
        <v>38035</v>
      </c>
      <c r="I3" s="5">
        <v>37982</v>
      </c>
      <c r="J3" s="5">
        <v>38806</v>
      </c>
      <c r="K3" s="5">
        <v>40267</v>
      </c>
    </row>
    <row r="4" spans="1:11" x14ac:dyDescent="0.2">
      <c r="A4" s="3" t="s">
        <v>67</v>
      </c>
      <c r="B4" s="3" t="s">
        <v>2</v>
      </c>
      <c r="C4" s="3" t="s">
        <v>65</v>
      </c>
      <c r="D4" s="5">
        <v>44815</v>
      </c>
      <c r="E4" s="5">
        <v>43948</v>
      </c>
      <c r="F4" s="5">
        <v>45441</v>
      </c>
      <c r="G4" s="5">
        <v>47071</v>
      </c>
      <c r="H4" s="5">
        <v>47161</v>
      </c>
      <c r="I4" s="5">
        <v>45685</v>
      </c>
      <c r="J4" s="5">
        <v>47140</v>
      </c>
      <c r="K4" s="5">
        <v>48973</v>
      </c>
    </row>
    <row r="5" spans="1:11" x14ac:dyDescent="0.2">
      <c r="A5" s="3" t="s">
        <v>68</v>
      </c>
      <c r="B5" s="3" t="s">
        <v>3</v>
      </c>
      <c r="C5" s="3" t="s">
        <v>65</v>
      </c>
      <c r="D5" s="5">
        <v>35578</v>
      </c>
      <c r="E5" s="5">
        <v>33810</v>
      </c>
      <c r="F5" s="5">
        <v>33561</v>
      </c>
      <c r="G5" s="5">
        <v>34326</v>
      </c>
      <c r="H5" s="5">
        <v>35046</v>
      </c>
      <c r="I5" s="5">
        <v>35307</v>
      </c>
      <c r="J5" s="5">
        <v>36277</v>
      </c>
      <c r="K5" s="5">
        <v>37694</v>
      </c>
    </row>
    <row r="6" spans="1:11" x14ac:dyDescent="0.2">
      <c r="A6" s="3" t="s">
        <v>69</v>
      </c>
      <c r="B6" s="3" t="s">
        <v>4</v>
      </c>
      <c r="C6" s="3" t="s">
        <v>65</v>
      </c>
      <c r="D6" s="5">
        <v>37049</v>
      </c>
      <c r="E6" s="5">
        <v>36317</v>
      </c>
      <c r="F6" s="5">
        <v>35765</v>
      </c>
      <c r="G6" s="5">
        <v>37100</v>
      </c>
      <c r="H6" s="5">
        <v>38885</v>
      </c>
      <c r="I6" s="5">
        <v>38186</v>
      </c>
      <c r="J6" s="5">
        <v>40026</v>
      </c>
      <c r="K6" s="5">
        <v>40858</v>
      </c>
    </row>
    <row r="7" spans="1:11" x14ac:dyDescent="0.2">
      <c r="A7" s="3" t="s">
        <v>70</v>
      </c>
      <c r="B7" s="3" t="s">
        <v>5</v>
      </c>
      <c r="C7" s="3" t="s">
        <v>65</v>
      </c>
      <c r="D7" s="5">
        <v>39143</v>
      </c>
      <c r="E7" s="5">
        <v>37524</v>
      </c>
      <c r="F7" s="5">
        <v>37590</v>
      </c>
      <c r="G7" s="5">
        <v>38922</v>
      </c>
      <c r="H7" s="5">
        <v>40447</v>
      </c>
      <c r="I7" s="5">
        <v>40015</v>
      </c>
      <c r="J7" s="5">
        <v>41537</v>
      </c>
      <c r="K7" s="5">
        <v>44173</v>
      </c>
    </row>
    <row r="8" spans="1:11" x14ac:dyDescent="0.2">
      <c r="A8" s="3" t="s">
        <v>71</v>
      </c>
      <c r="B8" s="3" t="s">
        <v>6</v>
      </c>
      <c r="C8" s="3" t="s">
        <v>65</v>
      </c>
      <c r="D8" s="5">
        <v>42576</v>
      </c>
      <c r="E8" s="5">
        <v>39522</v>
      </c>
      <c r="F8" s="5">
        <v>39000</v>
      </c>
      <c r="G8" s="5">
        <v>40768</v>
      </c>
      <c r="H8" s="5">
        <v>42085</v>
      </c>
      <c r="I8" s="5">
        <v>42742</v>
      </c>
      <c r="J8" s="5">
        <v>44709</v>
      </c>
      <c r="K8" s="5">
        <v>46016</v>
      </c>
    </row>
    <row r="9" spans="1:11" x14ac:dyDescent="0.2">
      <c r="A9" s="3" t="s">
        <v>72</v>
      </c>
      <c r="B9" s="3" t="s">
        <v>7</v>
      </c>
      <c r="C9" s="3" t="s">
        <v>65</v>
      </c>
      <c r="D9" s="5">
        <v>55457</v>
      </c>
      <c r="E9" s="5">
        <v>54920</v>
      </c>
      <c r="F9" s="5">
        <v>55979</v>
      </c>
      <c r="G9" s="5">
        <v>56370</v>
      </c>
      <c r="H9" s="5">
        <v>56210</v>
      </c>
      <c r="I9" s="5">
        <v>55071</v>
      </c>
      <c r="J9" s="5">
        <v>56207</v>
      </c>
      <c r="K9" s="5">
        <v>57520</v>
      </c>
    </row>
    <row r="10" spans="1:11" x14ac:dyDescent="0.2">
      <c r="A10" s="3" t="s">
        <v>73</v>
      </c>
      <c r="B10" s="3" t="s">
        <v>8</v>
      </c>
      <c r="C10" s="3" t="s">
        <v>65</v>
      </c>
      <c r="D10" s="5">
        <v>41103</v>
      </c>
      <c r="E10" s="5">
        <v>40152</v>
      </c>
      <c r="F10" s="5">
        <v>39394</v>
      </c>
      <c r="G10" s="5">
        <v>41314</v>
      </c>
      <c r="H10" s="5">
        <v>40632</v>
      </c>
      <c r="I10" s="5">
        <v>40588</v>
      </c>
      <c r="J10" s="5">
        <v>40815</v>
      </c>
      <c r="K10" s="5">
        <v>42917</v>
      </c>
    </row>
    <row r="11" spans="1:11" x14ac:dyDescent="0.2">
      <c r="A11" s="3" t="s">
        <v>74</v>
      </c>
      <c r="B11" s="3" t="s">
        <v>9</v>
      </c>
      <c r="C11" s="3" t="s">
        <v>65</v>
      </c>
      <c r="D11" s="5">
        <v>53820</v>
      </c>
      <c r="E11" s="5">
        <v>51699</v>
      </c>
      <c r="F11" s="5">
        <v>51581</v>
      </c>
      <c r="G11" s="5">
        <v>53746</v>
      </c>
      <c r="H11" s="5">
        <v>53411</v>
      </c>
      <c r="I11" s="5">
        <v>52981</v>
      </c>
      <c r="J11" s="5">
        <v>54462</v>
      </c>
      <c r="K11" s="5">
        <v>57943</v>
      </c>
    </row>
    <row r="12" spans="1:11" x14ac:dyDescent="0.2">
      <c r="A12" s="3" t="s">
        <v>75</v>
      </c>
      <c r="B12" s="3" t="s">
        <v>10</v>
      </c>
      <c r="C12" s="3" t="s">
        <v>65</v>
      </c>
      <c r="D12" s="5">
        <v>39416</v>
      </c>
      <c r="E12" s="5">
        <v>37174</v>
      </c>
      <c r="F12" s="5">
        <v>38442</v>
      </c>
      <c r="G12" s="5">
        <v>39268</v>
      </c>
      <c r="H12" s="5">
        <v>39057</v>
      </c>
      <c r="I12" s="5">
        <v>38307</v>
      </c>
      <c r="J12" s="5">
        <v>39733</v>
      </c>
      <c r="K12" s="5">
        <v>41781</v>
      </c>
    </row>
    <row r="13" spans="1:11" x14ac:dyDescent="0.2">
      <c r="A13" s="3" t="s">
        <v>76</v>
      </c>
      <c r="B13" s="3" t="s">
        <v>11</v>
      </c>
      <c r="C13" s="3" t="s">
        <v>65</v>
      </c>
      <c r="D13" s="5">
        <v>37824</v>
      </c>
      <c r="E13" s="5">
        <v>37027</v>
      </c>
      <c r="F13" s="5">
        <v>37009</v>
      </c>
      <c r="G13" s="5">
        <v>38381</v>
      </c>
      <c r="H13" s="5">
        <v>37753</v>
      </c>
      <c r="I13" s="5">
        <v>37504</v>
      </c>
      <c r="J13" s="5">
        <v>39009</v>
      </c>
      <c r="K13" s="5">
        <v>40540</v>
      </c>
    </row>
    <row r="14" spans="1:11" x14ac:dyDescent="0.2">
      <c r="A14" s="3" t="s">
        <v>77</v>
      </c>
      <c r="B14" s="3" t="s">
        <v>12</v>
      </c>
      <c r="C14" s="3" t="s">
        <v>65</v>
      </c>
      <c r="D14" s="5">
        <v>35692</v>
      </c>
      <c r="E14" s="5">
        <v>35534</v>
      </c>
      <c r="F14" s="5">
        <v>35091</v>
      </c>
      <c r="G14" s="5">
        <v>35292</v>
      </c>
      <c r="H14" s="5">
        <v>35610</v>
      </c>
      <c r="I14" s="5">
        <v>35159</v>
      </c>
      <c r="J14" s="5">
        <v>36217</v>
      </c>
      <c r="K14" s="5">
        <v>37634</v>
      </c>
    </row>
    <row r="15" spans="1:11" x14ac:dyDescent="0.2">
      <c r="A15" s="3" t="s">
        <v>78</v>
      </c>
      <c r="B15" s="3" t="s">
        <v>13</v>
      </c>
      <c r="C15" s="3" t="s">
        <v>65</v>
      </c>
      <c r="D15" s="5">
        <v>34774</v>
      </c>
      <c r="E15" s="5">
        <v>33268</v>
      </c>
      <c r="F15" s="5">
        <v>33447</v>
      </c>
      <c r="G15" s="5">
        <v>34339</v>
      </c>
      <c r="H15" s="5">
        <v>35075</v>
      </c>
      <c r="I15" s="5">
        <v>35697</v>
      </c>
      <c r="J15" s="5">
        <v>36454</v>
      </c>
      <c r="K15" s="5">
        <v>38074</v>
      </c>
    </row>
    <row r="16" spans="1:11" x14ac:dyDescent="0.2">
      <c r="A16" s="3" t="s">
        <v>79</v>
      </c>
      <c r="B16" s="3" t="s">
        <v>14</v>
      </c>
      <c r="C16" s="3" t="s">
        <v>65</v>
      </c>
      <c r="D16" s="5">
        <v>43385</v>
      </c>
      <c r="E16" s="5">
        <v>40744</v>
      </c>
      <c r="F16" s="5">
        <v>40743</v>
      </c>
      <c r="G16" s="5">
        <v>41609</v>
      </c>
      <c r="H16" s="5">
        <v>42816</v>
      </c>
      <c r="I16" s="5">
        <v>43572</v>
      </c>
      <c r="J16" s="5">
        <v>44950</v>
      </c>
      <c r="K16" s="5">
        <v>46657</v>
      </c>
    </row>
    <row r="17" spans="1:11" x14ac:dyDescent="0.2">
      <c r="A17" s="3" t="s">
        <v>80</v>
      </c>
      <c r="B17" s="3" t="s">
        <v>15</v>
      </c>
      <c r="C17" s="3" t="s">
        <v>65</v>
      </c>
      <c r="D17" s="5">
        <v>38612</v>
      </c>
      <c r="E17" s="5">
        <v>37414</v>
      </c>
      <c r="F17" s="5">
        <v>37850</v>
      </c>
      <c r="G17" s="5">
        <v>39091</v>
      </c>
      <c r="H17" s="5">
        <v>40097</v>
      </c>
      <c r="I17" s="5">
        <v>39943</v>
      </c>
      <c r="J17" s="5">
        <v>40817</v>
      </c>
      <c r="K17" s="5">
        <v>42197</v>
      </c>
    </row>
    <row r="18" spans="1:11" x14ac:dyDescent="0.2">
      <c r="A18" s="3" t="s">
        <v>81</v>
      </c>
      <c r="B18" s="3" t="s">
        <v>16</v>
      </c>
      <c r="C18" s="3" t="s">
        <v>65</v>
      </c>
      <c r="D18" s="5">
        <v>43869</v>
      </c>
      <c r="E18" s="5">
        <v>42088</v>
      </c>
      <c r="F18" s="5">
        <v>41919</v>
      </c>
      <c r="G18" s="5">
        <v>43683</v>
      </c>
      <c r="H18" s="5">
        <v>44574</v>
      </c>
      <c r="I18" s="5">
        <v>44415</v>
      </c>
      <c r="J18" s="5">
        <v>45046</v>
      </c>
      <c r="K18" s="5">
        <v>46359</v>
      </c>
    </row>
    <row r="19" spans="1:11" x14ac:dyDescent="0.2">
      <c r="A19" s="3" t="s">
        <v>82</v>
      </c>
      <c r="B19" s="3" t="s">
        <v>17</v>
      </c>
      <c r="C19" s="3" t="s">
        <v>65</v>
      </c>
      <c r="D19" s="5">
        <v>46200</v>
      </c>
      <c r="E19" s="5">
        <v>43877</v>
      </c>
      <c r="F19" s="5">
        <v>42986</v>
      </c>
      <c r="G19" s="5">
        <v>45138</v>
      </c>
      <c r="H19" s="5">
        <v>46670</v>
      </c>
      <c r="I19" s="5">
        <v>46821</v>
      </c>
      <c r="J19" s="5">
        <v>47101</v>
      </c>
      <c r="K19" s="5">
        <v>47547</v>
      </c>
    </row>
    <row r="20" spans="1:11" x14ac:dyDescent="0.2">
      <c r="A20" s="3" t="s">
        <v>83</v>
      </c>
      <c r="B20" s="3" t="s">
        <v>18</v>
      </c>
      <c r="C20" s="3" t="s">
        <v>65</v>
      </c>
      <c r="D20" s="5">
        <v>37166</v>
      </c>
      <c r="E20" s="5">
        <v>36532</v>
      </c>
      <c r="F20" s="5">
        <v>36749</v>
      </c>
      <c r="G20" s="5">
        <v>37470</v>
      </c>
      <c r="H20" s="5">
        <v>37805</v>
      </c>
      <c r="I20" s="5">
        <v>37145</v>
      </c>
      <c r="J20" s="5">
        <v>38429</v>
      </c>
      <c r="K20" s="5">
        <v>39743</v>
      </c>
    </row>
    <row r="21" spans="1:11" x14ac:dyDescent="0.2">
      <c r="A21" s="3" t="s">
        <v>84</v>
      </c>
      <c r="B21" s="3" t="s">
        <v>19</v>
      </c>
      <c r="C21" s="3" t="s">
        <v>65</v>
      </c>
      <c r="D21" s="5">
        <v>41775</v>
      </c>
      <c r="E21" s="5">
        <v>39834</v>
      </c>
      <c r="F21" s="5">
        <v>40237</v>
      </c>
      <c r="G21" s="5">
        <v>40334</v>
      </c>
      <c r="H21" s="5">
        <v>41334</v>
      </c>
      <c r="I21" s="5">
        <v>40978</v>
      </c>
      <c r="J21" s="5">
        <v>42346</v>
      </c>
      <c r="K21" s="5">
        <v>43277</v>
      </c>
    </row>
    <row r="22" spans="1:11" x14ac:dyDescent="0.2">
      <c r="A22" s="3" t="s">
        <v>85</v>
      </c>
      <c r="B22" s="3" t="s">
        <v>20</v>
      </c>
      <c r="C22" s="3" t="s">
        <v>65</v>
      </c>
      <c r="D22" s="5">
        <v>37843</v>
      </c>
      <c r="E22" s="5">
        <v>37788</v>
      </c>
      <c r="F22" s="5">
        <v>38211</v>
      </c>
      <c r="G22" s="5">
        <v>38487</v>
      </c>
      <c r="H22" s="5">
        <v>38177</v>
      </c>
      <c r="I22" s="5">
        <v>37532</v>
      </c>
      <c r="J22" s="5">
        <v>38781</v>
      </c>
      <c r="K22" s="5">
        <v>39998</v>
      </c>
    </row>
    <row r="23" spans="1:11" x14ac:dyDescent="0.2">
      <c r="A23" s="3" t="s">
        <v>86</v>
      </c>
      <c r="B23" s="3" t="s">
        <v>21</v>
      </c>
      <c r="C23" s="3" t="s">
        <v>65</v>
      </c>
      <c r="D23" s="5">
        <v>44892</v>
      </c>
      <c r="E23" s="5">
        <v>44008</v>
      </c>
      <c r="F23" s="5">
        <v>44306</v>
      </c>
      <c r="G23" s="5">
        <v>45189</v>
      </c>
      <c r="H23" s="5">
        <v>45724</v>
      </c>
      <c r="I23" s="5">
        <v>44654</v>
      </c>
      <c r="J23" s="5">
        <v>45044</v>
      </c>
      <c r="K23" s="5">
        <v>46969</v>
      </c>
    </row>
    <row r="24" spans="1:11" x14ac:dyDescent="0.2">
      <c r="A24" s="3" t="s">
        <v>87</v>
      </c>
      <c r="B24" s="3" t="s">
        <v>22</v>
      </c>
      <c r="C24" s="3" t="s">
        <v>65</v>
      </c>
      <c r="D24" s="5">
        <v>48364</v>
      </c>
      <c r="E24" s="5">
        <v>47768</v>
      </c>
      <c r="F24" s="5">
        <v>48442</v>
      </c>
      <c r="G24" s="5">
        <v>49329</v>
      </c>
      <c r="H24" s="5">
        <v>50667</v>
      </c>
      <c r="I24" s="5">
        <v>49944</v>
      </c>
      <c r="J24" s="5">
        <v>50884</v>
      </c>
      <c r="K24" s="5">
        <v>53782</v>
      </c>
    </row>
    <row r="25" spans="1:11" x14ac:dyDescent="0.2">
      <c r="A25" s="3" t="s">
        <v>88</v>
      </c>
      <c r="B25" s="3" t="s">
        <v>23</v>
      </c>
      <c r="C25" s="3" t="s">
        <v>65</v>
      </c>
      <c r="D25" s="5">
        <v>37438</v>
      </c>
      <c r="E25" s="5">
        <v>35804</v>
      </c>
      <c r="F25" s="5">
        <v>36652</v>
      </c>
      <c r="G25" s="5">
        <v>38044</v>
      </c>
      <c r="H25" s="5">
        <v>38672</v>
      </c>
      <c r="I25" s="5">
        <v>38761</v>
      </c>
      <c r="J25" s="5">
        <v>39968</v>
      </c>
      <c r="K25" s="5">
        <v>42173</v>
      </c>
    </row>
    <row r="26" spans="1:11" x14ac:dyDescent="0.2">
      <c r="A26" s="3" t="s">
        <v>89</v>
      </c>
      <c r="B26" s="3" t="s">
        <v>24</v>
      </c>
      <c r="C26" s="3" t="s">
        <v>65</v>
      </c>
      <c r="D26" s="5">
        <v>44242</v>
      </c>
      <c r="E26" s="5">
        <v>41818</v>
      </c>
      <c r="F26" s="5">
        <v>42745</v>
      </c>
      <c r="G26" s="5">
        <v>44175</v>
      </c>
      <c r="H26" s="5">
        <v>45663</v>
      </c>
      <c r="I26" s="5">
        <v>45138</v>
      </c>
      <c r="J26" s="5">
        <v>46326</v>
      </c>
      <c r="K26" s="5">
        <v>48052</v>
      </c>
    </row>
    <row r="27" spans="1:11" x14ac:dyDescent="0.2">
      <c r="A27" s="3" t="s">
        <v>90</v>
      </c>
      <c r="B27" s="3" t="s">
        <v>25</v>
      </c>
      <c r="C27" s="3" t="s">
        <v>65</v>
      </c>
      <c r="D27" s="5">
        <v>35467</v>
      </c>
      <c r="E27" s="5">
        <v>34818</v>
      </c>
      <c r="F27" s="5">
        <v>34777</v>
      </c>
      <c r="G27" s="5">
        <v>35199</v>
      </c>
      <c r="H27" s="5">
        <v>35906</v>
      </c>
      <c r="I27" s="5">
        <v>35607</v>
      </c>
      <c r="J27" s="5">
        <v>36369</v>
      </c>
      <c r="K27" s="5">
        <v>36889</v>
      </c>
    </row>
    <row r="28" spans="1:11" x14ac:dyDescent="0.2">
      <c r="A28" s="3" t="s">
        <v>91</v>
      </c>
      <c r="B28" s="3" t="s">
        <v>26</v>
      </c>
      <c r="C28" s="3" t="s">
        <v>65</v>
      </c>
      <c r="D28" s="5">
        <v>42552</v>
      </c>
      <c r="E28" s="5">
        <v>41569</v>
      </c>
      <c r="F28" s="5">
        <v>41028</v>
      </c>
      <c r="G28" s="5">
        <v>41176</v>
      </c>
      <c r="H28" s="5">
        <v>42109</v>
      </c>
      <c r="I28" s="5">
        <v>41304</v>
      </c>
      <c r="J28" s="5">
        <v>42142</v>
      </c>
      <c r="K28" s="5">
        <v>43444</v>
      </c>
    </row>
    <row r="29" spans="1:11" x14ac:dyDescent="0.2">
      <c r="A29" s="3" t="s">
        <v>92</v>
      </c>
      <c r="B29" s="3" t="s">
        <v>27</v>
      </c>
      <c r="C29" s="3" t="s">
        <v>65</v>
      </c>
      <c r="D29" s="5">
        <v>37278</v>
      </c>
      <c r="E29" s="5">
        <v>36437</v>
      </c>
      <c r="F29" s="5">
        <v>37218</v>
      </c>
      <c r="G29" s="5">
        <v>38756</v>
      </c>
      <c r="H29" s="5">
        <v>40188</v>
      </c>
      <c r="I29" s="5">
        <v>38911</v>
      </c>
      <c r="J29" s="5">
        <v>39576</v>
      </c>
      <c r="K29" s="5">
        <v>40985</v>
      </c>
    </row>
    <row r="30" spans="1:11" x14ac:dyDescent="0.2">
      <c r="A30" s="3" t="s">
        <v>93</v>
      </c>
      <c r="B30" s="3" t="s">
        <v>28</v>
      </c>
      <c r="C30" s="3" t="s">
        <v>65</v>
      </c>
      <c r="D30" s="5">
        <v>44987</v>
      </c>
      <c r="E30" s="5">
        <v>43886</v>
      </c>
      <c r="F30" s="5">
        <v>44257</v>
      </c>
      <c r="G30" s="5">
        <v>47845</v>
      </c>
      <c r="H30" s="5">
        <v>47983</v>
      </c>
      <c r="I30" s="5">
        <v>47125</v>
      </c>
      <c r="J30" s="5">
        <v>49087</v>
      </c>
      <c r="K30" s="5">
        <v>50054</v>
      </c>
    </row>
    <row r="31" spans="1:11" x14ac:dyDescent="0.2">
      <c r="A31" s="3" t="s">
        <v>94</v>
      </c>
      <c r="B31" s="3" t="s">
        <v>29</v>
      </c>
      <c r="C31" s="3" t="s">
        <v>65</v>
      </c>
      <c r="D31" s="5">
        <v>38604</v>
      </c>
      <c r="E31" s="5">
        <v>36144</v>
      </c>
      <c r="F31" s="5">
        <v>36348</v>
      </c>
      <c r="G31" s="5">
        <v>36631</v>
      </c>
      <c r="H31" s="5">
        <v>37488</v>
      </c>
      <c r="I31" s="5">
        <v>36766</v>
      </c>
      <c r="J31" s="5">
        <v>38116</v>
      </c>
      <c r="K31" s="5">
        <v>40242</v>
      </c>
    </row>
    <row r="32" spans="1:11" x14ac:dyDescent="0.2">
      <c r="A32" s="3" t="s">
        <v>95</v>
      </c>
      <c r="B32" s="3" t="s">
        <v>30</v>
      </c>
      <c r="C32" s="3" t="s">
        <v>65</v>
      </c>
      <c r="D32" s="5">
        <v>43347</v>
      </c>
      <c r="E32" s="5">
        <v>43131</v>
      </c>
      <c r="F32" s="5">
        <v>43664</v>
      </c>
      <c r="G32" s="5">
        <v>45284</v>
      </c>
      <c r="H32" s="5">
        <v>46338</v>
      </c>
      <c r="I32" s="5">
        <v>45604</v>
      </c>
      <c r="J32" s="5">
        <v>45676</v>
      </c>
      <c r="K32" s="5">
        <v>47530</v>
      </c>
    </row>
    <row r="33" spans="1:11" x14ac:dyDescent="0.2">
      <c r="A33" s="3" t="s">
        <v>96</v>
      </c>
      <c r="B33" s="3" t="s">
        <v>31</v>
      </c>
      <c r="C33" s="3" t="s">
        <v>65</v>
      </c>
      <c r="D33" s="5">
        <v>46452</v>
      </c>
      <c r="E33" s="5">
        <v>44768</v>
      </c>
      <c r="F33" s="5">
        <v>44359</v>
      </c>
      <c r="G33" s="5">
        <v>45004</v>
      </c>
      <c r="H33" s="5">
        <v>45625</v>
      </c>
      <c r="I33" s="5">
        <v>45600</v>
      </c>
      <c r="J33" s="5">
        <v>46367</v>
      </c>
      <c r="K33" s="5">
        <v>48590</v>
      </c>
    </row>
    <row r="34" spans="1:11" x14ac:dyDescent="0.2">
      <c r="A34" s="3" t="s">
        <v>97</v>
      </c>
      <c r="B34" s="3" t="s">
        <v>32</v>
      </c>
      <c r="C34" s="3" t="s">
        <v>65</v>
      </c>
      <c r="D34" s="5">
        <v>35499</v>
      </c>
      <c r="E34" s="5">
        <v>34542</v>
      </c>
      <c r="F34" s="5">
        <v>34497</v>
      </c>
      <c r="G34" s="5">
        <v>35089</v>
      </c>
      <c r="H34" s="5">
        <v>35188</v>
      </c>
      <c r="I34" s="5">
        <v>33975</v>
      </c>
      <c r="J34" s="5">
        <v>35490</v>
      </c>
      <c r="K34" s="5">
        <v>36814</v>
      </c>
    </row>
    <row r="35" spans="1:11" x14ac:dyDescent="0.2">
      <c r="A35" s="3" t="s">
        <v>98</v>
      </c>
      <c r="B35" s="3" t="s">
        <v>33</v>
      </c>
      <c r="C35" s="3" t="s">
        <v>65</v>
      </c>
      <c r="D35" s="5">
        <v>42057</v>
      </c>
      <c r="E35" s="5">
        <v>40802</v>
      </c>
      <c r="F35" s="5">
        <v>41191</v>
      </c>
      <c r="G35" s="5">
        <v>42420</v>
      </c>
      <c r="H35" s="5">
        <v>43991</v>
      </c>
      <c r="I35" s="5">
        <v>44081</v>
      </c>
      <c r="J35" s="5">
        <v>44620</v>
      </c>
      <c r="K35" s="5">
        <v>46445</v>
      </c>
    </row>
    <row r="36" spans="1:11" x14ac:dyDescent="0.2">
      <c r="A36" s="3" t="s">
        <v>99</v>
      </c>
      <c r="B36" s="3" t="s">
        <v>34</v>
      </c>
      <c r="C36" s="3" t="s">
        <v>65</v>
      </c>
      <c r="D36" s="5">
        <v>41175</v>
      </c>
      <c r="E36" s="5">
        <v>39039</v>
      </c>
      <c r="F36" s="5">
        <v>38147</v>
      </c>
      <c r="G36" s="5">
        <v>38380</v>
      </c>
      <c r="H36" s="5">
        <v>39745</v>
      </c>
      <c r="I36" s="5">
        <v>38372</v>
      </c>
      <c r="J36" s="5">
        <v>39680</v>
      </c>
      <c r="K36" s="5">
        <v>41532</v>
      </c>
    </row>
    <row r="37" spans="1:11" x14ac:dyDescent="0.2">
      <c r="A37" s="3" t="s">
        <v>100</v>
      </c>
      <c r="B37" s="3" t="s">
        <v>35</v>
      </c>
      <c r="C37" s="3" t="s">
        <v>65</v>
      </c>
      <c r="D37" s="5">
        <v>46691</v>
      </c>
      <c r="E37" s="5">
        <v>45216</v>
      </c>
      <c r="F37" s="5">
        <v>48247</v>
      </c>
      <c r="G37" s="5">
        <v>52111</v>
      </c>
      <c r="H37" s="5">
        <v>58315</v>
      </c>
      <c r="I37" s="5">
        <v>56526</v>
      </c>
      <c r="J37" s="5">
        <v>58215</v>
      </c>
      <c r="K37" s="5">
        <v>54997</v>
      </c>
    </row>
    <row r="38" spans="1:11" x14ac:dyDescent="0.2">
      <c r="A38" s="3" t="s">
        <v>101</v>
      </c>
      <c r="B38" s="3" t="s">
        <v>36</v>
      </c>
      <c r="C38" s="3" t="s">
        <v>65</v>
      </c>
      <c r="D38" s="5">
        <v>40860</v>
      </c>
      <c r="E38" s="5">
        <v>40008</v>
      </c>
      <c r="F38" s="5">
        <v>39930</v>
      </c>
      <c r="G38" s="5">
        <v>41641</v>
      </c>
      <c r="H38" s="5">
        <v>42537</v>
      </c>
      <c r="I38" s="5">
        <v>42352</v>
      </c>
      <c r="J38" s="5">
        <v>43408</v>
      </c>
      <c r="K38" s="5">
        <v>44943</v>
      </c>
    </row>
    <row r="39" spans="1:11" x14ac:dyDescent="0.2">
      <c r="A39" s="3" t="s">
        <v>102</v>
      </c>
      <c r="B39" s="3" t="s">
        <v>37</v>
      </c>
      <c r="C39" s="3" t="s">
        <v>65</v>
      </c>
      <c r="D39" s="5">
        <v>43682</v>
      </c>
      <c r="E39" s="5">
        <v>39134</v>
      </c>
      <c r="F39" s="5">
        <v>39503</v>
      </c>
      <c r="G39" s="5">
        <v>41328</v>
      </c>
      <c r="H39" s="5">
        <v>43150</v>
      </c>
      <c r="I39" s="5">
        <v>44190</v>
      </c>
      <c r="J39" s="5">
        <v>46229</v>
      </c>
      <c r="K39" s="5">
        <v>44757</v>
      </c>
    </row>
    <row r="40" spans="1:11" x14ac:dyDescent="0.2">
      <c r="A40" s="3" t="s">
        <v>103</v>
      </c>
      <c r="B40" s="3" t="s">
        <v>38</v>
      </c>
      <c r="C40" s="3" t="s">
        <v>65</v>
      </c>
      <c r="D40" s="5">
        <v>37890</v>
      </c>
      <c r="E40" s="5">
        <v>35905</v>
      </c>
      <c r="F40" s="5">
        <v>35721</v>
      </c>
      <c r="G40" s="5">
        <v>36520</v>
      </c>
      <c r="H40" s="5">
        <v>37416</v>
      </c>
      <c r="I40" s="5">
        <v>37228</v>
      </c>
      <c r="J40" s="5">
        <v>38656</v>
      </c>
      <c r="K40" s="5">
        <v>40881</v>
      </c>
    </row>
    <row r="41" spans="1:11" x14ac:dyDescent="0.2">
      <c r="A41" s="3" t="s">
        <v>104</v>
      </c>
      <c r="B41" s="3" t="s">
        <v>39</v>
      </c>
      <c r="C41" s="3" t="s">
        <v>65</v>
      </c>
      <c r="D41" s="5">
        <v>42782</v>
      </c>
      <c r="E41" s="5">
        <v>41577</v>
      </c>
      <c r="F41" s="5">
        <v>42027</v>
      </c>
      <c r="G41" s="5">
        <v>43049</v>
      </c>
      <c r="H41" s="5">
        <v>43997</v>
      </c>
      <c r="I41" s="5">
        <v>43571</v>
      </c>
      <c r="J41" s="5">
        <v>44934</v>
      </c>
      <c r="K41" s="5">
        <v>46537</v>
      </c>
    </row>
    <row r="42" spans="1:11" x14ac:dyDescent="0.2">
      <c r="A42" s="3" t="s">
        <v>105</v>
      </c>
      <c r="B42" s="3" t="s">
        <v>40</v>
      </c>
      <c r="C42" s="3" t="s">
        <v>65</v>
      </c>
      <c r="D42" s="5">
        <v>41977</v>
      </c>
      <c r="E42" s="5">
        <v>41053</v>
      </c>
      <c r="F42" s="5">
        <v>42507</v>
      </c>
      <c r="G42" s="5">
        <v>42922</v>
      </c>
      <c r="H42" s="5">
        <v>44120</v>
      </c>
      <c r="I42" s="5">
        <v>43691</v>
      </c>
      <c r="J42" s="5">
        <v>44304</v>
      </c>
      <c r="K42" s="5">
        <v>46119</v>
      </c>
    </row>
    <row r="43" spans="1:11" x14ac:dyDescent="0.2">
      <c r="A43" s="3" t="s">
        <v>106</v>
      </c>
      <c r="B43" s="3" t="s">
        <v>41</v>
      </c>
      <c r="C43" s="3" t="s">
        <v>65</v>
      </c>
      <c r="D43" s="5">
        <v>36153</v>
      </c>
      <c r="E43" s="5">
        <v>34696</v>
      </c>
      <c r="F43" s="5">
        <v>35061</v>
      </c>
      <c r="G43" s="5">
        <v>35845</v>
      </c>
      <c r="H43" s="5">
        <v>36634</v>
      </c>
      <c r="I43" s="5">
        <v>36317</v>
      </c>
      <c r="J43" s="5">
        <v>37696</v>
      </c>
      <c r="K43" s="5">
        <v>39308</v>
      </c>
    </row>
    <row r="44" spans="1:11" x14ac:dyDescent="0.2">
      <c r="A44" s="3" t="s">
        <v>107</v>
      </c>
      <c r="B44" s="3" t="s">
        <v>42</v>
      </c>
      <c r="C44" s="3" t="s">
        <v>65</v>
      </c>
      <c r="D44" s="5">
        <v>47657</v>
      </c>
      <c r="E44" s="5">
        <v>46205</v>
      </c>
      <c r="F44" s="5">
        <v>46565</v>
      </c>
      <c r="G44" s="5">
        <v>49229</v>
      </c>
      <c r="H44" s="5">
        <v>47844</v>
      </c>
      <c r="I44" s="5">
        <v>47272</v>
      </c>
      <c r="J44" s="5">
        <v>47942</v>
      </c>
      <c r="K44" s="5">
        <v>49463</v>
      </c>
    </row>
    <row r="45" spans="1:11" x14ac:dyDescent="0.2">
      <c r="A45" s="3" t="s">
        <v>108</v>
      </c>
      <c r="B45" s="3" t="s">
        <v>43</v>
      </c>
      <c r="C45" s="3" t="s">
        <v>65</v>
      </c>
      <c r="D45" s="5">
        <v>39109</v>
      </c>
      <c r="E45" s="5">
        <v>38400</v>
      </c>
      <c r="F45" s="5">
        <v>38964</v>
      </c>
      <c r="G45" s="5">
        <v>39933</v>
      </c>
      <c r="H45" s="5">
        <v>40331</v>
      </c>
      <c r="I45" s="5">
        <v>39870</v>
      </c>
      <c r="J45" s="5">
        <v>40970</v>
      </c>
      <c r="K45" s="5">
        <v>42902</v>
      </c>
    </row>
    <row r="46" spans="1:11" x14ac:dyDescent="0.2">
      <c r="A46" s="3" t="s">
        <v>109</v>
      </c>
      <c r="B46" s="3" t="s">
        <v>44</v>
      </c>
      <c r="C46" s="3" t="s">
        <v>65</v>
      </c>
      <c r="D46" s="5">
        <v>41066</v>
      </c>
      <c r="E46" s="5">
        <v>38160</v>
      </c>
      <c r="F46" s="5">
        <v>38811</v>
      </c>
      <c r="G46" s="5">
        <v>40834</v>
      </c>
      <c r="H46" s="5">
        <v>42382</v>
      </c>
      <c r="I46" s="5">
        <v>41979</v>
      </c>
      <c r="J46" s="5">
        <v>43629</v>
      </c>
      <c r="K46" s="5">
        <v>44269</v>
      </c>
    </row>
    <row r="47" spans="1:11" x14ac:dyDescent="0.2">
      <c r="A47" s="3" t="s">
        <v>110</v>
      </c>
      <c r="B47" s="3" t="s">
        <v>45</v>
      </c>
      <c r="C47" s="3" t="s">
        <v>65</v>
      </c>
      <c r="D47" s="5">
        <v>35113</v>
      </c>
      <c r="E47" s="5">
        <v>32438</v>
      </c>
      <c r="F47" s="5">
        <v>32238</v>
      </c>
      <c r="G47" s="5">
        <v>33363</v>
      </c>
      <c r="H47" s="5">
        <v>34546</v>
      </c>
      <c r="I47" s="5">
        <v>34399</v>
      </c>
      <c r="J47" s="5">
        <v>35574</v>
      </c>
      <c r="K47" s="5">
        <v>37435</v>
      </c>
    </row>
    <row r="48" spans="1:11" x14ac:dyDescent="0.2">
      <c r="A48" s="3" t="s">
        <v>111</v>
      </c>
      <c r="B48" s="3" t="s">
        <v>46</v>
      </c>
      <c r="C48" s="3" t="s">
        <v>65</v>
      </c>
      <c r="D48" s="5">
        <v>40763</v>
      </c>
      <c r="E48" s="5">
        <v>40092</v>
      </c>
      <c r="F48" s="5">
        <v>40542</v>
      </c>
      <c r="G48" s="5">
        <v>41823</v>
      </c>
      <c r="H48" s="5">
        <v>42018</v>
      </c>
      <c r="I48" s="5">
        <v>42103</v>
      </c>
      <c r="J48" s="5">
        <v>42447</v>
      </c>
      <c r="K48" s="5">
        <v>44019</v>
      </c>
    </row>
    <row r="49" spans="1:11" x14ac:dyDescent="0.2">
      <c r="A49" s="3" t="s">
        <v>112</v>
      </c>
      <c r="B49" s="3" t="s">
        <v>47</v>
      </c>
      <c r="C49" s="3" t="s">
        <v>65</v>
      </c>
      <c r="D49" s="5">
        <v>44551</v>
      </c>
      <c r="E49" s="5">
        <v>42875</v>
      </c>
      <c r="F49" s="5">
        <v>43361</v>
      </c>
      <c r="G49" s="5">
        <v>44417</v>
      </c>
      <c r="H49" s="5">
        <v>45188</v>
      </c>
      <c r="I49" s="5">
        <v>43959</v>
      </c>
      <c r="J49" s="5">
        <v>44849</v>
      </c>
      <c r="K49" s="5">
        <v>46582</v>
      </c>
    </row>
    <row r="50" spans="1:11" x14ac:dyDescent="0.2">
      <c r="A50" s="3" t="s">
        <v>113</v>
      </c>
      <c r="B50" s="3" t="s">
        <v>48</v>
      </c>
      <c r="C50" s="3" t="s">
        <v>65</v>
      </c>
      <c r="D50" s="5">
        <v>43479</v>
      </c>
      <c r="E50" s="5">
        <v>40467</v>
      </c>
      <c r="F50" s="5">
        <v>40388</v>
      </c>
      <c r="G50" s="5">
        <v>41354</v>
      </c>
      <c r="H50" s="5">
        <v>43189</v>
      </c>
      <c r="I50" s="5">
        <v>42766</v>
      </c>
      <c r="J50" s="5">
        <v>44569</v>
      </c>
      <c r="K50" s="5">
        <v>46330</v>
      </c>
    </row>
    <row r="51" spans="1:11" x14ac:dyDescent="0.2">
      <c r="A51" s="3" t="s">
        <v>114</v>
      </c>
      <c r="B51" s="3" t="s">
        <v>49</v>
      </c>
      <c r="C51" s="3" t="s">
        <v>65</v>
      </c>
      <c r="D51" s="5">
        <v>36016</v>
      </c>
      <c r="E51" s="5">
        <v>35998</v>
      </c>
      <c r="F51" s="5">
        <v>35778</v>
      </c>
      <c r="G51" s="5">
        <v>36957</v>
      </c>
      <c r="H51" s="5">
        <v>37092</v>
      </c>
      <c r="I51" s="5">
        <v>36440</v>
      </c>
      <c r="J51" s="5">
        <v>37084</v>
      </c>
      <c r="K51" s="5">
        <v>37622</v>
      </c>
    </row>
    <row r="52" spans="1:11" x14ac:dyDescent="0.2">
      <c r="A52" s="3" t="s">
        <v>115</v>
      </c>
      <c r="B52" s="3" t="s">
        <v>50</v>
      </c>
      <c r="C52" s="3" t="s">
        <v>65</v>
      </c>
      <c r="D52" s="5">
        <v>41903</v>
      </c>
      <c r="E52" s="5">
        <v>41051</v>
      </c>
      <c r="F52" s="5">
        <v>41003</v>
      </c>
      <c r="G52" s="5">
        <v>42047</v>
      </c>
      <c r="H52" s="5">
        <v>42933</v>
      </c>
      <c r="I52" s="5">
        <v>42696</v>
      </c>
      <c r="J52" s="5">
        <v>43556</v>
      </c>
      <c r="K52" s="5">
        <v>45151</v>
      </c>
    </row>
    <row r="53" spans="1:11" x14ac:dyDescent="0.2">
      <c r="A53" s="3" t="s">
        <v>116</v>
      </c>
      <c r="B53" s="3" t="s">
        <v>51</v>
      </c>
      <c r="C53" s="3" t="s">
        <v>65</v>
      </c>
      <c r="D53" s="5">
        <v>50597</v>
      </c>
      <c r="E53" s="5">
        <v>45464</v>
      </c>
      <c r="F53" s="5">
        <v>46730</v>
      </c>
      <c r="G53" s="5">
        <v>49252</v>
      </c>
      <c r="H53" s="5">
        <v>52021</v>
      </c>
      <c r="I53" s="5">
        <v>51152</v>
      </c>
      <c r="J53" s="5">
        <v>53504</v>
      </c>
      <c r="K53" s="5">
        <v>53512</v>
      </c>
    </row>
  </sheetData>
  <phoneticPr fontId="3" type="noConversion"/>
  <pageMargins left="0.7" right="0.7" top="0.75" bottom="0.75" header="0.3" footer="0.3"/>
  <ignoredErrors>
    <ignoredError sqref="A2:C53 D2:K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52"/>
  <sheetViews>
    <sheetView showGridLines="0" workbookViewId="0"/>
  </sheetViews>
  <sheetFormatPr defaultRowHeight="14.25" x14ac:dyDescent="0.15"/>
  <cols>
    <col min="1" max="1" width="2.625" customWidth="1"/>
    <col min="2" max="2" width="10.5" style="8" bestFit="1" customWidth="1"/>
    <col min="3" max="3" width="13.125" style="8" bestFit="1" customWidth="1"/>
    <col min="4" max="4" width="15.5" style="8" bestFit="1" customWidth="1"/>
    <col min="5" max="5" width="12.25" style="8" bestFit="1" customWidth="1"/>
    <col min="6" max="6" width="12.375" style="8" bestFit="1" customWidth="1"/>
  </cols>
  <sheetData>
    <row r="2" spans="2:6" ht="15" thickBot="1" x14ac:dyDescent="0.2">
      <c r="B2" s="8" t="s">
        <v>333</v>
      </c>
      <c r="C2" s="8" t="s">
        <v>334</v>
      </c>
      <c r="D2" s="8" t="s">
        <v>335</v>
      </c>
      <c r="E2" s="8" t="s">
        <v>121</v>
      </c>
      <c r="F2" s="8" t="s">
        <v>122</v>
      </c>
    </row>
    <row r="3" spans="2:6" x14ac:dyDescent="0.15">
      <c r="B3" s="9" t="s">
        <v>123</v>
      </c>
      <c r="C3" s="9" t="s">
        <v>1</v>
      </c>
      <c r="D3" s="9" t="s">
        <v>124</v>
      </c>
      <c r="E3" s="9" t="s">
        <v>125</v>
      </c>
      <c r="F3" s="9" t="s">
        <v>126</v>
      </c>
    </row>
    <row r="4" spans="2:6" x14ac:dyDescent="0.15">
      <c r="B4" s="10" t="s">
        <v>127</v>
      </c>
      <c r="C4" s="10" t="s">
        <v>2</v>
      </c>
      <c r="D4" s="10" t="s">
        <v>128</v>
      </c>
      <c r="E4" s="10" t="s">
        <v>129</v>
      </c>
      <c r="F4" s="10" t="s">
        <v>130</v>
      </c>
    </row>
    <row r="5" spans="2:6" x14ac:dyDescent="0.15">
      <c r="B5" s="10" t="s">
        <v>131</v>
      </c>
      <c r="C5" s="10" t="s">
        <v>3</v>
      </c>
      <c r="D5" s="10" t="s">
        <v>132</v>
      </c>
      <c r="E5" s="10" t="s">
        <v>133</v>
      </c>
      <c r="F5" s="10" t="s">
        <v>134</v>
      </c>
    </row>
    <row r="6" spans="2:6" x14ac:dyDescent="0.15">
      <c r="B6" s="10" t="s">
        <v>135</v>
      </c>
      <c r="C6" s="10" t="s">
        <v>4</v>
      </c>
      <c r="D6" s="10" t="s">
        <v>136</v>
      </c>
      <c r="E6" s="10" t="s">
        <v>137</v>
      </c>
      <c r="F6" s="10" t="s">
        <v>138</v>
      </c>
    </row>
    <row r="7" spans="2:6" x14ac:dyDescent="0.15">
      <c r="B7" s="10" t="s">
        <v>139</v>
      </c>
      <c r="C7" s="10" t="s">
        <v>5</v>
      </c>
      <c r="D7" s="10" t="s">
        <v>140</v>
      </c>
      <c r="E7" s="10" t="s">
        <v>141</v>
      </c>
      <c r="F7" s="10" t="s">
        <v>142</v>
      </c>
    </row>
    <row r="8" spans="2:6" x14ac:dyDescent="0.15">
      <c r="B8" s="10" t="s">
        <v>143</v>
      </c>
      <c r="C8" s="10" t="s">
        <v>6</v>
      </c>
      <c r="D8" s="10" t="s">
        <v>144</v>
      </c>
      <c r="E8" s="10" t="s">
        <v>145</v>
      </c>
      <c r="F8" s="10" t="s">
        <v>146</v>
      </c>
    </row>
    <row r="9" spans="2:6" x14ac:dyDescent="0.15">
      <c r="B9" s="10" t="s">
        <v>147</v>
      </c>
      <c r="C9" s="10" t="s">
        <v>7</v>
      </c>
      <c r="D9" s="10" t="s">
        <v>148</v>
      </c>
      <c r="E9" s="10" t="s">
        <v>149</v>
      </c>
      <c r="F9" s="10" t="s">
        <v>150</v>
      </c>
    </row>
    <row r="10" spans="2:6" x14ac:dyDescent="0.15">
      <c r="B10" s="10" t="s">
        <v>151</v>
      </c>
      <c r="C10" s="10" t="s">
        <v>8</v>
      </c>
      <c r="D10" s="10" t="s">
        <v>152</v>
      </c>
      <c r="E10" s="10" t="s">
        <v>153</v>
      </c>
      <c r="F10" s="10" t="s">
        <v>154</v>
      </c>
    </row>
    <row r="11" spans="2:6" x14ac:dyDescent="0.15">
      <c r="B11" s="10" t="s">
        <v>155</v>
      </c>
      <c r="C11" s="10" t="s">
        <v>10</v>
      </c>
      <c r="D11" s="10" t="s">
        <v>156</v>
      </c>
      <c r="E11" s="10" t="s">
        <v>157</v>
      </c>
      <c r="F11" s="10" t="s">
        <v>158</v>
      </c>
    </row>
    <row r="12" spans="2:6" x14ac:dyDescent="0.15">
      <c r="B12" s="10" t="s">
        <v>159</v>
      </c>
      <c r="C12" s="10" t="s">
        <v>11</v>
      </c>
      <c r="D12" s="10" t="s">
        <v>160</v>
      </c>
      <c r="E12" s="10" t="s">
        <v>161</v>
      </c>
      <c r="F12" s="10" t="s">
        <v>162</v>
      </c>
    </row>
    <row r="13" spans="2:6" x14ac:dyDescent="0.15">
      <c r="B13" s="10" t="s">
        <v>163</v>
      </c>
      <c r="C13" s="10" t="s">
        <v>12</v>
      </c>
      <c r="D13" s="10" t="s">
        <v>164</v>
      </c>
      <c r="E13" s="10" t="s">
        <v>165</v>
      </c>
      <c r="F13" s="10" t="s">
        <v>166</v>
      </c>
    </row>
    <row r="14" spans="2:6" x14ac:dyDescent="0.15">
      <c r="B14" s="10" t="s">
        <v>167</v>
      </c>
      <c r="C14" s="10" t="s">
        <v>13</v>
      </c>
      <c r="D14" s="10" t="s">
        <v>168</v>
      </c>
      <c r="E14" s="10" t="s">
        <v>169</v>
      </c>
      <c r="F14" s="10" t="s">
        <v>170</v>
      </c>
    </row>
    <row r="15" spans="2:6" x14ac:dyDescent="0.15">
      <c r="B15" s="10" t="s">
        <v>171</v>
      </c>
      <c r="C15" s="10" t="s">
        <v>14</v>
      </c>
      <c r="D15" s="10" t="s">
        <v>172</v>
      </c>
      <c r="E15" s="10" t="s">
        <v>173</v>
      </c>
      <c r="F15" s="10" t="s">
        <v>174</v>
      </c>
    </row>
    <row r="16" spans="2:6" x14ac:dyDescent="0.15">
      <c r="B16" s="10" t="s">
        <v>175</v>
      </c>
      <c r="C16" s="10" t="s">
        <v>15</v>
      </c>
      <c r="D16" s="10" t="s">
        <v>176</v>
      </c>
      <c r="E16" s="10" t="s">
        <v>177</v>
      </c>
      <c r="F16" s="10" t="s">
        <v>178</v>
      </c>
    </row>
    <row r="17" spans="2:6" x14ac:dyDescent="0.15">
      <c r="B17" s="10" t="s">
        <v>179</v>
      </c>
      <c r="C17" s="10" t="s">
        <v>16</v>
      </c>
      <c r="D17" s="10" t="s">
        <v>180</v>
      </c>
      <c r="E17" s="10" t="s">
        <v>181</v>
      </c>
      <c r="F17" s="10" t="s">
        <v>182</v>
      </c>
    </row>
    <row r="18" spans="2:6" x14ac:dyDescent="0.15">
      <c r="B18" s="10" t="s">
        <v>183</v>
      </c>
      <c r="C18" s="10" t="s">
        <v>17</v>
      </c>
      <c r="D18" s="10" t="s">
        <v>184</v>
      </c>
      <c r="E18" s="10" t="s">
        <v>185</v>
      </c>
      <c r="F18" s="10" t="s">
        <v>186</v>
      </c>
    </row>
    <row r="19" spans="2:6" x14ac:dyDescent="0.15">
      <c r="B19" s="10" t="s">
        <v>187</v>
      </c>
      <c r="C19" s="10" t="s">
        <v>18</v>
      </c>
      <c r="D19" s="10" t="s">
        <v>188</v>
      </c>
      <c r="E19" s="10" t="s">
        <v>189</v>
      </c>
      <c r="F19" s="10" t="s">
        <v>190</v>
      </c>
    </row>
    <row r="20" spans="2:6" x14ac:dyDescent="0.15">
      <c r="B20" s="10" t="s">
        <v>191</v>
      </c>
      <c r="C20" s="10" t="s">
        <v>19</v>
      </c>
      <c r="D20" s="10" t="s">
        <v>192</v>
      </c>
      <c r="E20" s="10" t="s">
        <v>193</v>
      </c>
      <c r="F20" s="10" t="s">
        <v>194</v>
      </c>
    </row>
    <row r="21" spans="2:6" x14ac:dyDescent="0.15">
      <c r="B21" s="10" t="s">
        <v>195</v>
      </c>
      <c r="C21" s="10" t="s">
        <v>20</v>
      </c>
      <c r="D21" s="10" t="s">
        <v>196</v>
      </c>
      <c r="E21" s="10" t="s">
        <v>197</v>
      </c>
      <c r="F21" s="10" t="s">
        <v>198</v>
      </c>
    </row>
    <row r="22" spans="2:6" x14ac:dyDescent="0.15">
      <c r="B22" s="10" t="s">
        <v>199</v>
      </c>
      <c r="C22" s="10" t="s">
        <v>21</v>
      </c>
      <c r="D22" s="10" t="s">
        <v>200</v>
      </c>
      <c r="E22" s="10" t="s">
        <v>201</v>
      </c>
      <c r="F22" s="10" t="s">
        <v>202</v>
      </c>
    </row>
    <row r="23" spans="2:6" x14ac:dyDescent="0.15">
      <c r="B23" s="10" t="s">
        <v>203</v>
      </c>
      <c r="C23" s="10" t="s">
        <v>22</v>
      </c>
      <c r="D23" s="10" t="s">
        <v>204</v>
      </c>
      <c r="E23" s="10" t="s">
        <v>205</v>
      </c>
      <c r="F23" s="10" t="s">
        <v>206</v>
      </c>
    </row>
    <row r="24" spans="2:6" x14ac:dyDescent="0.15">
      <c r="B24" s="10" t="s">
        <v>207</v>
      </c>
      <c r="C24" s="10" t="s">
        <v>23</v>
      </c>
      <c r="D24" s="10" t="s">
        <v>208</v>
      </c>
      <c r="E24" s="10" t="s">
        <v>209</v>
      </c>
      <c r="F24" s="10" t="s">
        <v>210</v>
      </c>
    </row>
    <row r="25" spans="2:6" x14ac:dyDescent="0.15">
      <c r="B25" s="10" t="s">
        <v>211</v>
      </c>
      <c r="C25" s="10" t="s">
        <v>24</v>
      </c>
      <c r="D25" s="10" t="s">
        <v>212</v>
      </c>
      <c r="E25" s="10" t="s">
        <v>213</v>
      </c>
      <c r="F25" s="10" t="s">
        <v>214</v>
      </c>
    </row>
    <row r="26" spans="2:6" x14ac:dyDescent="0.15">
      <c r="B26" s="10" t="s">
        <v>215</v>
      </c>
      <c r="C26" s="10" t="s">
        <v>25</v>
      </c>
      <c r="D26" s="10" t="s">
        <v>216</v>
      </c>
      <c r="E26" s="10" t="s">
        <v>217</v>
      </c>
      <c r="F26" s="10" t="s">
        <v>218</v>
      </c>
    </row>
    <row r="27" spans="2:6" x14ac:dyDescent="0.15">
      <c r="B27" s="10" t="s">
        <v>219</v>
      </c>
      <c r="C27" s="10" t="s">
        <v>26</v>
      </c>
      <c r="D27" s="10" t="s">
        <v>220</v>
      </c>
      <c r="E27" s="10" t="s">
        <v>221</v>
      </c>
      <c r="F27" s="10" t="s">
        <v>222</v>
      </c>
    </row>
    <row r="28" spans="2:6" x14ac:dyDescent="0.15">
      <c r="B28" s="10" t="s">
        <v>223</v>
      </c>
      <c r="C28" s="10" t="s">
        <v>27</v>
      </c>
      <c r="D28" s="10" t="s">
        <v>224</v>
      </c>
      <c r="E28" s="10" t="s">
        <v>225</v>
      </c>
      <c r="F28" s="10" t="s">
        <v>226</v>
      </c>
    </row>
    <row r="29" spans="2:6" x14ac:dyDescent="0.15">
      <c r="B29" s="10" t="s">
        <v>227</v>
      </c>
      <c r="C29" s="10" t="s">
        <v>28</v>
      </c>
      <c r="D29" s="10" t="s">
        <v>228</v>
      </c>
      <c r="E29" s="10" t="s">
        <v>229</v>
      </c>
      <c r="F29" s="10" t="s">
        <v>230</v>
      </c>
    </row>
    <row r="30" spans="2:6" x14ac:dyDescent="0.15">
      <c r="B30" s="10" t="s">
        <v>231</v>
      </c>
      <c r="C30" s="10" t="s">
        <v>29</v>
      </c>
      <c r="D30" s="10" t="s">
        <v>232</v>
      </c>
      <c r="E30" s="10" t="s">
        <v>233</v>
      </c>
      <c r="F30" s="10" t="s">
        <v>234</v>
      </c>
    </row>
    <row r="31" spans="2:6" x14ac:dyDescent="0.15">
      <c r="B31" s="10" t="s">
        <v>235</v>
      </c>
      <c r="C31" s="10" t="s">
        <v>236</v>
      </c>
      <c r="D31" s="10" t="s">
        <v>237</v>
      </c>
      <c r="E31" s="10" t="s">
        <v>238</v>
      </c>
      <c r="F31" s="10" t="s">
        <v>239</v>
      </c>
    </row>
    <row r="32" spans="2:6" x14ac:dyDescent="0.15">
      <c r="B32" s="10" t="s">
        <v>240</v>
      </c>
      <c r="C32" s="10" t="s">
        <v>241</v>
      </c>
      <c r="D32" s="10" t="s">
        <v>242</v>
      </c>
      <c r="E32" s="10" t="s">
        <v>243</v>
      </c>
      <c r="F32" s="10" t="s">
        <v>244</v>
      </c>
    </row>
    <row r="33" spans="2:6" x14ac:dyDescent="0.15">
      <c r="B33" s="10" t="s">
        <v>245</v>
      </c>
      <c r="C33" s="10" t="s">
        <v>246</v>
      </c>
      <c r="D33" s="10" t="s">
        <v>247</v>
      </c>
      <c r="E33" s="10" t="s">
        <v>248</v>
      </c>
      <c r="F33" s="10" t="s">
        <v>249</v>
      </c>
    </row>
    <row r="34" spans="2:6" x14ac:dyDescent="0.15">
      <c r="B34" s="10" t="s">
        <v>250</v>
      </c>
      <c r="C34" s="10" t="s">
        <v>251</v>
      </c>
      <c r="D34" s="10" t="s">
        <v>252</v>
      </c>
      <c r="E34" s="10" t="s">
        <v>253</v>
      </c>
      <c r="F34" s="10" t="s">
        <v>254</v>
      </c>
    </row>
    <row r="35" spans="2:6" x14ac:dyDescent="0.15">
      <c r="B35" s="10" t="s">
        <v>255</v>
      </c>
      <c r="C35" s="10" t="s">
        <v>256</v>
      </c>
      <c r="D35" s="10" t="s">
        <v>257</v>
      </c>
      <c r="E35" s="10" t="s">
        <v>258</v>
      </c>
      <c r="F35" s="10" t="s">
        <v>259</v>
      </c>
    </row>
    <row r="36" spans="2:6" x14ac:dyDescent="0.15">
      <c r="B36" s="10" t="s">
        <v>260</v>
      </c>
      <c r="C36" s="10" t="s">
        <v>261</v>
      </c>
      <c r="D36" s="10" t="s">
        <v>262</v>
      </c>
      <c r="E36" s="10" t="s">
        <v>263</v>
      </c>
      <c r="F36" s="10" t="s">
        <v>264</v>
      </c>
    </row>
    <row r="37" spans="2:6" x14ac:dyDescent="0.15">
      <c r="B37" s="10" t="s">
        <v>265</v>
      </c>
      <c r="C37" s="10" t="s">
        <v>36</v>
      </c>
      <c r="D37" s="10" t="s">
        <v>266</v>
      </c>
      <c r="E37" s="10" t="s">
        <v>267</v>
      </c>
      <c r="F37" s="10" t="s">
        <v>268</v>
      </c>
    </row>
    <row r="38" spans="2:6" x14ac:dyDescent="0.15">
      <c r="B38" s="10" t="s">
        <v>269</v>
      </c>
      <c r="C38" s="10" t="s">
        <v>37</v>
      </c>
      <c r="D38" s="10" t="s">
        <v>270</v>
      </c>
      <c r="E38" s="10" t="s">
        <v>271</v>
      </c>
      <c r="F38" s="10" t="s">
        <v>272</v>
      </c>
    </row>
    <row r="39" spans="2:6" x14ac:dyDescent="0.15">
      <c r="B39" s="10" t="s">
        <v>273</v>
      </c>
      <c r="C39" s="10" t="s">
        <v>38</v>
      </c>
      <c r="D39" s="10" t="s">
        <v>274</v>
      </c>
      <c r="E39" s="10" t="s">
        <v>275</v>
      </c>
      <c r="F39" s="10" t="s">
        <v>276</v>
      </c>
    </row>
    <row r="40" spans="2:6" x14ac:dyDescent="0.15">
      <c r="B40" s="10" t="s">
        <v>277</v>
      </c>
      <c r="C40" s="10" t="s">
        <v>39</v>
      </c>
      <c r="D40" s="10" t="s">
        <v>278</v>
      </c>
      <c r="E40" s="10" t="s">
        <v>279</v>
      </c>
      <c r="F40" s="10" t="s">
        <v>280</v>
      </c>
    </row>
    <row r="41" spans="2:6" x14ac:dyDescent="0.15">
      <c r="B41" s="10" t="s">
        <v>281</v>
      </c>
      <c r="C41" s="10" t="s">
        <v>282</v>
      </c>
      <c r="D41" s="10" t="s">
        <v>283</v>
      </c>
      <c r="E41" s="10" t="s">
        <v>284</v>
      </c>
      <c r="F41" s="10" t="s">
        <v>285</v>
      </c>
    </row>
    <row r="42" spans="2:6" x14ac:dyDescent="0.15">
      <c r="B42" s="10" t="s">
        <v>286</v>
      </c>
      <c r="C42" s="10" t="s">
        <v>287</v>
      </c>
      <c r="D42" s="10" t="s">
        <v>288</v>
      </c>
      <c r="E42" s="10" t="s">
        <v>289</v>
      </c>
      <c r="F42" s="10" t="s">
        <v>290</v>
      </c>
    </row>
    <row r="43" spans="2:6" x14ac:dyDescent="0.15">
      <c r="B43" s="10" t="s">
        <v>291</v>
      </c>
      <c r="C43" s="10" t="s">
        <v>292</v>
      </c>
      <c r="D43" s="10" t="s">
        <v>293</v>
      </c>
      <c r="E43" s="10" t="s">
        <v>294</v>
      </c>
      <c r="F43" s="10" t="s">
        <v>295</v>
      </c>
    </row>
    <row r="44" spans="2:6" x14ac:dyDescent="0.15">
      <c r="B44" s="10" t="s">
        <v>296</v>
      </c>
      <c r="C44" s="10" t="s">
        <v>43</v>
      </c>
      <c r="D44" s="10" t="s">
        <v>297</v>
      </c>
      <c r="E44" s="10" t="s">
        <v>298</v>
      </c>
      <c r="F44" s="10" t="s">
        <v>299</v>
      </c>
    </row>
    <row r="45" spans="2:6" x14ac:dyDescent="0.15">
      <c r="B45" s="10" t="s">
        <v>300</v>
      </c>
      <c r="C45" s="10" t="s">
        <v>44</v>
      </c>
      <c r="D45" s="10" t="s">
        <v>301</v>
      </c>
      <c r="E45" s="10" t="s">
        <v>302</v>
      </c>
      <c r="F45" s="10" t="s">
        <v>303</v>
      </c>
    </row>
    <row r="46" spans="2:6" x14ac:dyDescent="0.15">
      <c r="B46" s="10" t="s">
        <v>304</v>
      </c>
      <c r="C46" s="10" t="s">
        <v>45</v>
      </c>
      <c r="D46" s="10" t="s">
        <v>305</v>
      </c>
      <c r="E46" s="10" t="s">
        <v>306</v>
      </c>
      <c r="F46" s="10" t="s">
        <v>307</v>
      </c>
    </row>
    <row r="47" spans="2:6" x14ac:dyDescent="0.15">
      <c r="B47" s="10" t="s">
        <v>308</v>
      </c>
      <c r="C47" s="10" t="s">
        <v>46</v>
      </c>
      <c r="D47" s="10" t="s">
        <v>309</v>
      </c>
      <c r="E47" s="10" t="s">
        <v>310</v>
      </c>
      <c r="F47" s="10" t="s">
        <v>311</v>
      </c>
    </row>
    <row r="48" spans="2:6" x14ac:dyDescent="0.15">
      <c r="B48" s="10" t="s">
        <v>312</v>
      </c>
      <c r="C48" s="10" t="s">
        <v>47</v>
      </c>
      <c r="D48" s="10" t="s">
        <v>313</v>
      </c>
      <c r="E48" s="10" t="s">
        <v>314</v>
      </c>
      <c r="F48" s="10" t="s">
        <v>315</v>
      </c>
    </row>
    <row r="49" spans="2:6" x14ac:dyDescent="0.15">
      <c r="B49" s="10" t="s">
        <v>316</v>
      </c>
      <c r="C49" s="10" t="s">
        <v>48</v>
      </c>
      <c r="D49" s="10" t="s">
        <v>317</v>
      </c>
      <c r="E49" s="10" t="s">
        <v>318</v>
      </c>
      <c r="F49" s="10" t="s">
        <v>319</v>
      </c>
    </row>
    <row r="50" spans="2:6" x14ac:dyDescent="0.15">
      <c r="B50" s="10" t="s">
        <v>320</v>
      </c>
      <c r="C50" s="10" t="s">
        <v>321</v>
      </c>
      <c r="D50" s="10" t="s">
        <v>322</v>
      </c>
      <c r="E50" s="10" t="s">
        <v>323</v>
      </c>
      <c r="F50" s="10" t="s">
        <v>324</v>
      </c>
    </row>
    <row r="51" spans="2:6" x14ac:dyDescent="0.15">
      <c r="B51" s="10" t="s">
        <v>325</v>
      </c>
      <c r="C51" s="10" t="s">
        <v>50</v>
      </c>
      <c r="D51" s="10" t="s">
        <v>326</v>
      </c>
      <c r="E51" s="10" t="s">
        <v>327</v>
      </c>
      <c r="F51" s="10" t="s">
        <v>328</v>
      </c>
    </row>
    <row r="52" spans="2:6" ht="15" thickBot="1" x14ac:dyDescent="0.2">
      <c r="B52" s="11" t="s">
        <v>329</v>
      </c>
      <c r="C52" s="11" t="s">
        <v>51</v>
      </c>
      <c r="D52" s="11" t="s">
        <v>330</v>
      </c>
      <c r="E52" s="11" t="s">
        <v>331</v>
      </c>
      <c r="F52" s="11" t="s">
        <v>332</v>
      </c>
    </row>
  </sheetData>
  <phoneticPr fontId="3" type="noConversion"/>
  <hyperlinks>
    <hyperlink ref="B2" r:id="rId1" tooltip="美国50州简称首府" display="http://114.xixik.com/usa-stats/" xr:uid="{00000000-0004-0000-0600-000000000000}"/>
    <hyperlink ref="C2" r:id="rId2" tooltip="美国50州简称首府" display="http://114.xixik.com/usa-stats/" xr:uid="{00000000-0004-0000-0600-000001000000}"/>
    <hyperlink ref="D2" r:id="rId3" tooltip="美国50州简称首府" display="http://114.xixik.com/usa-stats/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showGridLines="0" topLeftCell="A10" workbookViewId="0"/>
  </sheetViews>
  <sheetFormatPr defaultRowHeight="13.5" x14ac:dyDescent="0.15"/>
  <cols>
    <col min="1" max="1" width="16.125" customWidth="1"/>
    <col min="2" max="2" width="17.25" bestFit="1" customWidth="1"/>
    <col min="3" max="3" width="7.5" bestFit="1" customWidth="1"/>
  </cols>
  <sheetData>
    <row r="1" spans="1:3" ht="15.75" thickBot="1" x14ac:dyDescent="0.2">
      <c r="A1" s="14" t="s">
        <v>350</v>
      </c>
      <c r="B1" s="15"/>
      <c r="C1" s="15"/>
    </row>
    <row r="2" spans="1:3" ht="15.75" thickBot="1" x14ac:dyDescent="0.2">
      <c r="A2" s="6" t="s">
        <v>351</v>
      </c>
      <c r="B2" s="6" t="s">
        <v>352</v>
      </c>
      <c r="C2" s="6" t="s">
        <v>353</v>
      </c>
    </row>
    <row r="3" spans="1:3" ht="15" thickBot="1" x14ac:dyDescent="0.2">
      <c r="A3" s="7" t="s">
        <v>316</v>
      </c>
      <c r="B3" s="7" t="s">
        <v>354</v>
      </c>
      <c r="C3" s="7" t="s">
        <v>317</v>
      </c>
    </row>
    <row r="4" spans="1:3" ht="15" thickBot="1" x14ac:dyDescent="0.2">
      <c r="A4" s="7" t="s">
        <v>356</v>
      </c>
      <c r="B4" s="7" t="s">
        <v>357</v>
      </c>
      <c r="C4" s="7" t="s">
        <v>274</v>
      </c>
    </row>
    <row r="5" spans="1:3" ht="15" thickBot="1" x14ac:dyDescent="0.2">
      <c r="A5" s="7" t="s">
        <v>139</v>
      </c>
      <c r="B5" s="7" t="s">
        <v>359</v>
      </c>
      <c r="C5" s="7" t="s">
        <v>140</v>
      </c>
    </row>
    <row r="6" spans="1:3" ht="15" thickBot="1" x14ac:dyDescent="0.2">
      <c r="A6" s="7" t="s">
        <v>231</v>
      </c>
      <c r="B6" s="7" t="s">
        <v>361</v>
      </c>
      <c r="C6" s="7" t="s">
        <v>232</v>
      </c>
    </row>
    <row r="7" spans="1:3" ht="15" thickBot="1" x14ac:dyDescent="0.2">
      <c r="A7" s="7" t="s">
        <v>167</v>
      </c>
      <c r="B7" s="7" t="s">
        <v>363</v>
      </c>
      <c r="C7" s="7" t="s">
        <v>168</v>
      </c>
    </row>
    <row r="8" spans="1:3" ht="15" thickBot="1" x14ac:dyDescent="0.2">
      <c r="A8" s="7" t="s">
        <v>304</v>
      </c>
      <c r="B8" s="7" t="s">
        <v>45</v>
      </c>
      <c r="C8" s="7" t="s">
        <v>305</v>
      </c>
    </row>
    <row r="9" spans="1:3" ht="15" thickBot="1" x14ac:dyDescent="0.2">
      <c r="A9" s="7" t="s">
        <v>131</v>
      </c>
      <c r="B9" s="7" t="s">
        <v>367</v>
      </c>
      <c r="C9" s="7" t="s">
        <v>132</v>
      </c>
    </row>
    <row r="10" spans="1:3" ht="15" thickBot="1" x14ac:dyDescent="0.2">
      <c r="A10" s="7" t="s">
        <v>223</v>
      </c>
      <c r="B10" s="7" t="s">
        <v>369</v>
      </c>
      <c r="C10" s="7" t="s">
        <v>224</v>
      </c>
    </row>
    <row r="11" spans="1:3" ht="15" thickBot="1" x14ac:dyDescent="0.2">
      <c r="A11" s="7" t="s">
        <v>329</v>
      </c>
      <c r="B11" s="7" t="s">
        <v>51</v>
      </c>
      <c r="C11" s="7" t="s">
        <v>371</v>
      </c>
    </row>
    <row r="12" spans="1:3" ht="15" thickBot="1" x14ac:dyDescent="0.2">
      <c r="A12" s="7" t="s">
        <v>143</v>
      </c>
      <c r="B12" s="7" t="s">
        <v>373</v>
      </c>
      <c r="C12" s="7" t="s">
        <v>144</v>
      </c>
    </row>
    <row r="13" spans="1:3" ht="15" thickBot="1" x14ac:dyDescent="0.2">
      <c r="A13" s="7" t="s">
        <v>245</v>
      </c>
      <c r="B13" s="7" t="s">
        <v>375</v>
      </c>
      <c r="C13" s="7" t="s">
        <v>247</v>
      </c>
    </row>
    <row r="14" spans="1:3" ht="15" thickBot="1" x14ac:dyDescent="0.2">
      <c r="A14" s="7" t="s">
        <v>260</v>
      </c>
      <c r="B14" s="7" t="s">
        <v>355</v>
      </c>
      <c r="C14" s="7" t="s">
        <v>262</v>
      </c>
    </row>
    <row r="15" spans="1:3" ht="15" thickBot="1" x14ac:dyDescent="0.2">
      <c r="A15" s="7" t="s">
        <v>291</v>
      </c>
      <c r="B15" s="7" t="s">
        <v>358</v>
      </c>
      <c r="C15" s="7" t="s">
        <v>293</v>
      </c>
    </row>
    <row r="16" spans="1:3" ht="15" thickBot="1" x14ac:dyDescent="0.2">
      <c r="A16" s="7" t="s">
        <v>227</v>
      </c>
      <c r="B16" s="7" t="s">
        <v>360</v>
      </c>
      <c r="C16" s="7" t="s">
        <v>228</v>
      </c>
    </row>
    <row r="17" spans="1:3" ht="15" thickBot="1" x14ac:dyDescent="0.2">
      <c r="A17" s="7" t="s">
        <v>183</v>
      </c>
      <c r="B17" s="7" t="s">
        <v>362</v>
      </c>
      <c r="C17" s="7" t="s">
        <v>184</v>
      </c>
    </row>
    <row r="18" spans="1:3" ht="15" thickBot="1" x14ac:dyDescent="0.2">
      <c r="A18" s="7" t="s">
        <v>269</v>
      </c>
      <c r="B18" s="7" t="s">
        <v>364</v>
      </c>
      <c r="C18" s="7" t="s">
        <v>270</v>
      </c>
    </row>
    <row r="19" spans="1:3" ht="15" thickBot="1" x14ac:dyDescent="0.2">
      <c r="A19" s="7" t="s">
        <v>365</v>
      </c>
      <c r="B19" s="7" t="s">
        <v>366</v>
      </c>
      <c r="C19" s="7" t="s">
        <v>301</v>
      </c>
    </row>
    <row r="20" spans="1:3" ht="15" thickBot="1" x14ac:dyDescent="0.2">
      <c r="A20" s="7" t="s">
        <v>211</v>
      </c>
      <c r="B20" s="7" t="s">
        <v>368</v>
      </c>
      <c r="C20" s="7" t="s">
        <v>212</v>
      </c>
    </row>
    <row r="21" spans="1:3" ht="15" thickBot="1" x14ac:dyDescent="0.2">
      <c r="A21" s="7" t="s">
        <v>179</v>
      </c>
      <c r="B21" s="7" t="s">
        <v>370</v>
      </c>
      <c r="C21" s="7" t="s">
        <v>180</v>
      </c>
    </row>
    <row r="22" spans="1:3" ht="15" thickBot="1" x14ac:dyDescent="0.2">
      <c r="A22" s="7" t="s">
        <v>219</v>
      </c>
      <c r="B22" s="7" t="s">
        <v>372</v>
      </c>
      <c r="C22" s="7" t="s">
        <v>220</v>
      </c>
    </row>
    <row r="23" spans="1:3" ht="15" thickBot="1" x14ac:dyDescent="0.2">
      <c r="A23" s="7" t="s">
        <v>135</v>
      </c>
      <c r="B23" s="7" t="s">
        <v>374</v>
      </c>
      <c r="C23" s="7" t="s">
        <v>136</v>
      </c>
    </row>
    <row r="24" spans="1:3" ht="15" thickBot="1" x14ac:dyDescent="0.2">
      <c r="A24" s="7" t="s">
        <v>191</v>
      </c>
      <c r="B24" s="7" t="s">
        <v>376</v>
      </c>
      <c r="C24" s="7" t="s">
        <v>192</v>
      </c>
    </row>
    <row r="25" spans="1:3" ht="15" thickBot="1" x14ac:dyDescent="0.2">
      <c r="A25" s="12"/>
      <c r="B25" s="13"/>
      <c r="C25" s="13"/>
    </row>
    <row r="26" spans="1:3" ht="15.75" thickBot="1" x14ac:dyDescent="0.2">
      <c r="A26" s="14" t="s">
        <v>377</v>
      </c>
      <c r="B26" s="15"/>
      <c r="C26" s="15"/>
    </row>
    <row r="27" spans="1:3" ht="15.75" thickBot="1" x14ac:dyDescent="0.2">
      <c r="A27" s="6" t="s">
        <v>351</v>
      </c>
      <c r="B27" s="6" t="s">
        <v>352</v>
      </c>
      <c r="C27" s="6" t="s">
        <v>353</v>
      </c>
    </row>
    <row r="28" spans="1:3" ht="15" thickBot="1" x14ac:dyDescent="0.2">
      <c r="A28" s="7" t="s">
        <v>378</v>
      </c>
      <c r="B28" s="7" t="s">
        <v>379</v>
      </c>
      <c r="C28" s="7" t="s">
        <v>326</v>
      </c>
    </row>
    <row r="29" spans="1:3" ht="15" thickBot="1" x14ac:dyDescent="0.2">
      <c r="A29" s="7" t="s">
        <v>381</v>
      </c>
      <c r="B29" s="7" t="s">
        <v>382</v>
      </c>
      <c r="C29" s="7" t="s">
        <v>172</v>
      </c>
    </row>
    <row r="30" spans="1:3" ht="15" thickBot="1" x14ac:dyDescent="0.2">
      <c r="A30" s="7" t="s">
        <v>296</v>
      </c>
      <c r="B30" s="7" t="s">
        <v>384</v>
      </c>
      <c r="C30" s="7" t="s">
        <v>297</v>
      </c>
    </row>
    <row r="31" spans="1:3" ht="15" thickBot="1" x14ac:dyDescent="0.2">
      <c r="A31" s="7" t="s">
        <v>215</v>
      </c>
      <c r="B31" s="7" t="s">
        <v>386</v>
      </c>
      <c r="C31" s="7" t="s">
        <v>216</v>
      </c>
    </row>
    <row r="32" spans="1:3" ht="15" thickBot="1" x14ac:dyDescent="0.2">
      <c r="A32" s="7" t="s">
        <v>207</v>
      </c>
      <c r="B32" s="7" t="s">
        <v>389</v>
      </c>
      <c r="C32" s="7" t="s">
        <v>208</v>
      </c>
    </row>
    <row r="33" spans="1:3" ht="15" thickBot="1" x14ac:dyDescent="0.2">
      <c r="A33" s="7" t="s">
        <v>391</v>
      </c>
      <c r="B33" s="7" t="s">
        <v>392</v>
      </c>
      <c r="C33" s="7" t="s">
        <v>168</v>
      </c>
    </row>
    <row r="34" spans="1:3" ht="15" thickBot="1" x14ac:dyDescent="0.2">
      <c r="A34" s="7" t="s">
        <v>187</v>
      </c>
      <c r="B34" s="7" t="s">
        <v>393</v>
      </c>
      <c r="C34" s="7" t="s">
        <v>188</v>
      </c>
    </row>
    <row r="35" spans="1:3" ht="15" thickBot="1" x14ac:dyDescent="0.2">
      <c r="A35" s="7" t="s">
        <v>123</v>
      </c>
      <c r="B35" s="7" t="s">
        <v>395</v>
      </c>
      <c r="C35" s="7" t="s">
        <v>124</v>
      </c>
    </row>
    <row r="36" spans="1:3" ht="15" thickBot="1" x14ac:dyDescent="0.2">
      <c r="A36" s="7" t="s">
        <v>265</v>
      </c>
      <c r="B36" s="7" t="s">
        <v>36</v>
      </c>
      <c r="C36" s="7" t="s">
        <v>266</v>
      </c>
    </row>
    <row r="37" spans="1:3" ht="15" thickBot="1" x14ac:dyDescent="0.2">
      <c r="A37" s="7" t="s">
        <v>320</v>
      </c>
      <c r="B37" s="7" t="s">
        <v>49</v>
      </c>
      <c r="C37" s="7" t="s">
        <v>322</v>
      </c>
    </row>
    <row r="38" spans="1:3" ht="15" thickBot="1" x14ac:dyDescent="0.2">
      <c r="A38" s="7" t="s">
        <v>312</v>
      </c>
      <c r="B38" s="7" t="s">
        <v>401</v>
      </c>
      <c r="C38" s="7" t="s">
        <v>313</v>
      </c>
    </row>
    <row r="39" spans="1:3" ht="15" thickBot="1" x14ac:dyDescent="0.2">
      <c r="A39" s="7" t="s">
        <v>255</v>
      </c>
      <c r="B39" s="7" t="s">
        <v>403</v>
      </c>
      <c r="C39" s="7" t="s">
        <v>257</v>
      </c>
    </row>
    <row r="40" spans="1:3" ht="15" thickBot="1" x14ac:dyDescent="0.2">
      <c r="A40" s="7" t="s">
        <v>286</v>
      </c>
      <c r="B40" s="7" t="s">
        <v>405</v>
      </c>
      <c r="C40" s="7" t="s">
        <v>288</v>
      </c>
    </row>
    <row r="41" spans="1:3" ht="15" thickBot="1" x14ac:dyDescent="0.2">
      <c r="A41" s="7" t="s">
        <v>407</v>
      </c>
      <c r="B41" s="7" t="s">
        <v>408</v>
      </c>
      <c r="C41" s="7" t="s">
        <v>409</v>
      </c>
    </row>
    <row r="42" spans="1:3" ht="15" thickBot="1" x14ac:dyDescent="0.2">
      <c r="A42" s="7" t="s">
        <v>155</v>
      </c>
      <c r="B42" s="7" t="s">
        <v>380</v>
      </c>
      <c r="C42" s="7" t="s">
        <v>156</v>
      </c>
    </row>
    <row r="43" spans="1:3" ht="15" thickBot="1" x14ac:dyDescent="0.2">
      <c r="A43" s="7" t="s">
        <v>277</v>
      </c>
      <c r="B43" s="7" t="s">
        <v>383</v>
      </c>
      <c r="C43" s="7" t="s">
        <v>278</v>
      </c>
    </row>
    <row r="44" spans="1:3" ht="15" thickBot="1" x14ac:dyDescent="0.2">
      <c r="A44" s="7" t="s">
        <v>250</v>
      </c>
      <c r="B44" s="7" t="s">
        <v>385</v>
      </c>
      <c r="C44" s="7" t="s">
        <v>252</v>
      </c>
    </row>
    <row r="45" spans="1:3" ht="15" thickBot="1" x14ac:dyDescent="0.2">
      <c r="A45" s="7" t="s">
        <v>387</v>
      </c>
      <c r="B45" s="7" t="s">
        <v>388</v>
      </c>
      <c r="C45" s="7" t="s">
        <v>337</v>
      </c>
    </row>
    <row r="46" spans="1:3" ht="15" thickBot="1" x14ac:dyDescent="0.2">
      <c r="A46" s="7" t="s">
        <v>199</v>
      </c>
      <c r="B46" s="7" t="s">
        <v>390</v>
      </c>
      <c r="C46" s="7" t="s">
        <v>200</v>
      </c>
    </row>
    <row r="47" spans="1:3" ht="15" thickBot="1" x14ac:dyDescent="0.2">
      <c r="A47" s="7" t="s">
        <v>151</v>
      </c>
      <c r="B47" s="7" t="s">
        <v>8</v>
      </c>
      <c r="C47" s="7" t="s">
        <v>152</v>
      </c>
    </row>
    <row r="48" spans="1:3" ht="15" thickBot="1" x14ac:dyDescent="0.2">
      <c r="A48" s="7" t="s">
        <v>240</v>
      </c>
      <c r="B48" s="7" t="s">
        <v>394</v>
      </c>
      <c r="C48" s="7" t="s">
        <v>242</v>
      </c>
    </row>
    <row r="49" spans="1:3" ht="15" thickBot="1" x14ac:dyDescent="0.2">
      <c r="A49" s="7" t="s">
        <v>147</v>
      </c>
      <c r="B49" s="7" t="s">
        <v>396</v>
      </c>
      <c r="C49" s="7" t="s">
        <v>148</v>
      </c>
    </row>
    <row r="50" spans="1:3" ht="15" thickBot="1" x14ac:dyDescent="0.2">
      <c r="A50" s="7" t="s">
        <v>397</v>
      </c>
      <c r="B50" s="7" t="s">
        <v>398</v>
      </c>
      <c r="C50" s="7" t="s">
        <v>283</v>
      </c>
    </row>
    <row r="51" spans="1:3" ht="15" thickBot="1" x14ac:dyDescent="0.2">
      <c r="A51" s="7" t="s">
        <v>399</v>
      </c>
      <c r="B51" s="7" t="s">
        <v>400</v>
      </c>
      <c r="C51" s="7" t="s">
        <v>204</v>
      </c>
    </row>
    <row r="52" spans="1:3" ht="15" thickBot="1" x14ac:dyDescent="0.2">
      <c r="A52" s="7" t="s">
        <v>195</v>
      </c>
      <c r="B52" s="7" t="s">
        <v>402</v>
      </c>
      <c r="C52" s="7" t="s">
        <v>196</v>
      </c>
    </row>
    <row r="53" spans="1:3" ht="15" thickBot="1" x14ac:dyDescent="0.2">
      <c r="A53" s="7" t="s">
        <v>235</v>
      </c>
      <c r="B53" s="7" t="s">
        <v>404</v>
      </c>
      <c r="C53" s="7" t="s">
        <v>237</v>
      </c>
    </row>
    <row r="54" spans="1:3" ht="15" thickBot="1" x14ac:dyDescent="0.2">
      <c r="A54" s="7" t="s">
        <v>308</v>
      </c>
      <c r="B54" s="7" t="s">
        <v>406</v>
      </c>
      <c r="C54" s="7" t="s">
        <v>309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参考数据</vt:lpstr>
      <vt:lpstr>参考资料</vt:lpstr>
      <vt:lpstr>分区域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2018-11-10T13:36:28Z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50671b33-81d0-4e5c-81a8-53c32746de94</vt:lpwstr>
  </property>
</Properties>
</file>