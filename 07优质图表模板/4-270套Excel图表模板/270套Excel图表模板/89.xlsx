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9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9" l="1"/>
  <c r="D7" i="19"/>
  <c r="D8" i="19"/>
  <c r="D9" i="19"/>
  <c r="D10" i="19"/>
  <c r="D11" i="19"/>
  <c r="D5" i="19"/>
  <c r="E4" i="19" l="1"/>
  <c r="E5" i="19"/>
  <c r="E8" i="19" l="1"/>
  <c r="E11" i="19"/>
  <c r="E7" i="19"/>
  <c r="E10" i="19"/>
  <c r="E6" i="19"/>
  <c r="E9" i="19"/>
  <c r="F7" i="19" l="1"/>
  <c r="F11" i="19"/>
  <c r="F8" i="19"/>
  <c r="F4" i="19"/>
  <c r="F5" i="19"/>
  <c r="F9" i="19"/>
  <c r="F6" i="19"/>
  <c r="F10" i="19"/>
</calcChain>
</file>

<file path=xl/sharedStrings.xml><?xml version="1.0" encoding="utf-8"?>
<sst xmlns="http://schemas.openxmlformats.org/spreadsheetml/2006/main" count="20" uniqueCount="20">
  <si>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</si>
  <si>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</si>
  <si>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</si>
  <si>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B区</t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</si>
  <si>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</si>
  <si>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</si>
  <si>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</si>
  <si>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</si>
  <si>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R产品</t>
    <phoneticPr fontId="2" type="noConversion"/>
  </si>
  <si>
    <t>Q产品</t>
    <phoneticPr fontId="2" type="noConversion"/>
  </si>
  <si>
    <t>F产品</t>
    <phoneticPr fontId="2" type="noConversion"/>
  </si>
  <si>
    <t>序号</t>
    <phoneticPr fontId="2" type="noConversion"/>
  </si>
  <si>
    <t>不良内容</t>
    <phoneticPr fontId="2" type="noConversion"/>
  </si>
  <si>
    <t>不良数</t>
    <phoneticPr fontId="2" type="noConversion"/>
  </si>
  <si>
    <t>影响度</t>
    <phoneticPr fontId="2" type="noConversion"/>
  </si>
  <si>
    <t>累积影响度</t>
    <phoneticPr fontId="2" type="noConversion"/>
  </si>
  <si>
    <t>辅助列</t>
    <phoneticPr fontId="2" type="noConversion"/>
  </si>
  <si>
    <t>产品不良率分析</t>
    <phoneticPr fontId="2" type="noConversion"/>
  </si>
  <si>
    <t>视频中大于80%的标签没有随变动，原因如下：</t>
    <phoneticPr fontId="2" type="noConversion"/>
  </si>
  <si>
    <t>当选择散点数据标签的时候，点击一下散点就可以，不需要点击两下，点击两下，是单独设置一个点的标签，虽然散点图只显示了一个点，但是很多#N/A其实也是点，就是隐藏了而已，所以，点击一下标签就ok~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</si>
</sst>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1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45F2D"/>
      <color rgb="FFBED7E6"/>
      <color rgb="FF8CC7E5"/>
      <color rgb="FF2B96B0"/>
      <color rgb="FF325E94"/>
      <color rgb="FF347791"/>
      <color rgb="FF345BAA"/>
      <color rgb="FF6387CF"/>
      <color rgb="FFD8E4EB"/>
      <color rgb="FFB7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'89'!$B$2</c:f>
          <c:strCache>
            <c:ptCount val="1"/>
            <c:pt idx="0">
              <c:v>产品不良率分析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'89'!$C$3</c:f>
              <c:strCache>
                <c:ptCount val="1"/>
                <c:pt idx="0">
                  <c:v>不良数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'89'!$B$5:$B$11</c:f>
              <c:strCache>
                <c:ptCount val="7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R产品</c:v>
                </c:pt>
                <c:pt idx="5">
                  <c:v>Q产品</c:v>
                </c:pt>
                <c:pt idx="6">
                  <c:v>F产品</c:v>
                </c:pt>
              </c:strCache>
            </c:strRef>
          </c:cat>
          <c:val>
            <c:numRef>
              <c:f>'89'!$C$5:$C$11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2633056"/>
        <c:axId val="382637952"/>
      </c:barChart>
      <c:lineChart>
        <c:grouping val="standard"/>
        <c:varyColors val="0"/>
        <c:ser>
          <c:idx val="1"/>
          <c:order val="1"/>
          <c:tx>
            <c:strRef>
              <c:f>'89'!$E$3</c:f>
              <c:strCache>
                <c:ptCount val="1"/>
                <c:pt idx="0">
                  <c:v>累积影响度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'89'!$E$4:$E$11</c:f>
              <c:numCache>
                <c:formatCode>0%</c:formatCode>
                <c:ptCount val="8"/>
                <c:pt idx="0">
                  <c:v>0</c:v>
                </c:pt>
                <c:pt idx="1">
                  <c:v>0.22222222222222221</c:v>
                </c:pt>
                <c:pt idx="2">
                  <c:v>0.42222222222222222</c:v>
                </c:pt>
                <c:pt idx="3">
                  <c:v>0.62222222222222223</c:v>
                </c:pt>
                <c:pt idx="4">
                  <c:v>0.8</c:v>
                </c:pt>
                <c:pt idx="5">
                  <c:v>0.93333333333333335</c:v>
                </c:pt>
                <c:pt idx="6">
                  <c:v>0.97777777777777775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635232"/>
        <c:axId val="382639584"/>
      </c:lineChart>
      <c:scatterChart>
        <c:scatterStyle val="lineMarker"/>
        <c:varyColors val="0"/>
        <c:ser>
          <c:idx val="2"/>
          <c:order val="2"/>
          <c:tx>
            <c:strRef>
              <c:f>'89'!$F$3</c:f>
              <c:strCache>
                <c:ptCount val="1"/>
                <c:pt idx="0">
                  <c:v>辅助列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黑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'89'!$A$5:$A$11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'89'!$F$4:$F$11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0.93333333333333335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35232"/>
        <c:axId val="382639584"/>
      </c:scatterChart>
      <c:catAx>
        <c:axId val="3826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637952"/>
        <c:crosses val="autoZero"/>
        <c:auto val="1"/>
        <c:lblAlgn val="ctr"/>
        <c:lblOffset val="100"/>
        <c:noMultiLvlLbl val="0"/>
      </c:catAx>
      <c:valAx>
        <c:axId val="382637952"/>
        <c:scaling>
          <c:orientation val="minMax"/>
          <c:max val="5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solidFill>
              <a:srgbClr val="FFC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633056"/>
        <c:crosses val="autoZero"/>
        <c:crossBetween val="between"/>
        <c:majorUnit val="10"/>
      </c:valAx>
      <c:valAx>
        <c:axId val="3826395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635232"/>
        <c:crosses val="max"/>
        <c:crossBetween val="midCat"/>
        <c:majorUnit val="0.2"/>
      </c:valAx>
      <c:catAx>
        <c:axId val="382635232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639584"/>
        <c:crosses val="max"/>
        <c:auto val="1"/>
        <c:lblAlgn val="ctr"/>
        <c:lblOffset val="100"/>
        <c:noMultiLvlLbl val="0"/>
      </c:catAx>
      <c:spPr>
        <a:solidFill>
          <a:srgbClr val="BED7E6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D7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1</xdr:row>
      <xdr:rowOff>57150</xdr:rowOff>
    </xdr:from>
    <xdr:to>
      <xdr:col>16</xdr:col>
      <xdr:colOff>99060</xdr:colOff>
      <xdr:row>22</xdr:row>
      <xdr:rowOff>99060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workbookViewId="0">
      <selection activeCell="B15" sqref="B15"/>
    </sheetView>
  </sheetViews>
  <sheetFormatPr defaultRowHeight="14.4" x14ac:dyDescent="0.25"/>
  <cols>
    <col min="2" max="2" width="17.44140625" bestFit="1" customWidth="1"/>
    <col min="3" max="3" width="7.5546875" bestFit="1" customWidth="1"/>
    <col min="4" max="4" width="8.88671875" style="8"/>
    <col min="5" max="5" width="11.6640625" style="8" bestFit="1" customWidth="1"/>
  </cols>
  <sheetData>
    <row r="1" spans="1:21" s="1" customFormat="1" ht="22.2" x14ac:dyDescent="0.25">
      <c r="B1" s="7" t="s">
        <v>1</v>
      </c>
      <c r="C1" s="7"/>
      <c r="D1" s="5"/>
      <c r="E1" s="5"/>
      <c r="F1" s="7"/>
      <c r="G1" s="7"/>
      <c r="H1" s="11" t="s">
        <v>0</v>
      </c>
      <c r="I1" s="11"/>
      <c r="J1" s="11"/>
      <c r="K1" s="11"/>
      <c r="L1" s="11"/>
      <c r="M1" s="11"/>
      <c r="N1" s="11"/>
      <c r="O1" s="11"/>
      <c r="P1" s="11"/>
      <c r="Q1" s="11"/>
      <c r="R1" s="12" t="s">
        <v>2</v>
      </c>
      <c r="S1" s="12"/>
      <c r="T1" s="12"/>
      <c r="U1" s="12"/>
    </row>
    <row r="2" spans="1:21" s="1" customFormat="1" x14ac:dyDescent="0.25">
      <c r="B2" s="2" t="s">
        <v>17</v>
      </c>
      <c r="C2" s="2"/>
      <c r="D2" s="2" t="s">
        <v>3</v>
      </c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</row>
    <row r="3" spans="1:21" s="1" customFormat="1" x14ac:dyDescent="0.25">
      <c r="A3" s="13" t="s">
        <v>11</v>
      </c>
      <c r="B3" s="13" t="s">
        <v>12</v>
      </c>
      <c r="C3" s="13" t="s">
        <v>13</v>
      </c>
      <c r="D3" s="9" t="s">
        <v>14</v>
      </c>
      <c r="E3" s="9" t="s">
        <v>15</v>
      </c>
      <c r="F3" s="2" t="s">
        <v>16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1" s="1" customFormat="1" x14ac:dyDescent="0.25">
      <c r="A4" s="13"/>
      <c r="B4" s="13"/>
      <c r="C4" s="13"/>
      <c r="D4" s="9"/>
      <c r="E4" s="10">
        <f>SUM($D$4:D4)</f>
        <v>0</v>
      </c>
      <c r="F4" s="10" t="e">
        <f>IF(ROW()-3=MATCH(0.8,$E$4:$E$11)+1,E4,NA())</f>
        <v>#N/A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1" s="1" customFormat="1" x14ac:dyDescent="0.25">
      <c r="A5" s="14">
        <v>1</v>
      </c>
      <c r="B5" s="15" t="s">
        <v>4</v>
      </c>
      <c r="C5" s="15">
        <v>10</v>
      </c>
      <c r="D5" s="10">
        <f>C5/SUM($C$5:$C$11)</f>
        <v>0.22222222222222221</v>
      </c>
      <c r="E5" s="10">
        <f>SUM($D$4:D5)</f>
        <v>0.22222222222222221</v>
      </c>
      <c r="F5" s="10" t="e">
        <f t="shared" ref="F5:F11" si="0">IF(ROW()-3=MATCH(0.8,$E$4:$E$11)+1,E5,NA())</f>
        <v>#N/A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1" s="1" customFormat="1" x14ac:dyDescent="0.25">
      <c r="A6" s="14">
        <v>2</v>
      </c>
      <c r="B6" s="15" t="s">
        <v>5</v>
      </c>
      <c r="C6" s="15">
        <v>9</v>
      </c>
      <c r="D6" s="10">
        <f t="shared" ref="D6:D11" si="1">C6/SUM($C$5:$C$11)</f>
        <v>0.2</v>
      </c>
      <c r="E6" s="10">
        <f>SUM($D$4:D6)</f>
        <v>0.42222222222222222</v>
      </c>
      <c r="F6" s="10" t="e">
        <f t="shared" si="0"/>
        <v>#N/A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1" s="1" customFormat="1" x14ac:dyDescent="0.25">
      <c r="A7" s="14">
        <v>3</v>
      </c>
      <c r="B7" s="15" t="s">
        <v>6</v>
      </c>
      <c r="C7" s="15">
        <v>9</v>
      </c>
      <c r="D7" s="10">
        <f t="shared" si="1"/>
        <v>0.2</v>
      </c>
      <c r="E7" s="10">
        <f>SUM($D$4:D7)</f>
        <v>0.62222222222222223</v>
      </c>
      <c r="F7" s="10" t="e">
        <f t="shared" si="0"/>
        <v>#N/A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1" s="1" customFormat="1" x14ac:dyDescent="0.25">
      <c r="A8" s="14">
        <v>4</v>
      </c>
      <c r="B8" s="15" t="s">
        <v>7</v>
      </c>
      <c r="C8" s="15">
        <v>8</v>
      </c>
      <c r="D8" s="10">
        <f t="shared" si="1"/>
        <v>0.17777777777777778</v>
      </c>
      <c r="E8" s="10">
        <f>SUM($D$4:D8)</f>
        <v>0.8</v>
      </c>
      <c r="F8" s="10" t="e">
        <f t="shared" si="0"/>
        <v>#N/A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1" s="1" customFormat="1" x14ac:dyDescent="0.25">
      <c r="A9" s="14">
        <v>5</v>
      </c>
      <c r="B9" s="15" t="s">
        <v>8</v>
      </c>
      <c r="C9" s="15">
        <v>6</v>
      </c>
      <c r="D9" s="10">
        <f t="shared" si="1"/>
        <v>0.13333333333333333</v>
      </c>
      <c r="E9" s="10">
        <f>SUM($D$4:D9)</f>
        <v>0.93333333333333335</v>
      </c>
      <c r="F9" s="10">
        <f t="shared" si="0"/>
        <v>0.93333333333333335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1" x14ac:dyDescent="0.25">
      <c r="A10" s="14">
        <v>6</v>
      </c>
      <c r="B10" s="15" t="s">
        <v>9</v>
      </c>
      <c r="C10" s="15">
        <v>2</v>
      </c>
      <c r="D10" s="10">
        <f t="shared" si="1"/>
        <v>4.4444444444444446E-2</v>
      </c>
      <c r="E10" s="10">
        <f>SUM($D$4:D10)</f>
        <v>0.97777777777777775</v>
      </c>
      <c r="F10" s="10" t="e">
        <f t="shared" si="0"/>
        <v>#N/A</v>
      </c>
      <c r="G10" s="2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21" x14ac:dyDescent="0.25">
      <c r="A11" s="14">
        <v>7</v>
      </c>
      <c r="B11" s="15" t="s">
        <v>10</v>
      </c>
      <c r="C11" s="15">
        <v>1</v>
      </c>
      <c r="D11" s="10">
        <f t="shared" si="1"/>
        <v>2.2222222222222223E-2</v>
      </c>
      <c r="E11" s="10">
        <f>SUM($D$4:D11)</f>
        <v>1</v>
      </c>
      <c r="F11" s="10" t="e">
        <f t="shared" si="0"/>
        <v>#N/A</v>
      </c>
      <c r="G11" s="2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21" x14ac:dyDescent="0.25"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21" x14ac:dyDescent="0.25">
      <c r="B13" s="2"/>
      <c r="C13" s="2"/>
      <c r="D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21" x14ac:dyDescent="0.25"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1" x14ac:dyDescent="0.25"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1" x14ac:dyDescent="0.25"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25">
      <c r="B17" s="2"/>
      <c r="C17" s="2"/>
      <c r="D17" s="2"/>
      <c r="E17" s="2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25">
      <c r="B18" s="2"/>
      <c r="C18" s="2"/>
      <c r="D18" s="2"/>
      <c r="E18" s="2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25"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25">
      <c r="B20" s="2"/>
      <c r="C20" s="2"/>
      <c r="D20" s="2"/>
      <c r="F20" s="2"/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25">
      <c r="B21" s="2"/>
      <c r="C21" s="2"/>
      <c r="D21" s="2"/>
      <c r="E21" s="2"/>
      <c r="F21" s="2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25">
      <c r="B22" s="2"/>
      <c r="C22" s="2"/>
      <c r="D22" s="2"/>
      <c r="E22" s="2"/>
      <c r="F22" s="2"/>
      <c r="G22" s="2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25">
      <c r="B23" s="2"/>
      <c r="C23" s="2"/>
      <c r="D23" s="2"/>
      <c r="E23" s="2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x14ac:dyDescent="0.25">
      <c r="C24" s="2" t="s">
        <v>18</v>
      </c>
      <c r="D24" s="2"/>
      <c r="E24" s="2"/>
      <c r="F24" s="2"/>
      <c r="G24" s="2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172.8" x14ac:dyDescent="0.25">
      <c r="B25" s="16" t="s">
        <v>19</v>
      </c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25">
      <c r="B26" s="2"/>
      <c r="C26" s="2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25">
      <c r="B27" s="2"/>
      <c r="C27" s="2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25">
      <c r="B28" s="2"/>
      <c r="C28" s="2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2:17" x14ac:dyDescent="0.25">
      <c r="B29" s="2"/>
      <c r="C29" s="2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x14ac:dyDescent="0.25">
      <c r="B30" s="2"/>
      <c r="C30" s="2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25">
      <c r="B31" s="2"/>
      <c r="C31" s="2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25">
      <c r="B32" s="2"/>
      <c r="C32" s="2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25">
      <c r="B33" s="2"/>
      <c r="C33" s="2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25">
      <c r="B34" s="2"/>
      <c r="C34" s="2"/>
      <c r="D34" s="2"/>
      <c r="E34" s="2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25">
      <c r="B35" s="2"/>
      <c r="C35" s="2"/>
      <c r="D35" s="2"/>
      <c r="E35" s="2"/>
      <c r="F35" s="2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25">
      <c r="B36" s="2"/>
      <c r="C36" s="2"/>
      <c r="D36" s="2"/>
      <c r="E36" s="2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25">
      <c r="B37" s="2"/>
      <c r="C37" s="2"/>
      <c r="D37" s="2"/>
      <c r="E37" s="2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x14ac:dyDescent="0.25">
      <c r="B38" s="2"/>
      <c r="C38" s="2"/>
      <c r="D38" s="2"/>
      <c r="E38" s="2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25">
      <c r="B39" s="2"/>
      <c r="C39" s="2"/>
      <c r="D39" s="2"/>
      <c r="E39" s="2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25">
      <c r="B40" s="2"/>
      <c r="C40" s="2"/>
      <c r="D40" s="2"/>
      <c r="E40" s="2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25">
      <c r="B41" s="2"/>
      <c r="C41" s="2"/>
      <c r="D41" s="2"/>
      <c r="E41" s="2"/>
    </row>
    <row r="42" spans="2:17" x14ac:dyDescent="0.25">
      <c r="B42" s="2"/>
      <c r="C42" s="2"/>
      <c r="D42" s="2"/>
      <c r="E42" s="2"/>
    </row>
    <row r="43" spans="2:17" x14ac:dyDescent="0.25">
      <c r="B43" s="2"/>
      <c r="C43" s="2"/>
      <c r="D43" s="2"/>
      <c r="E43" s="2"/>
    </row>
  </sheetData>
  <mergeCells count="2">
    <mergeCell ref="H1:Q1"/>
    <mergeCell ref="R1:U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2018-06-11T00:54:10Z</dcterms:modified>
</cp:coreProperties>
</file>