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231"/>
  <workbookPr filterPrivacy="1"/>
  <xr:revisionPtr revIDLastSave="0" documentId="13_ncr:1_{6B152D18-E1DC-4DB3-B155-C0B27F278C1A}" xr6:coauthVersionLast="40" xr6:coauthVersionMax="40" xr10:uidLastSave="{00000000-0000-0000-0000-000000000000}"/>
  <bookViews>
    <workbookView xWindow="-108" yWindow="-108" windowWidth="23256" windowHeight="12720" xr2:uid="{00000000-000D-0000-FFFF-FFFF00000000}"/>
  </bookViews>
  <sheets>
    <sheet name="图1" sheetId="1" r:id="rId1"/>
    <sheet name="图2" sheetId="2" r:id="rId2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2" i="2" l="1"/>
  <c r="E10" i="2"/>
  <c r="D7" i="2" l="1"/>
  <c r="E7" i="2"/>
  <c r="F7" i="2"/>
  <c r="G7" i="2"/>
  <c r="D8" i="2"/>
  <c r="E8" i="2"/>
  <c r="F8" i="2"/>
  <c r="G8" i="2"/>
  <c r="D9" i="2"/>
  <c r="E9" i="2"/>
  <c r="F9" i="2"/>
  <c r="G9" i="2"/>
  <c r="D10" i="2"/>
  <c r="F10" i="2"/>
  <c r="G10" i="2"/>
  <c r="D11" i="2"/>
  <c r="E11" i="2"/>
  <c r="F11" i="2"/>
  <c r="G11" i="2"/>
  <c r="D12" i="2"/>
  <c r="F12" i="2"/>
  <c r="G12" i="2"/>
  <c r="D13" i="2"/>
  <c r="E13" i="2"/>
  <c r="F13" i="2"/>
  <c r="G13" i="2"/>
  <c r="C8" i="2"/>
  <c r="C9" i="2"/>
  <c r="C10" i="2"/>
  <c r="C11" i="2"/>
  <c r="C12" i="2"/>
  <c r="C13" i="2"/>
  <c r="C7" i="2"/>
  <c r="H6" i="2"/>
  <c r="H5" i="2"/>
  <c r="B32" i="1"/>
  <c r="C32" i="1" s="1"/>
  <c r="B33" i="1"/>
  <c r="C33" i="1" s="1"/>
  <c r="B34" i="1"/>
  <c r="B35" i="1"/>
  <c r="C35" i="1" s="1"/>
  <c r="B36" i="1"/>
  <c r="C36" i="1" s="1"/>
  <c r="B37" i="1"/>
  <c r="D37" i="1" s="1"/>
  <c r="B38" i="1"/>
  <c r="C38" i="1" s="1"/>
  <c r="B39" i="1"/>
  <c r="C39" i="1" s="1"/>
  <c r="B40" i="1"/>
  <c r="C40" i="1" s="1"/>
  <c r="B41" i="1"/>
  <c r="C41" i="1" s="1"/>
  <c r="B42" i="1"/>
  <c r="D42" i="1" s="1"/>
  <c r="B43" i="1"/>
  <c r="C43" i="1" s="1"/>
  <c r="B44" i="1"/>
  <c r="C44" i="1" s="1"/>
  <c r="B45" i="1"/>
  <c r="C45" i="1" s="1"/>
  <c r="B46" i="1"/>
  <c r="C46" i="1" s="1"/>
  <c r="B47" i="1"/>
  <c r="D47" i="1" s="1"/>
  <c r="B48" i="1"/>
  <c r="C48" i="1" s="1"/>
  <c r="B49" i="1"/>
  <c r="C49" i="1" s="1"/>
  <c r="B50" i="1"/>
  <c r="C50" i="1" s="1"/>
  <c r="B51" i="1"/>
  <c r="C51" i="1" s="1"/>
  <c r="B52" i="1"/>
  <c r="C52" i="1" s="1"/>
  <c r="B53" i="1"/>
  <c r="D53" i="1" s="1"/>
  <c r="B54" i="1"/>
  <c r="C54" i="1" s="1"/>
  <c r="B55" i="1"/>
  <c r="C55" i="1" s="1"/>
  <c r="B56" i="1"/>
  <c r="C56" i="1" s="1"/>
  <c r="B57" i="1"/>
  <c r="C57" i="1" s="1"/>
  <c r="B58" i="1"/>
  <c r="D58" i="1" s="1"/>
  <c r="B59" i="1"/>
  <c r="C59" i="1" s="1"/>
  <c r="B60" i="1"/>
  <c r="C60" i="1" s="1"/>
  <c r="B61" i="1"/>
  <c r="C61" i="1" s="1"/>
  <c r="B62" i="1"/>
  <c r="C62" i="1" s="1"/>
  <c r="B63" i="1"/>
  <c r="D63" i="1" s="1"/>
  <c r="B64" i="1"/>
  <c r="C64" i="1" s="1"/>
  <c r="B65" i="1"/>
  <c r="C65" i="1" s="1"/>
  <c r="B66" i="1"/>
  <c r="C66" i="1" s="1"/>
  <c r="B67" i="1"/>
  <c r="C67" i="1" s="1"/>
  <c r="B68" i="1"/>
  <c r="C68" i="1" s="1"/>
  <c r="B69" i="1"/>
  <c r="C69" i="1" s="1"/>
  <c r="B70" i="1"/>
  <c r="C70" i="1" s="1"/>
  <c r="B71" i="1"/>
  <c r="C71" i="1" s="1"/>
  <c r="B72" i="1"/>
  <c r="C72" i="1" s="1"/>
  <c r="B31" i="1"/>
  <c r="C31" i="1" s="1"/>
  <c r="C34" i="1"/>
  <c r="H11" i="2" l="1"/>
  <c r="H12" i="2"/>
  <c r="H8" i="2"/>
  <c r="H13" i="2"/>
  <c r="H10" i="2"/>
  <c r="H9" i="2"/>
  <c r="H7" i="2"/>
  <c r="D69" i="1"/>
  <c r="E69" i="1" s="1"/>
  <c r="D72" i="1"/>
  <c r="E72" i="1" s="1"/>
  <c r="D56" i="1"/>
  <c r="E56" i="1" s="1"/>
  <c r="D40" i="1"/>
  <c r="E40" i="1" s="1"/>
  <c r="D68" i="1"/>
  <c r="E68" i="1" s="1"/>
  <c r="D52" i="1"/>
  <c r="E52" i="1" s="1"/>
  <c r="D36" i="1"/>
  <c r="E36" i="1" s="1"/>
  <c r="D64" i="1"/>
  <c r="E64" i="1" s="1"/>
  <c r="D48" i="1"/>
  <c r="E48" i="1" s="1"/>
  <c r="D32" i="1"/>
  <c r="E32" i="1" s="1"/>
  <c r="C47" i="1"/>
  <c r="E47" i="1" s="1"/>
  <c r="D60" i="1"/>
  <c r="E60" i="1" s="1"/>
  <c r="D44" i="1"/>
  <c r="E44" i="1" s="1"/>
  <c r="C63" i="1"/>
  <c r="E63" i="1" s="1"/>
  <c r="C42" i="1"/>
  <c r="E42" i="1" s="1"/>
  <c r="D71" i="1"/>
  <c r="E71" i="1" s="1"/>
  <c r="D67" i="1"/>
  <c r="E67" i="1" s="1"/>
  <c r="D59" i="1"/>
  <c r="E59" i="1" s="1"/>
  <c r="D55" i="1"/>
  <c r="E55" i="1" s="1"/>
  <c r="D51" i="1"/>
  <c r="E51" i="1" s="1"/>
  <c r="D43" i="1"/>
  <c r="E43" i="1" s="1"/>
  <c r="D39" i="1"/>
  <c r="E39" i="1" s="1"/>
  <c r="D35" i="1"/>
  <c r="E35" i="1" s="1"/>
  <c r="C58" i="1"/>
  <c r="E58" i="1" s="1"/>
  <c r="C37" i="1"/>
  <c r="E37" i="1" s="1"/>
  <c r="D70" i="1"/>
  <c r="E70" i="1" s="1"/>
  <c r="D66" i="1"/>
  <c r="E66" i="1" s="1"/>
  <c r="D62" i="1"/>
  <c r="E62" i="1" s="1"/>
  <c r="D54" i="1"/>
  <c r="E54" i="1" s="1"/>
  <c r="D50" i="1"/>
  <c r="E50" i="1" s="1"/>
  <c r="D46" i="1"/>
  <c r="E46" i="1" s="1"/>
  <c r="D38" i="1"/>
  <c r="E38" i="1" s="1"/>
  <c r="D34" i="1"/>
  <c r="E34" i="1" s="1"/>
  <c r="C53" i="1"/>
  <c r="E53" i="1" s="1"/>
  <c r="D31" i="1"/>
  <c r="E31" i="1" s="1"/>
  <c r="D65" i="1"/>
  <c r="E65" i="1" s="1"/>
  <c r="D61" i="1"/>
  <c r="E61" i="1" s="1"/>
  <c r="D57" i="1"/>
  <c r="E57" i="1" s="1"/>
  <c r="D49" i="1"/>
  <c r="E49" i="1" s="1"/>
  <c r="D45" i="1"/>
  <c r="E45" i="1" s="1"/>
  <c r="D41" i="1"/>
  <c r="E41" i="1" s="1"/>
  <c r="D33" i="1"/>
  <c r="E33" i="1" s="1"/>
</calcChain>
</file>

<file path=xl/sharedStrings.xml><?xml version="1.0" encoding="utf-8"?>
<sst xmlns="http://schemas.openxmlformats.org/spreadsheetml/2006/main" count="58" uniqueCount="54">
  <si>
    <t>Conspicuous consumption</t>
    <phoneticPr fontId="1" type="noConversion"/>
  </si>
  <si>
    <t>A small upgrade in the growth forecast</t>
    <phoneticPr fontId="1" type="noConversion"/>
  </si>
  <si>
    <t>Annual % change in real GDP</t>
    <phoneticPr fontId="1" type="noConversion"/>
  </si>
  <si>
    <t>FY</t>
    <phoneticPr fontId="1" type="noConversion"/>
  </si>
  <si>
    <t>2010</t>
    <phoneticPr fontId="1" type="noConversion"/>
  </si>
  <si>
    <t>11</t>
    <phoneticPr fontId="1" type="noConversion"/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</si>
  <si>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</si>
  <si>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</si>
  <si>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</si>
  <si>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</si>
  <si>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</si>
  <si>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</si>
  <si>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</si>
  <si>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</si>
  <si>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</si>
  <si>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</si>
  <si>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</si>
  <si>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</si>
  <si>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Actual</t>
    <phoneticPr fontId="1" type="noConversion"/>
  </si>
  <si>
    <t>Mar 2018 forecast</t>
    <phoneticPr fontId="1" type="noConversion"/>
  </si>
  <si>
    <t>Oct 2018 forecast</t>
    <phoneticPr fontId="1" type="noConversion"/>
  </si>
  <si>
    <t>OBR estimates there is no spare capacity in the economy</t>
    <phoneticPr fontId="1" type="noConversion"/>
  </si>
  <si>
    <t>Output gap (actual minus potential GDP as a % of potential GDP)</t>
    <phoneticPr fontId="1" type="noConversion"/>
  </si>
  <si>
    <t>2008</t>
    <phoneticPr fontId="1" type="noConversion"/>
  </si>
  <si>
    <t>2009</t>
    <phoneticPr fontId="1" type="noConversion"/>
  </si>
  <si>
    <t>2011</t>
    <phoneticPr fontId="1" type="noConversion"/>
  </si>
  <si>
    <t>2012</t>
    <phoneticPr fontId="1" type="noConversion"/>
  </si>
  <si>
    <t>2013</t>
    <phoneticPr fontId="1" type="noConversion"/>
  </si>
  <si>
    <t>2014</t>
    <phoneticPr fontId="1" type="noConversion"/>
  </si>
  <si>
    <t>2015</t>
    <phoneticPr fontId="1" type="noConversion"/>
  </si>
  <si>
    <t>2016</t>
  </si>
  <si>
    <t>2016</t>
    <phoneticPr fontId="1" type="noConversion"/>
  </si>
  <si>
    <t>2017</t>
  </si>
  <si>
    <t>2017</t>
    <phoneticPr fontId="1" type="noConversion"/>
  </si>
  <si>
    <t>2018</t>
  </si>
  <si>
    <t>2018</t>
    <phoneticPr fontId="1" type="noConversion"/>
  </si>
  <si>
    <t>helper</t>
    <phoneticPr fontId="1" type="noConversion"/>
  </si>
  <si>
    <t>Range of OBR model
results lowest</t>
    <phoneticPr fontId="1" type="noConversion"/>
  </si>
  <si>
    <t>Range of OBR 
model results highest</t>
    <phoneticPr fontId="1" type="noConversion"/>
  </si>
  <si>
    <t>Latest OBR
central estimate</t>
    <phoneticPr fontId="1" type="noConversion"/>
  </si>
  <si>
    <t>Driven mostly by consumption</t>
    <phoneticPr fontId="1" type="noConversion"/>
  </si>
  <si>
    <t>Components of quarterly GDP growth (% points)</t>
    <phoneticPr fontId="1" type="noConversion"/>
  </si>
  <si>
    <t>2019</t>
  </si>
  <si>
    <t>2020</t>
  </si>
  <si>
    <t>2021</t>
  </si>
  <si>
    <t>2022</t>
  </si>
  <si>
    <t>2023</t>
  </si>
  <si>
    <t>Private consumption</t>
    <phoneticPr fontId="1" type="noConversion"/>
  </si>
  <si>
    <t>Private investment (including stocks)</t>
    <phoneticPr fontId="1" type="noConversion"/>
  </si>
  <si>
    <t xml:space="preserve">Other </t>
    <phoneticPr fontId="1" type="noConversion"/>
  </si>
  <si>
    <t>Net trade</t>
    <phoneticPr fontId="1" type="noConversion"/>
  </si>
  <si>
    <t>Total government</t>
    <phoneticPr fontId="1" type="noConversion"/>
  </si>
  <si>
    <t>GDP</t>
    <phoneticPr fontId="1" type="noConversion"/>
  </si>
  <si>
    <t>helperX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</si>
</sst>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.0"/>
  </numFmts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Malgun Gothic Semilight"/>
      <family val="2"/>
      <charset val="134"/>
    </font>
    <font>
      <sz val="10"/>
      <color theme="1"/>
      <name val="Malgun Gothic Semilight"/>
      <family val="2"/>
      <charset val="134"/>
    </font>
    <font>
      <b/>
      <sz val="10"/>
      <color theme="0"/>
      <name val="Malgun Gothic Semilight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theme="5"/>
        <bgColor theme="5"/>
      </patternFill>
    </fill>
  </fills>
  <borders count="13">
    <border>
      <left/>
      <right/>
      <top/>
      <bottom/>
      <diagonal/>
    </border>
    <border>
      <left style="thin">
        <color theme="8" tint="0.39997558519241921"/>
      </left>
      <right/>
      <top style="thin">
        <color theme="8" tint="0.39997558519241921"/>
      </top>
      <bottom style="thin">
        <color theme="8" tint="0.39997558519241921"/>
      </bottom>
      <diagonal/>
    </border>
    <border>
      <left/>
      <right/>
      <top style="thin">
        <color theme="8" tint="0.39997558519241921"/>
      </top>
      <bottom style="thin">
        <color theme="8" tint="0.39997558519241921"/>
      </bottom>
      <diagonal/>
    </border>
    <border>
      <left/>
      <right style="thin">
        <color theme="8" tint="0.39997558519241921"/>
      </right>
      <top style="thin">
        <color theme="8" tint="0.39997558519241921"/>
      </top>
      <bottom style="thin">
        <color theme="8" tint="0.39997558519241921"/>
      </bottom>
      <diagonal/>
    </border>
    <border>
      <left style="thin">
        <color theme="8" tint="0.39997558519241921"/>
      </left>
      <right/>
      <top style="thin">
        <color theme="8" tint="0.39997558519241921"/>
      </top>
      <bottom/>
      <diagonal/>
    </border>
    <border>
      <left/>
      <right/>
      <top style="thin">
        <color theme="8" tint="0.39997558519241921"/>
      </top>
      <bottom/>
      <diagonal/>
    </border>
    <border>
      <left/>
      <right style="thin">
        <color theme="8" tint="0.39997558519241921"/>
      </right>
      <top style="thin">
        <color theme="8" tint="0.39997558519241921"/>
      </top>
      <bottom/>
      <diagonal/>
    </border>
    <border>
      <left style="thin">
        <color theme="5" tint="0.39997558519241921"/>
      </left>
      <right/>
      <top style="thin">
        <color theme="5" tint="0.39997558519241921"/>
      </top>
      <bottom style="thin">
        <color theme="5" tint="0.39997558519241921"/>
      </bottom>
      <diagonal/>
    </border>
    <border>
      <left/>
      <right/>
      <top style="thin">
        <color theme="5" tint="0.39997558519241921"/>
      </top>
      <bottom style="thin">
        <color theme="5" tint="0.39997558519241921"/>
      </bottom>
      <diagonal/>
    </border>
    <border>
      <left/>
      <right style="thin">
        <color theme="5" tint="0.39997558519241921"/>
      </right>
      <top style="thin">
        <color theme="5" tint="0.39997558519241921"/>
      </top>
      <bottom style="thin">
        <color theme="5" tint="0.39997558519241921"/>
      </bottom>
      <diagonal/>
    </border>
    <border>
      <left style="thin">
        <color theme="5" tint="0.39997558519241921"/>
      </left>
      <right/>
      <top style="thin">
        <color theme="5" tint="0.39997558519241921"/>
      </top>
      <bottom/>
      <diagonal/>
    </border>
    <border>
      <left/>
      <right/>
      <top style="thin">
        <color theme="5" tint="0.39997558519241921"/>
      </top>
      <bottom/>
      <diagonal/>
    </border>
    <border>
      <left/>
      <right style="thin">
        <color theme="5" tint="0.39997558519241921"/>
      </right>
      <top style="thin">
        <color theme="5" tint="0.39997558519241921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5" xfId="0" applyFont="1" applyFill="1" applyBorder="1" applyAlignment="1">
      <alignment horizontal="right" vertical="center"/>
    </xf>
    <xf numFmtId="0" fontId="4" fillId="2" borderId="6" xfId="0" applyFont="1" applyFill="1" applyBorder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3" fillId="0" borderId="4" xfId="0" applyFont="1" applyBorder="1" applyAlignment="1">
      <alignment vertical="center"/>
    </xf>
    <xf numFmtId="176" fontId="3" fillId="0" borderId="5" xfId="0" applyNumberFormat="1" applyFont="1" applyBorder="1" applyAlignment="1">
      <alignment horizontal="right" vertical="center"/>
    </xf>
    <xf numFmtId="176" fontId="3" fillId="0" borderId="6" xfId="0" applyNumberFormat="1" applyFont="1" applyBorder="1" applyAlignment="1">
      <alignment horizontal="right" vertical="center"/>
    </xf>
    <xf numFmtId="176" fontId="3" fillId="0" borderId="0" xfId="0" applyNumberFormat="1" applyFont="1" applyAlignment="1">
      <alignment horizontal="right" vertical="center"/>
    </xf>
    <xf numFmtId="0" fontId="3" fillId="0" borderId="5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176" fontId="3" fillId="0" borderId="2" xfId="0" applyNumberFormat="1" applyFont="1" applyBorder="1" applyAlignment="1">
      <alignment horizontal="right" vertical="center"/>
    </xf>
    <xf numFmtId="0" fontId="3" fillId="0" borderId="2" xfId="0" applyFont="1" applyBorder="1" applyAlignment="1">
      <alignment vertical="center"/>
    </xf>
    <xf numFmtId="176" fontId="3" fillId="0" borderId="3" xfId="0" applyNumberFormat="1" applyFont="1" applyBorder="1" applyAlignment="1">
      <alignment horizontal="right" vertical="center"/>
    </xf>
    <xf numFmtId="0" fontId="3" fillId="0" borderId="0" xfId="0" quotePrefix="1" applyFont="1" applyAlignment="1">
      <alignment vertical="center"/>
    </xf>
    <xf numFmtId="0" fontId="4" fillId="3" borderId="10" xfId="0" applyFont="1" applyFill="1" applyBorder="1" applyAlignment="1">
      <alignment vertical="center"/>
    </xf>
    <xf numFmtId="0" fontId="4" fillId="3" borderId="11" xfId="0" applyFont="1" applyFill="1" applyBorder="1" applyAlignment="1">
      <alignment horizontal="right" vertical="center"/>
    </xf>
    <xf numFmtId="0" fontId="4" fillId="3" borderId="11" xfId="0" applyFont="1" applyFill="1" applyBorder="1" applyAlignment="1">
      <alignment horizontal="right" vertical="center" wrapText="1"/>
    </xf>
    <xf numFmtId="0" fontId="4" fillId="3" borderId="12" xfId="0" applyFont="1" applyFill="1" applyBorder="1" applyAlignment="1">
      <alignment horizontal="right" vertical="center" wrapText="1"/>
    </xf>
    <xf numFmtId="0" fontId="3" fillId="0" borderId="10" xfId="0" applyFont="1" applyBorder="1" applyAlignment="1">
      <alignment vertical="center"/>
    </xf>
    <xf numFmtId="176" fontId="3" fillId="0" borderId="11" xfId="0" applyNumberFormat="1" applyFont="1" applyBorder="1" applyAlignment="1">
      <alignment vertical="center"/>
    </xf>
    <xf numFmtId="176" fontId="3" fillId="0" borderId="12" xfId="0" applyNumberFormat="1" applyFont="1" applyBorder="1" applyAlignment="1">
      <alignment vertical="center"/>
    </xf>
    <xf numFmtId="0" fontId="3" fillId="0" borderId="7" xfId="0" applyFont="1" applyBorder="1" applyAlignment="1">
      <alignment vertical="center"/>
    </xf>
    <xf numFmtId="176" fontId="3" fillId="0" borderId="8" xfId="0" applyNumberFormat="1" applyFont="1" applyBorder="1" applyAlignment="1">
      <alignment vertical="center"/>
    </xf>
    <xf numFmtId="176" fontId="3" fillId="0" borderId="9" xfId="0" applyNumberFormat="1" applyFont="1" applyBorder="1" applyAlignment="1">
      <alignment vertical="center"/>
    </xf>
  </cellXfs>
  <cellStyles count="1">
    <cellStyle name="常规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29EBFF8D-4D64-4036-B467-608EC0FFB29B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400" b="0" i="0" u="none" strike="noStrike" kern="1200" spc="0" baseline="0">
                <a:solidFill>
                  <a:schemeClr val="tx1">
                    <a:lumMod val="95000"/>
                    <a:lumOff val="5000"/>
                  </a:schemeClr>
                </a:solidFill>
                <a:latin typeface="Segoe UI" panose="020B0502040204020203" pitchFamily="34" charset="0"/>
                <a:ea typeface="Segoe UI" panose="020B0502040204020203" pitchFamily="34" charset="0"/>
                <a:cs typeface="Segoe UI" panose="020B0502040204020203" pitchFamily="34" charset="0"/>
              </a:defRPr>
            </a:pPr>
            <a:r>
              <a:rPr lang="en-US" altLang="zh-CN"/>
              <a:t>A small upgrade in the growth forecast</a:t>
            </a:r>
          </a:p>
          <a:p>
            <a:pPr algn="l">
              <a:defRPr sz="1400" b="0" i="0" u="none" strike="noStrike" kern="1200" spc="0" baseline="0">
                <a:solidFill>
                  <a:schemeClr val="tx1">
                    <a:lumMod val="95000"/>
                    <a:lumOff val="5000"/>
                  </a:schemeClr>
                </a:solidFill>
                <a:latin typeface="Segoe UI" panose="020B0502040204020203" pitchFamily="34" charset="0"/>
                <a:ea typeface="Segoe UI" panose="020B0502040204020203" pitchFamily="34" charset="0"/>
                <a:cs typeface="Segoe UI" panose="020B0502040204020203" pitchFamily="34" charset="0"/>
              </a:defRPr>
            </a:pPr>
            <a:r>
              <a:rPr lang="en-US" altLang="zh-CN" sz="1000">
                <a:solidFill>
                  <a:schemeClr val="tx1">
                    <a:lumMod val="85000"/>
                    <a:lumOff val="15000"/>
                  </a:schemeClr>
                </a:solidFill>
              </a:rPr>
              <a:t>Annual % change in real GDP</a:t>
            </a:r>
          </a:p>
        </c:rich>
      </c:tx>
      <c:layout>
        <c:manualLayout>
          <c:xMode val="edge"/>
          <c:yMode val="edge"/>
          <c:x val="3.2967933802795196E-2"/>
          <c:y val="1.9900497512437811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3.6529680365296802E-2"/>
          <c:y val="0.20238805970149254"/>
          <c:w val="0.89205068544514132"/>
          <c:h val="0.67889398153589009"/>
        </c:manualLayout>
      </c:layout>
      <c:lineChart>
        <c:grouping val="standard"/>
        <c:varyColors val="0"/>
        <c:ser>
          <c:idx val="0"/>
          <c:order val="0"/>
          <c:tx>
            <c:strRef>
              <c:f>图1!$B$5</c:f>
              <c:strCache>
                <c:ptCount val="1"/>
                <c:pt idx="0">
                  <c:v>Actual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4"/>
              <c:dLblPos val="t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6B3-435A-B57C-680E9934081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Segoe UI" panose="020B0502040204020203" pitchFamily="34" charset="0"/>
                    <a:ea typeface="Segoe UI" panose="020B0502040204020203" pitchFamily="34" charset="0"/>
                    <a:cs typeface="Segoe UI" panose="020B0502040204020203" pitchFamily="34" charset="0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图1!$A$6:$A$19</c:f>
              <c:strCache>
                <c:ptCount val="14"/>
                <c:pt idx="0">
                  <c:v>2010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  <c:pt idx="11">
                  <c:v>21</c:v>
                </c:pt>
                <c:pt idx="12">
                  <c:v>22</c:v>
                </c:pt>
                <c:pt idx="13">
                  <c:v>23</c:v>
                </c:pt>
              </c:strCache>
            </c:strRef>
          </c:cat>
          <c:val>
            <c:numRef>
              <c:f>图1!$B$6:$B$19</c:f>
              <c:numCache>
                <c:formatCode>0.0</c:formatCode>
                <c:ptCount val="14"/>
                <c:pt idx="0">
                  <c:v>1.7</c:v>
                </c:pt>
                <c:pt idx="1">
                  <c:v>1.6</c:v>
                </c:pt>
                <c:pt idx="2">
                  <c:v>1.5</c:v>
                </c:pt>
                <c:pt idx="3">
                  <c:v>2</c:v>
                </c:pt>
                <c:pt idx="4">
                  <c:v>2.9</c:v>
                </c:pt>
                <c:pt idx="5">
                  <c:v>2.2999999999999998</c:v>
                </c:pt>
                <c:pt idx="6">
                  <c:v>1.8</c:v>
                </c:pt>
                <c:pt idx="7">
                  <c:v>1.7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6B3-435A-B57C-680E99340819}"/>
            </c:ext>
          </c:extLst>
        </c:ser>
        <c:ser>
          <c:idx val="1"/>
          <c:order val="1"/>
          <c:tx>
            <c:strRef>
              <c:f>图1!$C$5</c:f>
              <c:strCache>
                <c:ptCount val="1"/>
                <c:pt idx="0">
                  <c:v>Mar 2018 forecast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Segoe UI" panose="020B0502040204020203" pitchFamily="34" charset="0"/>
                      <a:ea typeface="Segoe UI" panose="020B0502040204020203" pitchFamily="34" charset="0"/>
                      <a:cs typeface="Segoe UI" panose="020B0502040204020203" pitchFamily="34" charset="0"/>
                    </a:defRPr>
                  </a:pPr>
                  <a:endParaRPr lang="zh-CN"/>
                </a:p>
              </c:txPr>
              <c:dLblPos val="b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05-D6B3-435A-B57C-680E9934081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Segoe UI" panose="020B0502040204020203" pitchFamily="34" charset="0"/>
                    <a:ea typeface="Segoe UI" panose="020B0502040204020203" pitchFamily="34" charset="0"/>
                    <a:cs typeface="Segoe UI" panose="020B0502040204020203" pitchFamily="34" charset="0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图1!$A$6:$A$19</c:f>
              <c:strCache>
                <c:ptCount val="14"/>
                <c:pt idx="0">
                  <c:v>2010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  <c:pt idx="11">
                  <c:v>21</c:v>
                </c:pt>
                <c:pt idx="12">
                  <c:v>22</c:v>
                </c:pt>
                <c:pt idx="13">
                  <c:v>23</c:v>
                </c:pt>
              </c:strCache>
            </c:strRef>
          </c:cat>
          <c:val>
            <c:numRef>
              <c:f>图1!$C$6:$C$19</c:f>
              <c:numCache>
                <c:formatCode>0.0</c:formatCode>
                <c:ptCount val="14"/>
                <c:pt idx="7" formatCode="General">
                  <c:v>1.7</c:v>
                </c:pt>
                <c:pt idx="8" formatCode="General">
                  <c:v>1.5</c:v>
                </c:pt>
                <c:pt idx="9" formatCode="General">
                  <c:v>1.3</c:v>
                </c:pt>
                <c:pt idx="10" formatCode="General">
                  <c:v>1.35</c:v>
                </c:pt>
                <c:pt idx="11" formatCode="General">
                  <c:v>1.4</c:v>
                </c:pt>
                <c:pt idx="12" formatCode="General">
                  <c:v>1.48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6B3-435A-B57C-680E99340819}"/>
            </c:ext>
          </c:extLst>
        </c:ser>
        <c:ser>
          <c:idx val="2"/>
          <c:order val="2"/>
          <c:tx>
            <c:strRef>
              <c:f>图1!$D$5</c:f>
              <c:strCache>
                <c:ptCount val="1"/>
                <c:pt idx="0">
                  <c:v>Oct 2018 forecast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Lbl>
              <c:idx val="9"/>
              <c:dLblPos val="t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6B3-435A-B57C-680E9934081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Segoe UI" panose="020B0502040204020203" pitchFamily="34" charset="0"/>
                    <a:ea typeface="Segoe UI" panose="020B0502040204020203" pitchFamily="34" charset="0"/>
                    <a:cs typeface="Segoe UI" panose="020B0502040204020203" pitchFamily="34" charset="0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图1!$A$6:$A$19</c:f>
              <c:strCache>
                <c:ptCount val="14"/>
                <c:pt idx="0">
                  <c:v>2010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  <c:pt idx="11">
                  <c:v>21</c:v>
                </c:pt>
                <c:pt idx="12">
                  <c:v>22</c:v>
                </c:pt>
                <c:pt idx="13">
                  <c:v>23</c:v>
                </c:pt>
              </c:strCache>
            </c:strRef>
          </c:cat>
          <c:val>
            <c:numRef>
              <c:f>图1!$D$6:$D$19</c:f>
              <c:numCache>
                <c:formatCode>0.0</c:formatCode>
                <c:ptCount val="14"/>
                <c:pt idx="7">
                  <c:v>1.7</c:v>
                </c:pt>
                <c:pt idx="8">
                  <c:v>1.3</c:v>
                </c:pt>
                <c:pt idx="9">
                  <c:v>1.6</c:v>
                </c:pt>
                <c:pt idx="10">
                  <c:v>1.4</c:v>
                </c:pt>
                <c:pt idx="11">
                  <c:v>1.45</c:v>
                </c:pt>
                <c:pt idx="12">
                  <c:v>1.5</c:v>
                </c:pt>
                <c:pt idx="13">
                  <c:v>1.55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6B3-435A-B57C-680E993408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36200296"/>
        <c:axId val="836200624"/>
      </c:lineChart>
      <c:catAx>
        <c:axId val="8362002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85000"/>
                <a:lumOff val="1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Segoe UI" panose="020B0502040204020203" pitchFamily="34" charset="0"/>
                <a:ea typeface="Segoe UI" panose="020B0502040204020203" pitchFamily="34" charset="0"/>
                <a:cs typeface="Segoe UI" panose="020B0502040204020203" pitchFamily="34" charset="0"/>
              </a:defRPr>
            </a:pPr>
            <a:endParaRPr lang="zh-CN"/>
          </a:p>
        </c:txPr>
        <c:crossAx val="836200624"/>
        <c:crosses val="autoZero"/>
        <c:auto val="1"/>
        <c:lblAlgn val="ctr"/>
        <c:lblOffset val="100"/>
        <c:tickMarkSkip val="1"/>
        <c:noMultiLvlLbl val="0"/>
      </c:catAx>
      <c:valAx>
        <c:axId val="836200624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Segoe UI" panose="020B0502040204020203" pitchFamily="34" charset="0"/>
                <a:ea typeface="Segoe UI" panose="020B0502040204020203" pitchFamily="34" charset="0"/>
                <a:cs typeface="Segoe UI" panose="020B0502040204020203" pitchFamily="34" charset="0"/>
              </a:defRPr>
            </a:pPr>
            <a:endParaRPr lang="zh-CN"/>
          </a:p>
        </c:txPr>
        <c:crossAx val="836200296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>
              <a:lumMod val="95000"/>
              <a:lumOff val="5000"/>
            </a:schemeClr>
          </a:solidFill>
          <a:latin typeface="Segoe UI" panose="020B0502040204020203" pitchFamily="34" charset="0"/>
          <a:ea typeface="Segoe UI" panose="020B0502040204020203" pitchFamily="34" charset="0"/>
          <a:cs typeface="Segoe UI" panose="020B0502040204020203" pitchFamily="34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200">
                <a:solidFill>
                  <a:sysClr val="windowText" lastClr="000000"/>
                </a:solidFill>
              </a:rPr>
              <a:t>OBR estimates there is no spare capacity in the economy</a:t>
            </a:r>
          </a:p>
          <a:p>
            <a:pPr algn="l">
              <a:defRPr/>
            </a:pPr>
            <a:r>
              <a:rPr lang="en-US" altLang="zh-CN" sz="1000">
                <a:solidFill>
                  <a:sysClr val="windowText" lastClr="000000"/>
                </a:solidFill>
              </a:rPr>
              <a:t>Output gap (actual minus potential GDP as a % of potential GDP)</a:t>
            </a:r>
            <a:endParaRPr lang="zh-CN" altLang="en-US" sz="1000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5.9373674181138314E-2"/>
          <c:y val="2.08877284595300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5.8027746531683543E-2"/>
          <c:y val="0.17742398388191033"/>
          <c:w val="0.86394132240319277"/>
          <c:h val="0.73920437491005531"/>
        </c:manualLayout>
      </c:layout>
      <c:areaChart>
        <c:grouping val="stacked"/>
        <c:varyColors val="0"/>
        <c:ser>
          <c:idx val="1"/>
          <c:order val="1"/>
          <c:tx>
            <c:strRef>
              <c:f>图1!$C$30</c:f>
              <c:strCache>
                <c:ptCount val="1"/>
                <c:pt idx="0">
                  <c:v>Range of OBR model
results lowest</c:v>
                </c:pt>
              </c:strCache>
            </c:strRef>
          </c:tx>
          <c:spPr>
            <a:noFill/>
            <a:ln>
              <a:noFill/>
            </a:ln>
            <a:effectLst/>
          </c:spPr>
          <c:cat>
            <c:strRef>
              <c:f>图1!$A$31:$A$72</c:f>
              <c:strCache>
                <c:ptCount val="41"/>
                <c:pt idx="0">
                  <c:v>2008</c:v>
                </c:pt>
                <c:pt idx="4">
                  <c:v>2009</c:v>
                </c:pt>
                <c:pt idx="8">
                  <c:v>2010</c:v>
                </c:pt>
                <c:pt idx="12">
                  <c:v>2011</c:v>
                </c:pt>
                <c:pt idx="16">
                  <c:v>2012</c:v>
                </c:pt>
                <c:pt idx="20">
                  <c:v>2013</c:v>
                </c:pt>
                <c:pt idx="24">
                  <c:v>2014</c:v>
                </c:pt>
                <c:pt idx="28">
                  <c:v>2015</c:v>
                </c:pt>
                <c:pt idx="32">
                  <c:v>2016</c:v>
                </c:pt>
                <c:pt idx="36">
                  <c:v>2017</c:v>
                </c:pt>
                <c:pt idx="40">
                  <c:v>2018</c:v>
                </c:pt>
              </c:strCache>
            </c:strRef>
          </c:cat>
          <c:val>
            <c:numRef>
              <c:f>图1!$C$31:$C$72</c:f>
              <c:numCache>
                <c:formatCode>0.0</c:formatCode>
                <c:ptCount val="42"/>
                <c:pt idx="0">
                  <c:v>2.4327841813887678</c:v>
                </c:pt>
                <c:pt idx="1">
                  <c:v>0.76229852115687879</c:v>
                </c:pt>
                <c:pt idx="2">
                  <c:v>0.71571388711294859</c:v>
                </c:pt>
                <c:pt idx="3">
                  <c:v>2.2016223700385638</c:v>
                </c:pt>
                <c:pt idx="4">
                  <c:v>0.18150002977099033</c:v>
                </c:pt>
                <c:pt idx="5">
                  <c:v>2.5708344831628014</c:v>
                </c:pt>
                <c:pt idx="6">
                  <c:v>2.0796137027187518</c:v>
                </c:pt>
                <c:pt idx="7">
                  <c:v>1.302451933235746</c:v>
                </c:pt>
                <c:pt idx="8">
                  <c:v>1.211931528633349</c:v>
                </c:pt>
                <c:pt idx="9">
                  <c:v>2.5205360554820682</c:v>
                </c:pt>
                <c:pt idx="10">
                  <c:v>1.0292187454161854</c:v>
                </c:pt>
                <c:pt idx="11">
                  <c:v>1.0010039055872038</c:v>
                </c:pt>
                <c:pt idx="12">
                  <c:v>1.9828113794507718</c:v>
                </c:pt>
                <c:pt idx="13">
                  <c:v>1.2114336492351208</c:v>
                </c:pt>
                <c:pt idx="14">
                  <c:v>0.94374014337396672</c:v>
                </c:pt>
                <c:pt idx="15">
                  <c:v>0.83753406576925626</c:v>
                </c:pt>
                <c:pt idx="16">
                  <c:v>2.4402202711932315</c:v>
                </c:pt>
                <c:pt idx="17">
                  <c:v>0.4387661287238348</c:v>
                </c:pt>
                <c:pt idx="18">
                  <c:v>1.0927943379992093</c:v>
                </c:pt>
                <c:pt idx="19">
                  <c:v>1.8596325403741143</c:v>
                </c:pt>
                <c:pt idx="20">
                  <c:v>2.1978713522098987</c:v>
                </c:pt>
                <c:pt idx="21">
                  <c:v>1.0319958834274423</c:v>
                </c:pt>
                <c:pt idx="22">
                  <c:v>1.9720366795355244</c:v>
                </c:pt>
                <c:pt idx="23">
                  <c:v>2.2528892087737034</c:v>
                </c:pt>
                <c:pt idx="24">
                  <c:v>1.5529716068756163</c:v>
                </c:pt>
                <c:pt idx="25">
                  <c:v>0.41364494634979576</c:v>
                </c:pt>
                <c:pt idx="26">
                  <c:v>2.4085694175487378</c:v>
                </c:pt>
                <c:pt idx="27">
                  <c:v>1.7153430251397976</c:v>
                </c:pt>
                <c:pt idx="28">
                  <c:v>0.81373648347358152</c:v>
                </c:pt>
                <c:pt idx="29">
                  <c:v>1.7771906441662075</c:v>
                </c:pt>
                <c:pt idx="30">
                  <c:v>1.9417860913307634</c:v>
                </c:pt>
                <c:pt idx="31">
                  <c:v>1.3376106115545454</c:v>
                </c:pt>
                <c:pt idx="32">
                  <c:v>2.3966141849488767</c:v>
                </c:pt>
                <c:pt idx="33">
                  <c:v>0.95889363404069772</c:v>
                </c:pt>
                <c:pt idx="34">
                  <c:v>1.3179228684218196</c:v>
                </c:pt>
                <c:pt idx="35">
                  <c:v>2.2876838580566501</c:v>
                </c:pt>
                <c:pt idx="36">
                  <c:v>2.4151475628070855</c:v>
                </c:pt>
                <c:pt idx="37">
                  <c:v>1.9010947602655506</c:v>
                </c:pt>
                <c:pt idx="38">
                  <c:v>0.6440788047434397</c:v>
                </c:pt>
                <c:pt idx="39">
                  <c:v>2.2530777912290469</c:v>
                </c:pt>
                <c:pt idx="40">
                  <c:v>1.6707487874905325</c:v>
                </c:pt>
                <c:pt idx="41">
                  <c:v>0.47979670270757246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0E-4456-8345-95FB3B4F87BE}"/>
            </c:ext>
          </c:extLst>
        </c:ser>
        <c:ser>
          <c:idx val="2"/>
          <c:order val="2"/>
          <c:tx>
            <c:v>Range of OBR model results (excluding highest and lowest)</c:v>
          </c:tx>
          <c:spPr>
            <a:solidFill>
              <a:schemeClr val="bg2">
                <a:lumMod val="90000"/>
              </a:schemeClr>
            </a:solidFill>
            <a:ln>
              <a:noFill/>
            </a:ln>
            <a:effectLst/>
          </c:spPr>
          <c:cat>
            <c:strRef>
              <c:f>图1!$A$31:$A$72</c:f>
              <c:strCache>
                <c:ptCount val="41"/>
                <c:pt idx="0">
                  <c:v>2008</c:v>
                </c:pt>
                <c:pt idx="4">
                  <c:v>2009</c:v>
                </c:pt>
                <c:pt idx="8">
                  <c:v>2010</c:v>
                </c:pt>
                <c:pt idx="12">
                  <c:v>2011</c:v>
                </c:pt>
                <c:pt idx="16">
                  <c:v>2012</c:v>
                </c:pt>
                <c:pt idx="20">
                  <c:v>2013</c:v>
                </c:pt>
                <c:pt idx="24">
                  <c:v>2014</c:v>
                </c:pt>
                <c:pt idx="28">
                  <c:v>2015</c:v>
                </c:pt>
                <c:pt idx="32">
                  <c:v>2016</c:v>
                </c:pt>
                <c:pt idx="36">
                  <c:v>2017</c:v>
                </c:pt>
                <c:pt idx="40">
                  <c:v>2018</c:v>
                </c:pt>
              </c:strCache>
            </c:strRef>
          </c:cat>
          <c:val>
            <c:numRef>
              <c:f>图1!$E$31:$E$72</c:f>
              <c:numCache>
                <c:formatCode>0.0</c:formatCode>
                <c:ptCount val="42"/>
                <c:pt idx="0">
                  <c:v>0.40249377594053026</c:v>
                </c:pt>
                <c:pt idx="1">
                  <c:v>1.3907130100315221</c:v>
                </c:pt>
                <c:pt idx="2">
                  <c:v>0.53004284290891246</c:v>
                </c:pt>
                <c:pt idx="3">
                  <c:v>0.65875313941221103</c:v>
                </c:pt>
                <c:pt idx="4">
                  <c:v>1.0607806854487252</c:v>
                </c:pt>
                <c:pt idx="5">
                  <c:v>0.28660444263947404</c:v>
                </c:pt>
                <c:pt idx="6">
                  <c:v>0.32029941108848403</c:v>
                </c:pt>
                <c:pt idx="7">
                  <c:v>0.97489009004671345</c:v>
                </c:pt>
                <c:pt idx="8">
                  <c:v>1.5986900183800961</c:v>
                </c:pt>
                <c:pt idx="9">
                  <c:v>1.1381971614119726</c:v>
                </c:pt>
                <c:pt idx="10">
                  <c:v>0.70441617028225556</c:v>
                </c:pt>
                <c:pt idx="11">
                  <c:v>1.9130099678858978</c:v>
                </c:pt>
                <c:pt idx="12">
                  <c:v>1.0612245127450508</c:v>
                </c:pt>
                <c:pt idx="13">
                  <c:v>1.1541941870960724</c:v>
                </c:pt>
                <c:pt idx="14">
                  <c:v>1.1091145076570059</c:v>
                </c:pt>
                <c:pt idx="15">
                  <c:v>0.78302624190405168</c:v>
                </c:pt>
                <c:pt idx="16">
                  <c:v>0.61180223065415174</c:v>
                </c:pt>
                <c:pt idx="17">
                  <c:v>0.88999243809867734</c:v>
                </c:pt>
                <c:pt idx="18">
                  <c:v>1.2862841890572787</c:v>
                </c:pt>
                <c:pt idx="19">
                  <c:v>1.5439673032777845</c:v>
                </c:pt>
                <c:pt idx="20">
                  <c:v>0.559712510338505</c:v>
                </c:pt>
                <c:pt idx="21">
                  <c:v>1.2987325196304293</c:v>
                </c:pt>
                <c:pt idx="22">
                  <c:v>1.0392968803044078</c:v>
                </c:pt>
                <c:pt idx="23">
                  <c:v>0.45484677846533783</c:v>
                </c:pt>
                <c:pt idx="24">
                  <c:v>1.0517525712108609</c:v>
                </c:pt>
                <c:pt idx="25">
                  <c:v>1.5608662569848823</c:v>
                </c:pt>
                <c:pt idx="26">
                  <c:v>1.4862585820067182</c:v>
                </c:pt>
                <c:pt idx="27">
                  <c:v>0.52720096384424053</c:v>
                </c:pt>
                <c:pt idx="28">
                  <c:v>0.20848519523019082</c:v>
                </c:pt>
                <c:pt idx="29">
                  <c:v>1.2211836838565202</c:v>
                </c:pt>
                <c:pt idx="30">
                  <c:v>1.2333081192770288</c:v>
                </c:pt>
                <c:pt idx="31">
                  <c:v>0.37318202197813077</c:v>
                </c:pt>
                <c:pt idx="32">
                  <c:v>1.0931481922721247</c:v>
                </c:pt>
                <c:pt idx="33">
                  <c:v>0.75215685448724856</c:v>
                </c:pt>
                <c:pt idx="34">
                  <c:v>0.66024086984669417</c:v>
                </c:pt>
                <c:pt idx="35">
                  <c:v>1.3133162028114302</c:v>
                </c:pt>
                <c:pt idx="36">
                  <c:v>1.0002657228877019</c:v>
                </c:pt>
                <c:pt idx="37">
                  <c:v>1.1533022648618605</c:v>
                </c:pt>
                <c:pt idx="38">
                  <c:v>1.6086439098702479</c:v>
                </c:pt>
                <c:pt idx="39">
                  <c:v>1.0086604449245056</c:v>
                </c:pt>
                <c:pt idx="40">
                  <c:v>1.2179938356764635</c:v>
                </c:pt>
                <c:pt idx="41">
                  <c:v>1.5030897353403039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80E-4456-8345-95FB3B4F87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3452880"/>
        <c:axId val="783452552"/>
      </c:areaChart>
      <c:lineChart>
        <c:grouping val="standard"/>
        <c:varyColors val="0"/>
        <c:ser>
          <c:idx val="0"/>
          <c:order val="0"/>
          <c:tx>
            <c:strRef>
              <c:f>图1!$B$30</c:f>
              <c:strCache>
                <c:ptCount val="1"/>
                <c:pt idx="0">
                  <c:v>Latest OBR
central estimate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图1!$A$31:$A$72</c:f>
              <c:strCache>
                <c:ptCount val="41"/>
                <c:pt idx="0">
                  <c:v>2008</c:v>
                </c:pt>
                <c:pt idx="4">
                  <c:v>2009</c:v>
                </c:pt>
                <c:pt idx="8">
                  <c:v>2010</c:v>
                </c:pt>
                <c:pt idx="12">
                  <c:v>2011</c:v>
                </c:pt>
                <c:pt idx="16">
                  <c:v>2012</c:v>
                </c:pt>
                <c:pt idx="20">
                  <c:v>2013</c:v>
                </c:pt>
                <c:pt idx="24">
                  <c:v>2014</c:v>
                </c:pt>
                <c:pt idx="28">
                  <c:v>2015</c:v>
                </c:pt>
                <c:pt idx="32">
                  <c:v>2016</c:v>
                </c:pt>
                <c:pt idx="36">
                  <c:v>2017</c:v>
                </c:pt>
                <c:pt idx="40">
                  <c:v>2018</c:v>
                </c:pt>
              </c:strCache>
            </c:strRef>
          </c:cat>
          <c:val>
            <c:numRef>
              <c:f>图1!$B$31:$B$72</c:f>
              <c:numCache>
                <c:formatCode>0.0</c:formatCode>
                <c:ptCount val="42"/>
                <c:pt idx="0">
                  <c:v>2.5</c:v>
                </c:pt>
                <c:pt idx="1">
                  <c:v>1.2</c:v>
                </c:pt>
                <c:pt idx="2">
                  <c:v>1.2</c:v>
                </c:pt>
                <c:pt idx="3">
                  <c:v>2.5</c:v>
                </c:pt>
                <c:pt idx="4">
                  <c:v>1.1000000000000001</c:v>
                </c:pt>
                <c:pt idx="5">
                  <c:v>2.6</c:v>
                </c:pt>
                <c:pt idx="6">
                  <c:v>2.1</c:v>
                </c:pt>
                <c:pt idx="7">
                  <c:v>2.1</c:v>
                </c:pt>
                <c:pt idx="8">
                  <c:v>2</c:v>
                </c:pt>
                <c:pt idx="9">
                  <c:v>2.8</c:v>
                </c:pt>
                <c:pt idx="10">
                  <c:v>1.2</c:v>
                </c:pt>
                <c:pt idx="11">
                  <c:v>2</c:v>
                </c:pt>
                <c:pt idx="12">
                  <c:v>2.6</c:v>
                </c:pt>
                <c:pt idx="13">
                  <c:v>2.1</c:v>
                </c:pt>
                <c:pt idx="14">
                  <c:v>1.1000000000000001</c:v>
                </c:pt>
                <c:pt idx="15">
                  <c:v>1.5</c:v>
                </c:pt>
                <c:pt idx="16">
                  <c:v>2.9</c:v>
                </c:pt>
                <c:pt idx="17">
                  <c:v>1.3</c:v>
                </c:pt>
                <c:pt idx="18">
                  <c:v>1.8</c:v>
                </c:pt>
                <c:pt idx="19">
                  <c:v>2.8</c:v>
                </c:pt>
                <c:pt idx="20">
                  <c:v>2.2999999999999998</c:v>
                </c:pt>
                <c:pt idx="21">
                  <c:v>1.4</c:v>
                </c:pt>
                <c:pt idx="22">
                  <c:v>2.7</c:v>
                </c:pt>
                <c:pt idx="23">
                  <c:v>2.7</c:v>
                </c:pt>
                <c:pt idx="24">
                  <c:v>2.2000000000000002</c:v>
                </c:pt>
                <c:pt idx="25">
                  <c:v>1.1000000000000001</c:v>
                </c:pt>
                <c:pt idx="26">
                  <c:v>2.9</c:v>
                </c:pt>
                <c:pt idx="27">
                  <c:v>2.1</c:v>
                </c:pt>
                <c:pt idx="28">
                  <c:v>1</c:v>
                </c:pt>
                <c:pt idx="29">
                  <c:v>2.7</c:v>
                </c:pt>
                <c:pt idx="30">
                  <c:v>2.5</c:v>
                </c:pt>
                <c:pt idx="31">
                  <c:v>1.7</c:v>
                </c:pt>
                <c:pt idx="32">
                  <c:v>2.7</c:v>
                </c:pt>
                <c:pt idx="33">
                  <c:v>1.6</c:v>
                </c:pt>
                <c:pt idx="34">
                  <c:v>1.8</c:v>
                </c:pt>
                <c:pt idx="35">
                  <c:v>2.8</c:v>
                </c:pt>
                <c:pt idx="36">
                  <c:v>2.5</c:v>
                </c:pt>
                <c:pt idx="37">
                  <c:v>2.2000000000000002</c:v>
                </c:pt>
                <c:pt idx="38">
                  <c:v>1.3</c:v>
                </c:pt>
                <c:pt idx="39">
                  <c:v>2.5</c:v>
                </c:pt>
                <c:pt idx="40">
                  <c:v>2</c:v>
                </c:pt>
                <c:pt idx="4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80E-4456-8345-95FB3B4F87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83452880"/>
        <c:axId val="783452552"/>
      </c:lineChart>
      <c:dateAx>
        <c:axId val="7834528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83452552"/>
        <c:crosses val="autoZero"/>
        <c:auto val="0"/>
        <c:lblOffset val="100"/>
        <c:baseTimeUnit val="days"/>
        <c:majorUnit val="4"/>
      </c:dateAx>
      <c:valAx>
        <c:axId val="783452552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83452880"/>
        <c:crosses val="max"/>
        <c:crossBetween val="between"/>
      </c:valAx>
      <c:spPr>
        <a:noFill/>
        <a:ln>
          <a:noFill/>
        </a:ln>
        <a:effectLst/>
      </c:spPr>
    </c:plotArea>
    <c:legend>
      <c:legendPos val="t"/>
      <c:legendEntry>
        <c:idx val="0"/>
        <c:delete val="1"/>
      </c:legendEntry>
      <c:layout>
        <c:manualLayout>
          <c:xMode val="edge"/>
          <c:yMode val="edge"/>
          <c:x val="4.9999990132814295E-2"/>
          <c:y val="0.14570944950419057"/>
          <c:w val="0.86741837518631715"/>
          <c:h val="9.660656647684053E-2"/>
        </c:manualLayout>
      </c:layout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5.5555555555555552E-2"/>
          <c:y val="0.25970415667044106"/>
          <c:w val="0.87732830271216078"/>
          <c:h val="0.6696811057947735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图2!$C$4</c:f>
              <c:strCache>
                <c:ptCount val="1"/>
                <c:pt idx="0">
                  <c:v>Private consumption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图2!$B$5:$B$13</c:f>
              <c:strCache>
                <c:ptCount val="9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</c:strCache>
            </c:strRef>
          </c:cat>
          <c:val>
            <c:numRef>
              <c:f>图2!$C$5:$C$13</c:f>
              <c:numCache>
                <c:formatCode>General</c:formatCode>
                <c:ptCount val="9"/>
                <c:pt idx="0">
                  <c:v>0.43</c:v>
                </c:pt>
                <c:pt idx="1">
                  <c:v>0.57999999999999996</c:v>
                </c:pt>
                <c:pt idx="2">
                  <c:v>0.56999999999999995</c:v>
                </c:pt>
                <c:pt idx="3">
                  <c:v>0.33</c:v>
                </c:pt>
                <c:pt idx="4">
                  <c:v>0.37</c:v>
                </c:pt>
                <c:pt idx="5">
                  <c:v>0.39</c:v>
                </c:pt>
                <c:pt idx="6">
                  <c:v>0.53</c:v>
                </c:pt>
                <c:pt idx="7">
                  <c:v>0.52</c:v>
                </c:pt>
                <c:pt idx="8">
                  <c:v>0.32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1B-4D14-9255-38BECB974BCF}"/>
            </c:ext>
          </c:extLst>
        </c:ser>
        <c:ser>
          <c:idx val="1"/>
          <c:order val="1"/>
          <c:tx>
            <c:strRef>
              <c:f>图2!$D$4</c:f>
              <c:strCache>
                <c:ptCount val="1"/>
                <c:pt idx="0">
                  <c:v>Private investment (including stocks)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图2!$B$5:$B$13</c:f>
              <c:strCache>
                <c:ptCount val="9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</c:strCache>
            </c:strRef>
          </c:cat>
          <c:val>
            <c:numRef>
              <c:f>图2!$D$5:$D$13</c:f>
              <c:numCache>
                <c:formatCode>General</c:formatCode>
                <c:ptCount val="9"/>
                <c:pt idx="0">
                  <c:v>-0.04</c:v>
                </c:pt>
                <c:pt idx="1">
                  <c:v>0.11</c:v>
                </c:pt>
                <c:pt idx="2">
                  <c:v>0.18</c:v>
                </c:pt>
                <c:pt idx="3">
                  <c:v>0.23</c:v>
                </c:pt>
                <c:pt idx="4">
                  <c:v>0.17</c:v>
                </c:pt>
                <c:pt idx="5">
                  <c:v>0.37</c:v>
                </c:pt>
                <c:pt idx="6">
                  <c:v>0.21</c:v>
                </c:pt>
                <c:pt idx="7">
                  <c:v>0.04</c:v>
                </c:pt>
                <c:pt idx="8">
                  <c:v>7.0000000000000007E-2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E1B-4D14-9255-38BECB974BCF}"/>
            </c:ext>
          </c:extLst>
        </c:ser>
        <c:ser>
          <c:idx val="2"/>
          <c:order val="2"/>
          <c:tx>
            <c:strRef>
              <c:f>图2!$E$4</c:f>
              <c:strCache>
                <c:ptCount val="1"/>
                <c:pt idx="0">
                  <c:v>Total government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图2!$B$5:$B$13</c:f>
              <c:strCache>
                <c:ptCount val="9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</c:strCache>
            </c:strRef>
          </c:cat>
          <c:val>
            <c:numRef>
              <c:f>图2!$E$5:$E$13</c:f>
              <c:numCache>
                <c:formatCode>General</c:formatCode>
                <c:ptCount val="9"/>
                <c:pt idx="0">
                  <c:v>0.03</c:v>
                </c:pt>
                <c:pt idx="1">
                  <c:v>0.04</c:v>
                </c:pt>
                <c:pt idx="2">
                  <c:v>0.41</c:v>
                </c:pt>
                <c:pt idx="3">
                  <c:v>0.04</c:v>
                </c:pt>
                <c:pt idx="4">
                  <c:v>0.36</c:v>
                </c:pt>
                <c:pt idx="5">
                  <c:v>-0.28000000000000003</c:v>
                </c:pt>
                <c:pt idx="6">
                  <c:v>7.0000000000000007E-2</c:v>
                </c:pt>
                <c:pt idx="7">
                  <c:v>-0.2</c:v>
                </c:pt>
                <c:pt idx="8">
                  <c:v>0.33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E1B-4D14-9255-38BECB974BCF}"/>
            </c:ext>
          </c:extLst>
        </c:ser>
        <c:ser>
          <c:idx val="3"/>
          <c:order val="3"/>
          <c:tx>
            <c:strRef>
              <c:f>图2!$F$4</c:f>
              <c:strCache>
                <c:ptCount val="1"/>
                <c:pt idx="0">
                  <c:v>Net trade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图2!$B$5:$B$13</c:f>
              <c:strCache>
                <c:ptCount val="9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</c:strCache>
            </c:strRef>
          </c:cat>
          <c:val>
            <c:numRef>
              <c:f>图2!$F$5:$F$13</c:f>
              <c:numCache>
                <c:formatCode>General</c:formatCode>
                <c:ptCount val="9"/>
                <c:pt idx="0">
                  <c:v>0</c:v>
                </c:pt>
                <c:pt idx="1">
                  <c:v>-0.02</c:v>
                </c:pt>
                <c:pt idx="2">
                  <c:v>0.02</c:v>
                </c:pt>
                <c:pt idx="3">
                  <c:v>0.18</c:v>
                </c:pt>
                <c:pt idx="4">
                  <c:v>0.42</c:v>
                </c:pt>
                <c:pt idx="5">
                  <c:v>0.39</c:v>
                </c:pt>
                <c:pt idx="6">
                  <c:v>0.28999999999999998</c:v>
                </c:pt>
                <c:pt idx="7">
                  <c:v>0.37</c:v>
                </c:pt>
                <c:pt idx="8">
                  <c:v>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E1B-4D14-9255-38BECB974BCF}"/>
            </c:ext>
          </c:extLst>
        </c:ser>
        <c:ser>
          <c:idx val="4"/>
          <c:order val="4"/>
          <c:tx>
            <c:strRef>
              <c:f>图2!$G$4</c:f>
              <c:strCache>
                <c:ptCount val="1"/>
                <c:pt idx="0">
                  <c:v>Other 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图2!$B$5:$B$13</c:f>
              <c:strCache>
                <c:ptCount val="9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</c:strCache>
            </c:strRef>
          </c:cat>
          <c:val>
            <c:numRef>
              <c:f>图2!$G$5:$G$13</c:f>
              <c:numCache>
                <c:formatCode>General</c:formatCode>
                <c:ptCount val="9"/>
                <c:pt idx="0">
                  <c:v>0.16</c:v>
                </c:pt>
                <c:pt idx="1">
                  <c:v>-0.3</c:v>
                </c:pt>
                <c:pt idx="2">
                  <c:v>0.21</c:v>
                </c:pt>
                <c:pt idx="3">
                  <c:v>0.45</c:v>
                </c:pt>
                <c:pt idx="4">
                  <c:v>0.3</c:v>
                </c:pt>
                <c:pt idx="5">
                  <c:v>0.28000000000000003</c:v>
                </c:pt>
                <c:pt idx="6">
                  <c:v>0.23</c:v>
                </c:pt>
                <c:pt idx="7">
                  <c:v>0.34</c:v>
                </c:pt>
                <c:pt idx="8">
                  <c:v>0.38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E1B-4D14-9255-38BECB974B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1127005784"/>
        <c:axId val="545204472"/>
      </c:barChart>
      <c:scatterChart>
        <c:scatterStyle val="lineMarker"/>
        <c:varyColors val="0"/>
        <c:ser>
          <c:idx val="5"/>
          <c:order val="5"/>
          <c:tx>
            <c:strRef>
              <c:f>图2!$H$4</c:f>
              <c:strCache>
                <c:ptCount val="1"/>
                <c:pt idx="0">
                  <c:v>GDP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0"/>
            <c:spPr>
              <a:solidFill>
                <a:srgbClr val="7030A0"/>
              </a:solidFill>
              <a:ln w="15875">
                <a:solidFill>
                  <a:schemeClr val="tx2">
                    <a:lumMod val="90000"/>
                  </a:schemeClr>
                </a:solidFill>
              </a:ln>
              <a:effectLst/>
            </c:spPr>
          </c:marker>
          <c:xVal>
            <c:numRef>
              <c:f>图2!$I$5:$I$13</c:f>
              <c:numCache>
                <c:formatCode>General</c:formatCode>
                <c:ptCount val="9"/>
                <c:pt idx="0">
                  <c:v>0.5</c:v>
                </c:pt>
                <c:pt idx="1">
                  <c:v>1.5</c:v>
                </c:pt>
                <c:pt idx="2">
                  <c:v>2.5</c:v>
                </c:pt>
                <c:pt idx="3">
                  <c:v>3.5</c:v>
                </c:pt>
                <c:pt idx="4">
                  <c:v>4.5</c:v>
                </c:pt>
                <c:pt idx="5">
                  <c:v>5.5</c:v>
                </c:pt>
                <c:pt idx="6">
                  <c:v>6.5</c:v>
                </c:pt>
                <c:pt idx="7">
                  <c:v>7.5</c:v>
                </c:pt>
                <c:pt idx="8">
                  <c:v>8.5</c:v>
                </c:pt>
              </c:numCache>
            </c:numRef>
          </c:xVal>
          <c:yVal>
            <c:numRef>
              <c:f>图2!$H$5:$H$13</c:f>
              <c:numCache>
                <c:formatCode>General</c:formatCode>
                <c:ptCount val="9"/>
                <c:pt idx="0">
                  <c:v>0.58000000000000007</c:v>
                </c:pt>
                <c:pt idx="1">
                  <c:v>0.41</c:v>
                </c:pt>
                <c:pt idx="2">
                  <c:v>1.39</c:v>
                </c:pt>
                <c:pt idx="3">
                  <c:v>1.23</c:v>
                </c:pt>
                <c:pt idx="4">
                  <c:v>1.62</c:v>
                </c:pt>
                <c:pt idx="5">
                  <c:v>1.1499999999999999</c:v>
                </c:pt>
                <c:pt idx="6">
                  <c:v>1.33</c:v>
                </c:pt>
                <c:pt idx="7">
                  <c:v>1.07</c:v>
                </c:pt>
                <c:pt idx="8">
                  <c:v>1.35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E1B-4D14-9255-38BECB974B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2502376"/>
        <c:axId val="1022198592"/>
      </c:scatterChart>
      <c:catAx>
        <c:axId val="11270057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noFill/>
          <a:ln w="6350" cap="flat" cmpd="sng" algn="ctr">
            <a:solidFill>
              <a:schemeClr val="tx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45204472"/>
        <c:crossesAt val="-0.5"/>
        <c:auto val="1"/>
        <c:lblAlgn val="ctr"/>
        <c:lblOffset val="100"/>
        <c:noMultiLvlLbl val="0"/>
      </c:catAx>
      <c:valAx>
        <c:axId val="545204472"/>
        <c:scaling>
          <c:orientation val="minMax"/>
          <c:max val="2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 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27005784"/>
        <c:crosses val="max"/>
        <c:crossBetween val="between"/>
      </c:valAx>
      <c:valAx>
        <c:axId val="1022198592"/>
        <c:scaling>
          <c:orientation val="minMax"/>
          <c:max val="2"/>
          <c:min val="-0.5"/>
        </c:scaling>
        <c:delete val="0"/>
        <c:axPos val="l"/>
        <c:numFmt formatCode="General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82502376"/>
        <c:crosses val="autoZero"/>
        <c:crossBetween val="midCat"/>
      </c:valAx>
      <c:valAx>
        <c:axId val="782502376"/>
        <c:scaling>
          <c:orientation val="minMax"/>
          <c:max val="9"/>
        </c:scaling>
        <c:delete val="0"/>
        <c:axPos val="t"/>
        <c:numFmt formatCode="General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22198592"/>
        <c:crosses val="max"/>
        <c:crossBetween val="midCat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5.2314814814814814E-2"/>
          <c:y val="9.6943707396044715E-2"/>
          <c:w val="0.73333333333333339"/>
          <c:h val="0.1290531187260721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50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</xdr:row>
      <xdr:rowOff>152400</xdr:rowOff>
    </xdr:from>
    <xdr:to>
      <xdr:col>13</xdr:col>
      <xdr:colOff>0</xdr:colOff>
      <xdr:row>25</xdr:row>
      <xdr:rowOff>0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D8B4B4FB-F74A-4DA7-ABD8-F8F13B5D82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200024</xdr:colOff>
      <xdr:row>29</xdr:row>
      <xdr:rowOff>152399</xdr:rowOff>
    </xdr:from>
    <xdr:to>
      <xdr:col>13</xdr:col>
      <xdr:colOff>0</xdr:colOff>
      <xdr:row>48</xdr:row>
      <xdr:rowOff>180974</xdr:rowOff>
    </xdr:to>
    <xdr:graphicFrame macro="">
      <xdr:nvGraphicFramePr>
        <xdr:cNvPr id="9" name="图表 8">
          <a:extLst>
            <a:ext uri="{FF2B5EF4-FFF2-40B4-BE49-F238E27FC236}">
              <a16:creationId xmlns:a16="http://schemas.microsoft.com/office/drawing/2014/main" id="{DB10DB46-1E3E-473C-969A-4B9F9DC4CA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601980</xdr:colOff>
      <xdr:row>0</xdr:row>
      <xdr:rowOff>123824</xdr:rowOff>
    </xdr:from>
    <xdr:to>
      <xdr:col>18</xdr:col>
      <xdr:colOff>80010</xdr:colOff>
      <xdr:row>26</xdr:row>
      <xdr:rowOff>114300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D57B1C87-4FBE-4260-A60B-F646D497A9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ECO2017">
      <a:dk1>
        <a:sysClr val="windowText" lastClr="000000"/>
      </a:dk1>
      <a:lt1>
        <a:sysClr val="window" lastClr="FFFFFF"/>
      </a:lt1>
      <a:dk2>
        <a:srgbClr val="C1DAE7"/>
      </a:dk2>
      <a:lt2>
        <a:srgbClr val="ECECE3"/>
      </a:lt2>
      <a:accent1>
        <a:srgbClr val="127A90"/>
      </a:accent1>
      <a:accent2>
        <a:srgbClr val="EE2F36"/>
      </a:accent2>
      <a:accent3>
        <a:srgbClr val="517B7B"/>
      </a:accent3>
      <a:accent4>
        <a:srgbClr val="839EA8"/>
      </a:accent4>
      <a:accent5>
        <a:srgbClr val="31C0E4"/>
      </a:accent5>
      <a:accent6>
        <a:srgbClr val="CAC9BA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2"/>
  <sheetViews>
    <sheetView showGridLines="0" tabSelected="1" workbookViewId="0">
      <selection activeCell="C22" sqref="C22"/>
    </sheetView>
  </sheetViews>
  <sheetFormatPr defaultColWidth="9" defaultRowHeight="15.6" x14ac:dyDescent="0.25"/>
  <cols>
    <col min="1" max="1" width="9" style="3"/>
    <col min="2" max="2" width="13.77734375" style="3" customWidth="1"/>
    <col min="3" max="3" width="19.44140625" style="3" bestFit="1" customWidth="1"/>
    <col min="4" max="4" width="18.77734375" style="3" customWidth="1"/>
    <col min="5" max="5" width="8.21875" style="3" customWidth="1"/>
    <col min="6" max="6" width="2.6640625" style="1" customWidth="1"/>
    <col min="7" max="12" width="9.109375" style="1" customWidth="1"/>
    <col min="13" max="13" width="11.77734375" style="1" customWidth="1"/>
    <col min="14" max="14" width="2.6640625" style="1" customWidth="1"/>
    <col min="15" max="16384" width="9" style="1"/>
  </cols>
  <sheetData>
    <row r="1" spans="1:5" ht="17.399999999999999" x14ac:dyDescent="0.25">
      <c r="A1" s="2" t="s">
        <v>0</v>
      </c>
      <c r="B1" s="2"/>
      <c r="C1" s="2"/>
    </row>
    <row r="2" spans="1:5" ht="17.399999999999999" x14ac:dyDescent="0.25">
      <c r="A2" s="2" t="s">
        <v>1</v>
      </c>
      <c r="B2" s="2"/>
      <c r="C2" s="2"/>
    </row>
    <row r="3" spans="1:5" ht="17.399999999999999" x14ac:dyDescent="0.25">
      <c r="A3" s="2" t="s">
        <v>2</v>
      </c>
      <c r="B3" s="2"/>
      <c r="C3" s="2"/>
    </row>
    <row r="5" spans="1:5" x14ac:dyDescent="0.25">
      <c r="A5" s="4" t="s">
        <v>3</v>
      </c>
      <c r="B5" s="5" t="s">
        <v>18</v>
      </c>
      <c r="C5" s="5" t="s">
        <v>19</v>
      </c>
      <c r="D5" s="6" t="s">
        <v>20</v>
      </c>
      <c r="E5" s="7"/>
    </row>
    <row r="6" spans="1:5" x14ac:dyDescent="0.25">
      <c r="A6" s="8" t="s">
        <v>4</v>
      </c>
      <c r="B6" s="9">
        <v>1.7</v>
      </c>
      <c r="C6" s="9"/>
      <c r="D6" s="10"/>
      <c r="E6" s="11"/>
    </row>
    <row r="7" spans="1:5" x14ac:dyDescent="0.25">
      <c r="A7" s="8" t="s">
        <v>5</v>
      </c>
      <c r="B7" s="9">
        <v>1.6</v>
      </c>
      <c r="C7" s="9"/>
      <c r="D7" s="10"/>
      <c r="E7" s="11"/>
    </row>
    <row r="8" spans="1:5" x14ac:dyDescent="0.25">
      <c r="A8" s="8" t="s">
        <v>6</v>
      </c>
      <c r="B8" s="9">
        <v>1.5</v>
      </c>
      <c r="C8" s="9"/>
      <c r="D8" s="10"/>
      <c r="E8" s="11"/>
    </row>
    <row r="9" spans="1:5" x14ac:dyDescent="0.25">
      <c r="A9" s="8" t="s">
        <v>7</v>
      </c>
      <c r="B9" s="9">
        <v>2</v>
      </c>
      <c r="C9" s="9"/>
      <c r="D9" s="10"/>
      <c r="E9" s="11"/>
    </row>
    <row r="10" spans="1:5" x14ac:dyDescent="0.25">
      <c r="A10" s="8" t="s">
        <v>8</v>
      </c>
      <c r="B10" s="9">
        <v>2.9</v>
      </c>
      <c r="C10" s="9"/>
      <c r="D10" s="10"/>
      <c r="E10" s="11"/>
    </row>
    <row r="11" spans="1:5" x14ac:dyDescent="0.25">
      <c r="A11" s="8" t="s">
        <v>9</v>
      </c>
      <c r="B11" s="9">
        <v>2.2999999999999998</v>
      </c>
      <c r="C11" s="9"/>
      <c r="D11" s="10"/>
      <c r="E11" s="11"/>
    </row>
    <row r="12" spans="1:5" x14ac:dyDescent="0.25">
      <c r="A12" s="8" t="s">
        <v>10</v>
      </c>
      <c r="B12" s="9">
        <v>1.8</v>
      </c>
      <c r="C12" s="9"/>
      <c r="D12" s="10"/>
      <c r="E12" s="11"/>
    </row>
    <row r="13" spans="1:5" x14ac:dyDescent="0.25">
      <c r="A13" s="8" t="s">
        <v>11</v>
      </c>
      <c r="B13" s="9">
        <v>1.7</v>
      </c>
      <c r="C13" s="12">
        <v>1.7</v>
      </c>
      <c r="D13" s="10">
        <v>1.7</v>
      </c>
      <c r="E13" s="11"/>
    </row>
    <row r="14" spans="1:5" x14ac:dyDescent="0.25">
      <c r="A14" s="8" t="s">
        <v>12</v>
      </c>
      <c r="B14" s="9"/>
      <c r="C14" s="12">
        <v>1.5</v>
      </c>
      <c r="D14" s="10">
        <v>1.3</v>
      </c>
      <c r="E14" s="11"/>
    </row>
    <row r="15" spans="1:5" x14ac:dyDescent="0.25">
      <c r="A15" s="8" t="s">
        <v>13</v>
      </c>
      <c r="B15" s="9"/>
      <c r="C15" s="12">
        <v>1.3</v>
      </c>
      <c r="D15" s="10">
        <v>1.6</v>
      </c>
      <c r="E15" s="11"/>
    </row>
    <row r="16" spans="1:5" x14ac:dyDescent="0.25">
      <c r="A16" s="8" t="s">
        <v>14</v>
      </c>
      <c r="B16" s="9"/>
      <c r="C16" s="12">
        <v>1.35</v>
      </c>
      <c r="D16" s="10">
        <v>1.4</v>
      </c>
      <c r="E16" s="11"/>
    </row>
    <row r="17" spans="1:5" x14ac:dyDescent="0.25">
      <c r="A17" s="8" t="s">
        <v>15</v>
      </c>
      <c r="B17" s="9"/>
      <c r="C17" s="12">
        <v>1.4</v>
      </c>
      <c r="D17" s="10">
        <v>1.45</v>
      </c>
      <c r="E17" s="11"/>
    </row>
    <row r="18" spans="1:5" x14ac:dyDescent="0.25">
      <c r="A18" s="8" t="s">
        <v>16</v>
      </c>
      <c r="B18" s="9"/>
      <c r="C18" s="12">
        <v>1.48</v>
      </c>
      <c r="D18" s="10">
        <v>1.5</v>
      </c>
      <c r="E18" s="11"/>
    </row>
    <row r="19" spans="1:5" x14ac:dyDescent="0.25">
      <c r="A19" s="13" t="s">
        <v>17</v>
      </c>
      <c r="B19" s="14"/>
      <c r="C19" s="15"/>
      <c r="D19" s="16">
        <v>1.55</v>
      </c>
      <c r="E19" s="11"/>
    </row>
    <row r="20" spans="1:5" x14ac:dyDescent="0.25">
      <c r="A20" s="17"/>
    </row>
    <row r="21" spans="1:5" x14ac:dyDescent="0.25">
      <c r="A21" s="17"/>
    </row>
    <row r="22" spans="1:5" x14ac:dyDescent="0.25">
      <c r="A22" s="17"/>
    </row>
    <row r="23" spans="1:5" x14ac:dyDescent="0.25">
      <c r="A23" s="17"/>
    </row>
    <row r="24" spans="1:5" x14ac:dyDescent="0.25">
      <c r="A24" s="17"/>
    </row>
    <row r="25" spans="1:5" x14ac:dyDescent="0.25">
      <c r="A25" s="17"/>
    </row>
    <row r="27" spans="1:5" x14ac:dyDescent="0.25">
      <c r="A27" s="3" t="s">
        <v>21</v>
      </c>
    </row>
    <row r="28" spans="1:5" x14ac:dyDescent="0.25">
      <c r="A28" s="3" t="s">
        <v>22</v>
      </c>
    </row>
    <row r="30" spans="1:5" ht="46.8" x14ac:dyDescent="0.25">
      <c r="A30" s="18" t="s">
        <v>3</v>
      </c>
      <c r="B30" s="19" t="s">
        <v>39</v>
      </c>
      <c r="C30" s="20" t="s">
        <v>37</v>
      </c>
      <c r="D30" s="20" t="s">
        <v>38</v>
      </c>
      <c r="E30" s="21" t="s">
        <v>36</v>
      </c>
    </row>
    <row r="31" spans="1:5" x14ac:dyDescent="0.25">
      <c r="A31" s="22" t="s">
        <v>23</v>
      </c>
      <c r="B31" s="23">
        <f ca="1">(30-RANDBETWEEN(10,30))/10+1</f>
        <v>2.5</v>
      </c>
      <c r="C31" s="23">
        <f ca="1">B31-RAND()</f>
        <v>2.4327841813887678</v>
      </c>
      <c r="D31" s="23">
        <f ca="1">B31+RAND()</f>
        <v>2.8352779573292981</v>
      </c>
      <c r="E31" s="24">
        <f ca="1">D31-C31</f>
        <v>0.40249377594053026</v>
      </c>
    </row>
    <row r="32" spans="1:5" x14ac:dyDescent="0.25">
      <c r="A32" s="22"/>
      <c r="B32" s="23">
        <f t="shared" ref="B32:B72" ca="1" si="0">(30-RANDBETWEEN(10,30))/10+1</f>
        <v>1.2</v>
      </c>
      <c r="C32" s="23">
        <f t="shared" ref="C32:C72" ca="1" si="1">B32-RAND()</f>
        <v>0.76229852115687879</v>
      </c>
      <c r="D32" s="23">
        <f t="shared" ref="D32:D72" ca="1" si="2">B32+RAND()</f>
        <v>2.1530115311884011</v>
      </c>
      <c r="E32" s="24">
        <f t="shared" ref="E32:E72" ca="1" si="3">D32-C32</f>
        <v>1.3907130100315221</v>
      </c>
    </row>
    <row r="33" spans="1:5" x14ac:dyDescent="0.25">
      <c r="A33" s="22"/>
      <c r="B33" s="23">
        <f t="shared" ca="1" si="0"/>
        <v>1.2</v>
      </c>
      <c r="C33" s="23">
        <f t="shared" ca="1" si="1"/>
        <v>0.71571388711294859</v>
      </c>
      <c r="D33" s="23">
        <f t="shared" ca="1" si="2"/>
        <v>1.245756730021861</v>
      </c>
      <c r="E33" s="24">
        <f t="shared" ca="1" si="3"/>
        <v>0.53004284290891246</v>
      </c>
    </row>
    <row r="34" spans="1:5" x14ac:dyDescent="0.25">
      <c r="A34" s="22"/>
      <c r="B34" s="23">
        <f t="shared" ca="1" si="0"/>
        <v>2.5</v>
      </c>
      <c r="C34" s="23">
        <f t="shared" ca="1" si="1"/>
        <v>2.2016223700385638</v>
      </c>
      <c r="D34" s="23">
        <f t="shared" ca="1" si="2"/>
        <v>2.8603755094507748</v>
      </c>
      <c r="E34" s="24">
        <f t="shared" ca="1" si="3"/>
        <v>0.65875313941221103</v>
      </c>
    </row>
    <row r="35" spans="1:5" x14ac:dyDescent="0.25">
      <c r="A35" s="22" t="s">
        <v>24</v>
      </c>
      <c r="B35" s="23">
        <f t="shared" ca="1" si="0"/>
        <v>1.1000000000000001</v>
      </c>
      <c r="C35" s="23">
        <f t="shared" ca="1" si="1"/>
        <v>0.18150002977099033</v>
      </c>
      <c r="D35" s="23">
        <f t="shared" ca="1" si="2"/>
        <v>1.2422807152197155</v>
      </c>
      <c r="E35" s="24">
        <f t="shared" ca="1" si="3"/>
        <v>1.0607806854487252</v>
      </c>
    </row>
    <row r="36" spans="1:5" x14ac:dyDescent="0.25">
      <c r="A36" s="22"/>
      <c r="B36" s="23">
        <f t="shared" ca="1" si="0"/>
        <v>2.6</v>
      </c>
      <c r="C36" s="23">
        <f t="shared" ca="1" si="1"/>
        <v>2.5708344831628014</v>
      </c>
      <c r="D36" s="23">
        <f t="shared" ca="1" si="2"/>
        <v>2.8574389258022754</v>
      </c>
      <c r="E36" s="24">
        <f t="shared" ca="1" si="3"/>
        <v>0.28660444263947404</v>
      </c>
    </row>
    <row r="37" spans="1:5" x14ac:dyDescent="0.25">
      <c r="A37" s="22"/>
      <c r="B37" s="23">
        <f t="shared" ca="1" si="0"/>
        <v>2.1</v>
      </c>
      <c r="C37" s="23">
        <f t="shared" ca="1" si="1"/>
        <v>2.0796137027187518</v>
      </c>
      <c r="D37" s="23">
        <f t="shared" ca="1" si="2"/>
        <v>2.3999131138072358</v>
      </c>
      <c r="E37" s="24">
        <f t="shared" ca="1" si="3"/>
        <v>0.32029941108848403</v>
      </c>
    </row>
    <row r="38" spans="1:5" x14ac:dyDescent="0.25">
      <c r="A38" s="22"/>
      <c r="B38" s="23">
        <f t="shared" ca="1" si="0"/>
        <v>2.1</v>
      </c>
      <c r="C38" s="23">
        <f t="shared" ca="1" si="1"/>
        <v>1.302451933235746</v>
      </c>
      <c r="D38" s="23">
        <f t="shared" ca="1" si="2"/>
        <v>2.2773420232824595</v>
      </c>
      <c r="E38" s="24">
        <f t="shared" ca="1" si="3"/>
        <v>0.97489009004671345</v>
      </c>
    </row>
    <row r="39" spans="1:5" x14ac:dyDescent="0.25">
      <c r="A39" s="22" t="s">
        <v>4</v>
      </c>
      <c r="B39" s="23">
        <f t="shared" ca="1" si="0"/>
        <v>2</v>
      </c>
      <c r="C39" s="23">
        <f t="shared" ca="1" si="1"/>
        <v>1.211931528633349</v>
      </c>
      <c r="D39" s="23">
        <f t="shared" ca="1" si="2"/>
        <v>2.810621547013445</v>
      </c>
      <c r="E39" s="24">
        <f t="shared" ca="1" si="3"/>
        <v>1.5986900183800961</v>
      </c>
    </row>
    <row r="40" spans="1:5" x14ac:dyDescent="0.25">
      <c r="A40" s="22"/>
      <c r="B40" s="23">
        <f t="shared" ca="1" si="0"/>
        <v>2.8</v>
      </c>
      <c r="C40" s="23">
        <f t="shared" ca="1" si="1"/>
        <v>2.5205360554820682</v>
      </c>
      <c r="D40" s="23">
        <f t="shared" ca="1" si="2"/>
        <v>3.6587332168940407</v>
      </c>
      <c r="E40" s="24">
        <f t="shared" ca="1" si="3"/>
        <v>1.1381971614119726</v>
      </c>
    </row>
    <row r="41" spans="1:5" x14ac:dyDescent="0.25">
      <c r="A41" s="22"/>
      <c r="B41" s="23">
        <f t="shared" ca="1" si="0"/>
        <v>1.2</v>
      </c>
      <c r="C41" s="23">
        <f t="shared" ca="1" si="1"/>
        <v>1.0292187454161854</v>
      </c>
      <c r="D41" s="23">
        <f t="shared" ca="1" si="2"/>
        <v>1.733634915698441</v>
      </c>
      <c r="E41" s="24">
        <f t="shared" ca="1" si="3"/>
        <v>0.70441617028225556</v>
      </c>
    </row>
    <row r="42" spans="1:5" x14ac:dyDescent="0.25">
      <c r="A42" s="22"/>
      <c r="B42" s="23">
        <f t="shared" ca="1" si="0"/>
        <v>2</v>
      </c>
      <c r="C42" s="23">
        <f t="shared" ca="1" si="1"/>
        <v>1.0010039055872038</v>
      </c>
      <c r="D42" s="23">
        <f t="shared" ca="1" si="2"/>
        <v>2.9140138734731016</v>
      </c>
      <c r="E42" s="24">
        <f t="shared" ca="1" si="3"/>
        <v>1.9130099678858978</v>
      </c>
    </row>
    <row r="43" spans="1:5" x14ac:dyDescent="0.25">
      <c r="A43" s="22" t="s">
        <v>25</v>
      </c>
      <c r="B43" s="23">
        <f t="shared" ca="1" si="0"/>
        <v>2.6</v>
      </c>
      <c r="C43" s="23">
        <f t="shared" ca="1" si="1"/>
        <v>1.9828113794507718</v>
      </c>
      <c r="D43" s="23">
        <f t="shared" ca="1" si="2"/>
        <v>3.0440358921958226</v>
      </c>
      <c r="E43" s="24">
        <f t="shared" ca="1" si="3"/>
        <v>1.0612245127450508</v>
      </c>
    </row>
    <row r="44" spans="1:5" x14ac:dyDescent="0.25">
      <c r="A44" s="22"/>
      <c r="B44" s="23">
        <f t="shared" ca="1" si="0"/>
        <v>2.1</v>
      </c>
      <c r="C44" s="23">
        <f t="shared" ca="1" si="1"/>
        <v>1.2114336492351208</v>
      </c>
      <c r="D44" s="23">
        <f t="shared" ca="1" si="2"/>
        <v>2.3656278363311931</v>
      </c>
      <c r="E44" s="24">
        <f t="shared" ca="1" si="3"/>
        <v>1.1541941870960724</v>
      </c>
    </row>
    <row r="45" spans="1:5" x14ac:dyDescent="0.25">
      <c r="A45" s="22"/>
      <c r="B45" s="23">
        <f t="shared" ca="1" si="0"/>
        <v>1.1000000000000001</v>
      </c>
      <c r="C45" s="23">
        <f t="shared" ca="1" si="1"/>
        <v>0.94374014337396672</v>
      </c>
      <c r="D45" s="23">
        <f t="shared" ca="1" si="2"/>
        <v>2.0528546510309726</v>
      </c>
      <c r="E45" s="24">
        <f t="shared" ca="1" si="3"/>
        <v>1.1091145076570059</v>
      </c>
    </row>
    <row r="46" spans="1:5" x14ac:dyDescent="0.25">
      <c r="A46" s="22"/>
      <c r="B46" s="23">
        <f t="shared" ca="1" si="0"/>
        <v>1.5</v>
      </c>
      <c r="C46" s="23">
        <f t="shared" ca="1" si="1"/>
        <v>0.83753406576925626</v>
      </c>
      <c r="D46" s="23">
        <f t="shared" ca="1" si="2"/>
        <v>1.6205603076733079</v>
      </c>
      <c r="E46" s="24">
        <f t="shared" ca="1" si="3"/>
        <v>0.78302624190405168</v>
      </c>
    </row>
    <row r="47" spans="1:5" x14ac:dyDescent="0.25">
      <c r="A47" s="22" t="s">
        <v>26</v>
      </c>
      <c r="B47" s="23">
        <f t="shared" ca="1" si="0"/>
        <v>2.9</v>
      </c>
      <c r="C47" s="23">
        <f t="shared" ca="1" si="1"/>
        <v>2.4402202711932315</v>
      </c>
      <c r="D47" s="23">
        <f t="shared" ca="1" si="2"/>
        <v>3.0520225018473832</v>
      </c>
      <c r="E47" s="24">
        <f t="shared" ca="1" si="3"/>
        <v>0.61180223065415174</v>
      </c>
    </row>
    <row r="48" spans="1:5" x14ac:dyDescent="0.25">
      <c r="A48" s="22"/>
      <c r="B48" s="23">
        <f t="shared" ca="1" si="0"/>
        <v>1.3</v>
      </c>
      <c r="C48" s="23">
        <f t="shared" ca="1" si="1"/>
        <v>0.4387661287238348</v>
      </c>
      <c r="D48" s="23">
        <f t="shared" ca="1" si="2"/>
        <v>1.3287585668225121</v>
      </c>
      <c r="E48" s="24">
        <f t="shared" ca="1" si="3"/>
        <v>0.88999243809867734</v>
      </c>
    </row>
    <row r="49" spans="1:5" x14ac:dyDescent="0.25">
      <c r="A49" s="22"/>
      <c r="B49" s="23">
        <f t="shared" ca="1" si="0"/>
        <v>1.8</v>
      </c>
      <c r="C49" s="23">
        <f t="shared" ca="1" si="1"/>
        <v>1.0927943379992093</v>
      </c>
      <c r="D49" s="23">
        <f t="shared" ca="1" si="2"/>
        <v>2.379078527056488</v>
      </c>
      <c r="E49" s="24">
        <f t="shared" ca="1" si="3"/>
        <v>1.2862841890572787</v>
      </c>
    </row>
    <row r="50" spans="1:5" x14ac:dyDescent="0.25">
      <c r="A50" s="22"/>
      <c r="B50" s="23">
        <f t="shared" ca="1" si="0"/>
        <v>2.8</v>
      </c>
      <c r="C50" s="23">
        <f t="shared" ca="1" si="1"/>
        <v>1.8596325403741143</v>
      </c>
      <c r="D50" s="23">
        <f t="shared" ca="1" si="2"/>
        <v>3.4035998436518988</v>
      </c>
      <c r="E50" s="24">
        <f t="shared" ca="1" si="3"/>
        <v>1.5439673032777845</v>
      </c>
    </row>
    <row r="51" spans="1:5" x14ac:dyDescent="0.25">
      <c r="A51" s="22" t="s">
        <v>27</v>
      </c>
      <c r="B51" s="23">
        <f t="shared" ca="1" si="0"/>
        <v>2.2999999999999998</v>
      </c>
      <c r="C51" s="23">
        <f t="shared" ca="1" si="1"/>
        <v>2.1978713522098987</v>
      </c>
      <c r="D51" s="23">
        <f t="shared" ca="1" si="2"/>
        <v>2.7575838625484037</v>
      </c>
      <c r="E51" s="24">
        <f t="shared" ca="1" si="3"/>
        <v>0.559712510338505</v>
      </c>
    </row>
    <row r="52" spans="1:5" x14ac:dyDescent="0.25">
      <c r="A52" s="22"/>
      <c r="B52" s="23">
        <f t="shared" ca="1" si="0"/>
        <v>1.4</v>
      </c>
      <c r="C52" s="23">
        <f t="shared" ca="1" si="1"/>
        <v>1.0319958834274423</v>
      </c>
      <c r="D52" s="23">
        <f t="shared" ca="1" si="2"/>
        <v>2.3307284030578717</v>
      </c>
      <c r="E52" s="24">
        <f t="shared" ca="1" si="3"/>
        <v>1.2987325196304293</v>
      </c>
    </row>
    <row r="53" spans="1:5" x14ac:dyDescent="0.25">
      <c r="A53" s="22"/>
      <c r="B53" s="23">
        <f t="shared" ca="1" si="0"/>
        <v>2.7</v>
      </c>
      <c r="C53" s="23">
        <f t="shared" ca="1" si="1"/>
        <v>1.9720366795355244</v>
      </c>
      <c r="D53" s="23">
        <f t="shared" ca="1" si="2"/>
        <v>3.0113335598399322</v>
      </c>
      <c r="E53" s="24">
        <f t="shared" ca="1" si="3"/>
        <v>1.0392968803044078</v>
      </c>
    </row>
    <row r="54" spans="1:5" x14ac:dyDescent="0.25">
      <c r="A54" s="22"/>
      <c r="B54" s="23">
        <f t="shared" ca="1" si="0"/>
        <v>2.7</v>
      </c>
      <c r="C54" s="23">
        <f t="shared" ca="1" si="1"/>
        <v>2.2528892087737034</v>
      </c>
      <c r="D54" s="23">
        <f t="shared" ca="1" si="2"/>
        <v>2.7077359872390412</v>
      </c>
      <c r="E54" s="24">
        <f t="shared" ca="1" si="3"/>
        <v>0.45484677846533783</v>
      </c>
    </row>
    <row r="55" spans="1:5" x14ac:dyDescent="0.25">
      <c r="A55" s="22" t="s">
        <v>28</v>
      </c>
      <c r="B55" s="23">
        <f t="shared" ca="1" si="0"/>
        <v>2.2000000000000002</v>
      </c>
      <c r="C55" s="23">
        <f t="shared" ca="1" si="1"/>
        <v>1.5529716068756163</v>
      </c>
      <c r="D55" s="23">
        <f t="shared" ca="1" si="2"/>
        <v>2.6047241780864772</v>
      </c>
      <c r="E55" s="24">
        <f t="shared" ca="1" si="3"/>
        <v>1.0517525712108609</v>
      </c>
    </row>
    <row r="56" spans="1:5" x14ac:dyDescent="0.25">
      <c r="A56" s="22"/>
      <c r="B56" s="23">
        <f t="shared" ca="1" si="0"/>
        <v>1.1000000000000001</v>
      </c>
      <c r="C56" s="23">
        <f t="shared" ca="1" si="1"/>
        <v>0.41364494634979576</v>
      </c>
      <c r="D56" s="23">
        <f t="shared" ca="1" si="2"/>
        <v>1.9745112033346781</v>
      </c>
      <c r="E56" s="24">
        <f t="shared" ca="1" si="3"/>
        <v>1.5608662569848823</v>
      </c>
    </row>
    <row r="57" spans="1:5" x14ac:dyDescent="0.25">
      <c r="A57" s="22"/>
      <c r="B57" s="23">
        <f t="shared" ca="1" si="0"/>
        <v>2.9</v>
      </c>
      <c r="C57" s="23">
        <f t="shared" ca="1" si="1"/>
        <v>2.4085694175487378</v>
      </c>
      <c r="D57" s="23">
        <f t="shared" ca="1" si="2"/>
        <v>3.894827999555456</v>
      </c>
      <c r="E57" s="24">
        <f t="shared" ca="1" si="3"/>
        <v>1.4862585820067182</v>
      </c>
    </row>
    <row r="58" spans="1:5" x14ac:dyDescent="0.25">
      <c r="A58" s="22"/>
      <c r="B58" s="23">
        <f t="shared" ca="1" si="0"/>
        <v>2.1</v>
      </c>
      <c r="C58" s="23">
        <f t="shared" ca="1" si="1"/>
        <v>1.7153430251397976</v>
      </c>
      <c r="D58" s="23">
        <f t="shared" ca="1" si="2"/>
        <v>2.2425439889840382</v>
      </c>
      <c r="E58" s="24">
        <f t="shared" ca="1" si="3"/>
        <v>0.52720096384424053</v>
      </c>
    </row>
    <row r="59" spans="1:5" x14ac:dyDescent="0.25">
      <c r="A59" s="22" t="s">
        <v>29</v>
      </c>
      <c r="B59" s="23">
        <f t="shared" ca="1" si="0"/>
        <v>1</v>
      </c>
      <c r="C59" s="23">
        <f t="shared" ca="1" si="1"/>
        <v>0.81373648347358152</v>
      </c>
      <c r="D59" s="23">
        <f t="shared" ca="1" si="2"/>
        <v>1.0222216787037723</v>
      </c>
      <c r="E59" s="24">
        <f t="shared" ca="1" si="3"/>
        <v>0.20848519523019082</v>
      </c>
    </row>
    <row r="60" spans="1:5" x14ac:dyDescent="0.25">
      <c r="A60" s="22"/>
      <c r="B60" s="23">
        <f t="shared" ca="1" si="0"/>
        <v>2.7</v>
      </c>
      <c r="C60" s="23">
        <f t="shared" ca="1" si="1"/>
        <v>1.7771906441662075</v>
      </c>
      <c r="D60" s="23">
        <f t="shared" ca="1" si="2"/>
        <v>2.9983743280227277</v>
      </c>
      <c r="E60" s="24">
        <f t="shared" ca="1" si="3"/>
        <v>1.2211836838565202</v>
      </c>
    </row>
    <row r="61" spans="1:5" x14ac:dyDescent="0.25">
      <c r="A61" s="22"/>
      <c r="B61" s="23">
        <f t="shared" ca="1" si="0"/>
        <v>2.5</v>
      </c>
      <c r="C61" s="23">
        <f t="shared" ca="1" si="1"/>
        <v>1.9417860913307634</v>
      </c>
      <c r="D61" s="23">
        <f t="shared" ca="1" si="2"/>
        <v>3.1750942106077922</v>
      </c>
      <c r="E61" s="24">
        <f t="shared" ca="1" si="3"/>
        <v>1.2333081192770288</v>
      </c>
    </row>
    <row r="62" spans="1:5" x14ac:dyDescent="0.25">
      <c r="A62" s="22"/>
      <c r="B62" s="23">
        <f t="shared" ca="1" si="0"/>
        <v>1.7</v>
      </c>
      <c r="C62" s="23">
        <f t="shared" ca="1" si="1"/>
        <v>1.3376106115545454</v>
      </c>
      <c r="D62" s="23">
        <f t="shared" ca="1" si="2"/>
        <v>1.7107926335326762</v>
      </c>
      <c r="E62" s="24">
        <f t="shared" ca="1" si="3"/>
        <v>0.37318202197813077</v>
      </c>
    </row>
    <row r="63" spans="1:5" x14ac:dyDescent="0.25">
      <c r="A63" s="22" t="s">
        <v>31</v>
      </c>
      <c r="B63" s="23">
        <f t="shared" ca="1" si="0"/>
        <v>2.7</v>
      </c>
      <c r="C63" s="23">
        <f t="shared" ca="1" si="1"/>
        <v>2.3966141849488767</v>
      </c>
      <c r="D63" s="23">
        <f t="shared" ca="1" si="2"/>
        <v>3.4897623772210014</v>
      </c>
      <c r="E63" s="24">
        <f t="shared" ca="1" si="3"/>
        <v>1.0931481922721247</v>
      </c>
    </row>
    <row r="64" spans="1:5" x14ac:dyDescent="0.25">
      <c r="A64" s="22"/>
      <c r="B64" s="23">
        <f t="shared" ca="1" si="0"/>
        <v>1.6</v>
      </c>
      <c r="C64" s="23">
        <f t="shared" ca="1" si="1"/>
        <v>0.95889363404069772</v>
      </c>
      <c r="D64" s="23">
        <f t="shared" ca="1" si="2"/>
        <v>1.7110504885279463</v>
      </c>
      <c r="E64" s="24">
        <f t="shared" ca="1" si="3"/>
        <v>0.75215685448724856</v>
      </c>
    </row>
    <row r="65" spans="1:5" x14ac:dyDescent="0.25">
      <c r="A65" s="22"/>
      <c r="B65" s="23">
        <f t="shared" ca="1" si="0"/>
        <v>1.8</v>
      </c>
      <c r="C65" s="23">
        <f t="shared" ca="1" si="1"/>
        <v>1.3179228684218196</v>
      </c>
      <c r="D65" s="23">
        <f t="shared" ca="1" si="2"/>
        <v>1.9781637382685138</v>
      </c>
      <c r="E65" s="24">
        <f t="shared" ca="1" si="3"/>
        <v>0.66024086984669417</v>
      </c>
    </row>
    <row r="66" spans="1:5" x14ac:dyDescent="0.25">
      <c r="A66" s="22"/>
      <c r="B66" s="23">
        <f t="shared" ca="1" si="0"/>
        <v>2.8</v>
      </c>
      <c r="C66" s="23">
        <f t="shared" ca="1" si="1"/>
        <v>2.2876838580566501</v>
      </c>
      <c r="D66" s="23">
        <f t="shared" ca="1" si="2"/>
        <v>3.6010000608680803</v>
      </c>
      <c r="E66" s="24">
        <f t="shared" ca="1" si="3"/>
        <v>1.3133162028114302</v>
      </c>
    </row>
    <row r="67" spans="1:5" x14ac:dyDescent="0.25">
      <c r="A67" s="22" t="s">
        <v>33</v>
      </c>
      <c r="B67" s="23">
        <f t="shared" ca="1" si="0"/>
        <v>2.5</v>
      </c>
      <c r="C67" s="23">
        <f t="shared" ca="1" si="1"/>
        <v>2.4151475628070855</v>
      </c>
      <c r="D67" s="23">
        <f t="shared" ca="1" si="2"/>
        <v>3.4154132856947874</v>
      </c>
      <c r="E67" s="24">
        <f t="shared" ca="1" si="3"/>
        <v>1.0002657228877019</v>
      </c>
    </row>
    <row r="68" spans="1:5" x14ac:dyDescent="0.25">
      <c r="A68" s="22"/>
      <c r="B68" s="23">
        <f t="shared" ca="1" si="0"/>
        <v>2.2000000000000002</v>
      </c>
      <c r="C68" s="23">
        <f t="shared" ca="1" si="1"/>
        <v>1.9010947602655506</v>
      </c>
      <c r="D68" s="23">
        <f t="shared" ca="1" si="2"/>
        <v>3.0543970251274111</v>
      </c>
      <c r="E68" s="24">
        <f t="shared" ca="1" si="3"/>
        <v>1.1533022648618605</v>
      </c>
    </row>
    <row r="69" spans="1:5" x14ac:dyDescent="0.25">
      <c r="A69" s="22"/>
      <c r="B69" s="23">
        <f t="shared" ca="1" si="0"/>
        <v>1.3</v>
      </c>
      <c r="C69" s="23">
        <f t="shared" ca="1" si="1"/>
        <v>0.6440788047434397</v>
      </c>
      <c r="D69" s="23">
        <f t="shared" ca="1" si="2"/>
        <v>2.2527227146136877</v>
      </c>
      <c r="E69" s="24">
        <f t="shared" ca="1" si="3"/>
        <v>1.6086439098702479</v>
      </c>
    </row>
    <row r="70" spans="1:5" x14ac:dyDescent="0.25">
      <c r="A70" s="22"/>
      <c r="B70" s="23">
        <f t="shared" ca="1" si="0"/>
        <v>2.5</v>
      </c>
      <c r="C70" s="23">
        <f t="shared" ca="1" si="1"/>
        <v>2.2530777912290469</v>
      </c>
      <c r="D70" s="23">
        <f t="shared" ca="1" si="2"/>
        <v>3.2617382361535525</v>
      </c>
      <c r="E70" s="24">
        <f t="shared" ca="1" si="3"/>
        <v>1.0086604449245056</v>
      </c>
    </row>
    <row r="71" spans="1:5" x14ac:dyDescent="0.25">
      <c r="A71" s="22" t="s">
        <v>35</v>
      </c>
      <c r="B71" s="23">
        <f t="shared" ca="1" si="0"/>
        <v>2</v>
      </c>
      <c r="C71" s="23">
        <f t="shared" ca="1" si="1"/>
        <v>1.6707487874905325</v>
      </c>
      <c r="D71" s="23">
        <f t="shared" ca="1" si="2"/>
        <v>2.8887426231669959</v>
      </c>
      <c r="E71" s="24">
        <f t="shared" ca="1" si="3"/>
        <v>1.2179938356764635</v>
      </c>
    </row>
    <row r="72" spans="1:5" x14ac:dyDescent="0.25">
      <c r="A72" s="25"/>
      <c r="B72" s="26">
        <f t="shared" ca="1" si="0"/>
        <v>1</v>
      </c>
      <c r="C72" s="26">
        <f t="shared" ca="1" si="1"/>
        <v>0.47979670270757246</v>
      </c>
      <c r="D72" s="26">
        <f t="shared" ca="1" si="2"/>
        <v>1.9828864380478763</v>
      </c>
      <c r="E72" s="27">
        <f t="shared" ca="1" si="3"/>
        <v>1.5030897353403039</v>
      </c>
    </row>
  </sheetData>
  <phoneticPr fontId="1" type="noConversion"/>
  <pageMargins left="0.7" right="0.7" top="0.75" bottom="0.75" header="0.3" footer="0.3"/>
  <pageSetup paperSize="9" orientation="portrait" r:id="rId1"/>
  <ignoredErrors>
    <ignoredError sqref="A73 A6:D19 A31:E72" numberStoredAsText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4E279-A4AB-43F1-93C9-196F17D53FA4}">
  <dimension ref="B1:J14"/>
  <sheetViews>
    <sheetView showGridLines="0" workbookViewId="0">
      <selection activeCell="F13" sqref="F13"/>
    </sheetView>
  </sheetViews>
  <sheetFormatPr defaultColWidth="9" defaultRowHeight="15.9" customHeight="1" x14ac:dyDescent="0.25"/>
  <cols>
    <col min="1" max="1" width="2.6640625" style="3" customWidth="1"/>
    <col min="2" max="16384" width="9" style="3"/>
  </cols>
  <sheetData>
    <row r="1" spans="2:10" ht="15.9" customHeight="1" x14ac:dyDescent="0.25">
      <c r="B1" s="3" t="s">
        <v>40</v>
      </c>
    </row>
    <row r="2" spans="2:10" ht="15.9" customHeight="1" x14ac:dyDescent="0.25">
      <c r="B2" s="3" t="s">
        <v>41</v>
      </c>
    </row>
    <row r="4" spans="2:10" ht="15.9" customHeight="1" x14ac:dyDescent="0.25">
      <c r="B4" s="3" t="s">
        <v>3</v>
      </c>
      <c r="C4" s="7" t="s">
        <v>47</v>
      </c>
      <c r="D4" s="7" t="s">
        <v>48</v>
      </c>
      <c r="E4" s="7" t="s">
        <v>51</v>
      </c>
      <c r="F4" s="7" t="s">
        <v>50</v>
      </c>
      <c r="G4" s="7" t="s">
        <v>49</v>
      </c>
      <c r="H4" s="7" t="s">
        <v>52</v>
      </c>
      <c r="I4" s="7" t="s">
        <v>53</v>
      </c>
      <c r="J4" s="7"/>
    </row>
    <row r="5" spans="2:10" ht="15.9" customHeight="1" x14ac:dyDescent="0.25">
      <c r="B5" s="17" t="s">
        <v>29</v>
      </c>
      <c r="C5" s="3">
        <v>0.43</v>
      </c>
      <c r="D5" s="3">
        <v>-0.04</v>
      </c>
      <c r="E5" s="3">
        <v>0.03</v>
      </c>
      <c r="F5" s="3">
        <v>0</v>
      </c>
      <c r="G5" s="3">
        <v>0.16</v>
      </c>
      <c r="H5" s="3">
        <f>SUM(C5:G5)</f>
        <v>0.58000000000000007</v>
      </c>
      <c r="I5" s="3">
        <v>0.5</v>
      </c>
      <c r="J5" s="7"/>
    </row>
    <row r="6" spans="2:10" ht="15.9" customHeight="1" x14ac:dyDescent="0.25">
      <c r="B6" s="17" t="s">
        <v>30</v>
      </c>
      <c r="C6" s="3">
        <v>0.57999999999999996</v>
      </c>
      <c r="D6" s="3">
        <v>0.11</v>
      </c>
      <c r="E6" s="3">
        <v>0.04</v>
      </c>
      <c r="F6" s="3">
        <v>-0.02</v>
      </c>
      <c r="G6" s="3">
        <v>-0.3</v>
      </c>
      <c r="H6" s="3">
        <f t="shared" ref="H6:H13" si="0">SUM(C6:G6)</f>
        <v>0.41</v>
      </c>
      <c r="I6" s="3">
        <v>1.5</v>
      </c>
      <c r="J6" s="7"/>
    </row>
    <row r="7" spans="2:10" ht="15.9" customHeight="1" x14ac:dyDescent="0.25">
      <c r="B7" s="17" t="s">
        <v>32</v>
      </c>
      <c r="C7" s="3">
        <f ca="1">RANDBETWEEN(30,60)/100</f>
        <v>0.56999999999999995</v>
      </c>
      <c r="D7" s="3">
        <f t="shared" ref="D7:G13" ca="1" si="1">RANDBETWEEN(2,50)/100</f>
        <v>0.18</v>
      </c>
      <c r="E7" s="3">
        <f t="shared" ca="1" si="1"/>
        <v>0.41</v>
      </c>
      <c r="F7" s="3">
        <f t="shared" ca="1" si="1"/>
        <v>0.02</v>
      </c>
      <c r="G7" s="3">
        <f t="shared" ca="1" si="1"/>
        <v>0.21</v>
      </c>
      <c r="H7" s="3">
        <f t="shared" ca="1" si="0"/>
        <v>1.39</v>
      </c>
      <c r="I7" s="3">
        <v>2.5</v>
      </c>
      <c r="J7" s="7"/>
    </row>
    <row r="8" spans="2:10" ht="15.9" customHeight="1" x14ac:dyDescent="0.25">
      <c r="B8" s="17" t="s">
        <v>34</v>
      </c>
      <c r="C8" s="3">
        <f t="shared" ref="C8:C13" ca="1" si="2">RANDBETWEEN(30,60)/100</f>
        <v>0.33</v>
      </c>
      <c r="D8" s="3">
        <f t="shared" ca="1" si="1"/>
        <v>0.23</v>
      </c>
      <c r="E8" s="3">
        <f t="shared" ca="1" si="1"/>
        <v>0.04</v>
      </c>
      <c r="F8" s="3">
        <f t="shared" ca="1" si="1"/>
        <v>0.18</v>
      </c>
      <c r="G8" s="3">
        <f t="shared" ca="1" si="1"/>
        <v>0.45</v>
      </c>
      <c r="H8" s="3">
        <f t="shared" ca="1" si="0"/>
        <v>1.23</v>
      </c>
      <c r="I8" s="3">
        <v>3.5</v>
      </c>
      <c r="J8" s="7"/>
    </row>
    <row r="9" spans="2:10" ht="15.9" customHeight="1" x14ac:dyDescent="0.25">
      <c r="B9" s="17" t="s">
        <v>42</v>
      </c>
      <c r="C9" s="3">
        <f t="shared" ca="1" si="2"/>
        <v>0.37</v>
      </c>
      <c r="D9" s="3">
        <f t="shared" ca="1" si="1"/>
        <v>0.17</v>
      </c>
      <c r="E9" s="3">
        <f t="shared" ca="1" si="1"/>
        <v>0.36</v>
      </c>
      <c r="F9" s="3">
        <f t="shared" ca="1" si="1"/>
        <v>0.42</v>
      </c>
      <c r="G9" s="3">
        <f t="shared" ca="1" si="1"/>
        <v>0.3</v>
      </c>
      <c r="H9" s="3">
        <f t="shared" ca="1" si="0"/>
        <v>1.62</v>
      </c>
      <c r="I9" s="3">
        <v>4.5</v>
      </c>
      <c r="J9" s="7"/>
    </row>
    <row r="10" spans="2:10" ht="15.9" customHeight="1" x14ac:dyDescent="0.25">
      <c r="B10" s="17" t="s">
        <v>43</v>
      </c>
      <c r="C10" s="3">
        <f t="shared" ca="1" si="2"/>
        <v>0.39</v>
      </c>
      <c r="D10" s="3">
        <f t="shared" ca="1" si="1"/>
        <v>0.37</v>
      </c>
      <c r="E10" s="3">
        <f ca="1">-RANDBETWEEN(2,50)/100</f>
        <v>-0.28000000000000003</v>
      </c>
      <c r="F10" s="3">
        <f t="shared" ca="1" si="1"/>
        <v>0.39</v>
      </c>
      <c r="G10" s="3">
        <f t="shared" ca="1" si="1"/>
        <v>0.28000000000000003</v>
      </c>
      <c r="H10" s="3">
        <f t="shared" ca="1" si="0"/>
        <v>1.1499999999999999</v>
      </c>
      <c r="I10" s="3">
        <v>5.5</v>
      </c>
      <c r="J10" s="7"/>
    </row>
    <row r="11" spans="2:10" ht="15.9" customHeight="1" x14ac:dyDescent="0.25">
      <c r="B11" s="17" t="s">
        <v>44</v>
      </c>
      <c r="C11" s="3">
        <f t="shared" ca="1" si="2"/>
        <v>0.53</v>
      </c>
      <c r="D11" s="3">
        <f t="shared" ca="1" si="1"/>
        <v>0.21</v>
      </c>
      <c r="E11" s="3">
        <f t="shared" ca="1" si="1"/>
        <v>7.0000000000000007E-2</v>
      </c>
      <c r="F11" s="3">
        <f t="shared" ca="1" si="1"/>
        <v>0.28999999999999998</v>
      </c>
      <c r="G11" s="3">
        <f t="shared" ca="1" si="1"/>
        <v>0.23</v>
      </c>
      <c r="H11" s="3">
        <f t="shared" ca="1" si="0"/>
        <v>1.33</v>
      </c>
      <c r="I11" s="3">
        <v>6.5</v>
      </c>
      <c r="J11" s="7"/>
    </row>
    <row r="12" spans="2:10" ht="15.9" customHeight="1" x14ac:dyDescent="0.25">
      <c r="B12" s="17" t="s">
        <v>45</v>
      </c>
      <c r="C12" s="3">
        <f t="shared" ca="1" si="2"/>
        <v>0.52</v>
      </c>
      <c r="D12" s="3">
        <f t="shared" ca="1" si="1"/>
        <v>0.04</v>
      </c>
      <c r="E12" s="3">
        <f ca="1">-RANDBETWEEN(2,50)/100</f>
        <v>-0.2</v>
      </c>
      <c r="F12" s="3">
        <f t="shared" ca="1" si="1"/>
        <v>0.37</v>
      </c>
      <c r="G12" s="3">
        <f t="shared" ca="1" si="1"/>
        <v>0.34</v>
      </c>
      <c r="H12" s="3">
        <f t="shared" ca="1" si="0"/>
        <v>1.07</v>
      </c>
      <c r="I12" s="3">
        <v>7.5</v>
      </c>
      <c r="J12" s="7"/>
    </row>
    <row r="13" spans="2:10" ht="15.9" customHeight="1" x14ac:dyDescent="0.25">
      <c r="B13" s="17" t="s">
        <v>46</v>
      </c>
      <c r="C13" s="3">
        <f t="shared" ca="1" si="2"/>
        <v>0.32</v>
      </c>
      <c r="D13" s="3">
        <f t="shared" ca="1" si="1"/>
        <v>7.0000000000000007E-2</v>
      </c>
      <c r="E13" s="3">
        <f t="shared" ca="1" si="1"/>
        <v>0.33</v>
      </c>
      <c r="F13" s="3">
        <f t="shared" ca="1" si="1"/>
        <v>0.25</v>
      </c>
      <c r="G13" s="3">
        <f t="shared" ca="1" si="1"/>
        <v>0.38</v>
      </c>
      <c r="H13" s="3">
        <f t="shared" ca="1" si="0"/>
        <v>1.35</v>
      </c>
      <c r="I13" s="3">
        <v>8.5</v>
      </c>
      <c r="J13" s="7"/>
    </row>
    <row r="14" spans="2:10" ht="15.9" customHeight="1" x14ac:dyDescent="0.25">
      <c r="B14" s="17"/>
    </row>
  </sheetData>
  <phoneticPr fontId="1" type="noConversion"/>
  <pageMargins left="0.7" right="0.7" top="0.75" bottom="0.75" header="0.3" footer="0.3"/>
  <pageSetup paperSize="9" orientation="portrait" r:id="rId1"/>
  <ignoredErrors>
    <ignoredError sqref="B5:B13" numberStoredAsText="1"/>
    <ignoredError sqref="E10:G13" formula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图1</vt:lpstr>
      <vt:lpstr>图2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2019-03-08T02:25:02Z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4f433ec8-a62a-4d1d-a0c0-3cd98de619ed</vt:lpwstr>
  </property>
</Properties>
</file>