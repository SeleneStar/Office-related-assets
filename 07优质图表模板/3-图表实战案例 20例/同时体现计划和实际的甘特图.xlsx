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/>
  <xr:revisionPtr revIDLastSave="0" documentId="13_ncr:1_{2100BC59-E03F-409D-8E8F-267C256358BE}" xr6:coauthVersionLast="38" xr6:coauthVersionMax="38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  <sheet name="Sheet3" sheetId="3" r:id="rId3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4" i="2" l="1"/>
  <c r="C75" i="2"/>
  <c r="C76" i="2"/>
  <c r="C73" i="2"/>
  <c r="B25" i="2"/>
  <c r="B26" i="2"/>
  <c r="B27" i="2"/>
  <c r="B28" i="2"/>
  <c r="B29" i="2"/>
  <c r="B30" i="2"/>
  <c r="B31" i="2"/>
  <c r="B32" i="2"/>
  <c r="B33" i="2"/>
  <c r="B24" i="2"/>
  <c r="E12" i="2"/>
  <c r="E11" i="2"/>
  <c r="C12" i="2"/>
  <c r="C11" i="2"/>
  <c r="D6" i="2"/>
  <c r="C6" i="2"/>
  <c r="E5" i="2"/>
  <c r="E6" i="2" s="1"/>
  <c r="E14" i="2" s="1"/>
  <c r="D5" i="2"/>
  <c r="C5" i="2"/>
  <c r="D4" i="2"/>
  <c r="C4" i="2"/>
  <c r="D3" i="2"/>
  <c r="C3" i="2"/>
  <c r="E13" i="2" l="1"/>
  <c r="F5" i="2"/>
  <c r="G17" i="1"/>
  <c r="G18" i="1"/>
  <c r="G19" i="1"/>
  <c r="G16" i="1"/>
  <c r="B17" i="1"/>
  <c r="B18" i="1"/>
  <c r="B19" i="1"/>
  <c r="B20" i="1"/>
  <c r="B21" i="1"/>
  <c r="B22" i="1"/>
  <c r="B23" i="1"/>
  <c r="B24" i="1"/>
  <c r="B16" i="1"/>
  <c r="E10" i="1"/>
  <c r="E9" i="1"/>
  <c r="C10" i="1"/>
  <c r="C9" i="1"/>
  <c r="E4" i="1"/>
  <c r="E5" i="1" s="1"/>
  <c r="C12" i="1" s="1"/>
  <c r="D3" i="1"/>
  <c r="D4" i="1"/>
  <c r="D5" i="1"/>
  <c r="D2" i="1"/>
  <c r="C3" i="1"/>
  <c r="C4" i="1"/>
  <c r="C5" i="1"/>
  <c r="C2" i="1"/>
  <c r="F4" i="1" l="1"/>
  <c r="E11" i="1" s="1"/>
  <c r="C11" i="1"/>
  <c r="F6" i="2"/>
  <c r="C14" i="2" s="1"/>
  <c r="C13" i="2"/>
  <c r="F5" i="1"/>
  <c r="E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4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这边的公式表示的是，每个月的累积天数，比如1月份是31天，2月份是59天……</t>
        </r>
      </text>
    </comment>
  </commentList>
</comments>
</file>

<file path=xl/sharedStrings.xml><?xml version="1.0" encoding="utf-8"?>
<sst xmlns="http://schemas.openxmlformats.org/spreadsheetml/2006/main" count="263" uniqueCount="43">
  <si>
    <t>设计</t>
    <phoneticPr fontId="1" type="noConversion"/>
  </si>
  <si>
    <t>计划</t>
    <phoneticPr fontId="1" type="noConversion"/>
  </si>
  <si>
    <t>实际</t>
    <phoneticPr fontId="1" type="noConversion"/>
  </si>
  <si>
    <t>造价</t>
    <phoneticPr fontId="1" type="noConversion"/>
  </si>
  <si>
    <t>工程</t>
    <phoneticPr fontId="1" type="noConversion"/>
  </si>
  <si>
    <t>监理</t>
    <phoneticPr fontId="1" type="noConversion"/>
  </si>
  <si>
    <t>起始时间</t>
    <phoneticPr fontId="1" type="noConversion"/>
  </si>
  <si>
    <t>计划</t>
    <phoneticPr fontId="1" type="noConversion"/>
  </si>
  <si>
    <t>实际</t>
    <phoneticPr fontId="1" type="noConversion"/>
  </si>
  <si>
    <t>X</t>
    <phoneticPr fontId="1" type="noConversion"/>
  </si>
  <si>
    <t>Y</t>
    <phoneticPr fontId="1" type="noConversion"/>
  </si>
  <si>
    <t>网格线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</si>
  <si>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</si>
  <si>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</si>
  <si>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</si>
  <si>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</si>
  <si>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</si>
  <si>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</si>
  <si>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</si>
  <si>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</si>
  <si>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</si>
  <si>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纵轴</t>
    <phoneticPr fontId="1" type="noConversion"/>
  </si>
  <si>
    <t>原始数据</t>
    <phoneticPr fontId="1" type="noConversion"/>
  </si>
  <si>
    <t>其中，X坐标为起始时间，Y轴坐标表示柱子的高度</t>
    <phoneticPr fontId="1" type="noConversion"/>
  </si>
  <si>
    <t>之后调整误差线的颜色和宽度</t>
    <phoneticPr fontId="1" type="noConversion"/>
  </si>
  <si>
    <t>1、插入散点图坐标</t>
    <phoneticPr fontId="1" type="noConversion"/>
  </si>
  <si>
    <t>2、添加X轴误差线，误差线长度为原始数据中，对应的数值</t>
    <phoneticPr fontId="1" type="noConversion"/>
  </si>
  <si>
    <t>3、添加网格线</t>
    <phoneticPr fontId="1" type="noConversion"/>
  </si>
  <si>
    <t>网格线的添加也采用类似的方式，只是添加的是竖直误差线</t>
    <phoneticPr fontId="1" type="noConversion"/>
  </si>
  <si>
    <t>X</t>
    <phoneticPr fontId="1" type="noConversion"/>
  </si>
  <si>
    <t>Y</t>
    <phoneticPr fontId="1" type="noConversion"/>
  </si>
  <si>
    <t>网格线坐标</t>
    <phoneticPr fontId="1" type="noConversion"/>
  </si>
  <si>
    <t>这边本来应该是（0，30），但若采用这个点，到时线条无法全部显示，所以稍微偏离一点</t>
    <phoneticPr fontId="1" type="noConversion"/>
  </si>
  <si>
    <t>X</t>
    <phoneticPr fontId="1" type="noConversion"/>
  </si>
  <si>
    <t>Y</t>
    <phoneticPr fontId="1" type="noConversion"/>
  </si>
  <si>
    <t>Y误差线长度</t>
    <phoneticPr fontId="1" type="noConversion"/>
  </si>
  <si>
    <t>这边第一个点和最后一个点Y误差线长度为0，因为不需要这条网格线</t>
    <phoneticPr fontId="1" type="noConversion"/>
  </si>
  <si>
    <t>在添加这个系列后，图表如右图，为了达到理想效果，需要设置X轴和Y轴坐标的最大值，将其固定</t>
    <phoneticPr fontId="1" type="noConversion"/>
  </si>
  <si>
    <t>添加Y轴误差线</t>
    <phoneticPr fontId="1" type="noConversion"/>
  </si>
  <si>
    <t>并调整误差线的颜色和线型</t>
    <phoneticPr fontId="1" type="noConversion"/>
  </si>
  <si>
    <t>然后添加数据标签</t>
    <phoneticPr fontId="1" type="noConversion"/>
  </si>
  <si>
    <t>4、添加竖直轴标签</t>
    <phoneticPr fontId="1" type="noConversion"/>
  </si>
  <si>
    <t>添加好后，修改线的颜色和线型，去掉没用的坐标轴，添加数据标签即可完成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</si>
</sst>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4" fillId="2" borderId="0" xfId="0" applyFont="1" applyFill="1"/>
    <xf numFmtId="0" fontId="4" fillId="0" borderId="4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8F908C67-0277-4C7E-A472-099F2B5F21B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56684016192891E-2"/>
          <c:y val="3.785487380192129E-2"/>
          <c:w val="0.8993880510698874"/>
          <c:h val="0.88976765940486668"/>
        </c:manualLayout>
      </c:layout>
      <c:scatterChart>
        <c:scatterStyle val="lineMarker"/>
        <c:varyColors val="0"/>
        <c:ser>
          <c:idx val="2"/>
          <c:order val="0"/>
          <c:tx>
            <c:strRef>
              <c:f>Sheet1!$B$14</c:f>
              <c:strCache>
                <c:ptCount val="1"/>
                <c:pt idx="0">
                  <c:v>网格线</c:v>
                </c:pt>
              </c:strCache>
            </c:strRef>
          </c:tx>
          <c:spPr>
            <a:ln w="15875">
              <a:solidFill>
                <a:schemeClr val="bg1">
                  <a:lumMod val="50000"/>
                </a:schemeClr>
              </a:solidFill>
              <a:tailEnd type="triangle" w="sm" len="me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5-4524-8AB8-653AAE3AE6E7}"/>
                </c:ext>
              </c:extLst>
            </c:dLbl>
            <c:dLbl>
              <c:idx val="1"/>
              <c:tx>
                <c:strRef>
                  <c:f>Sheet1!$A$16</c:f>
                  <c:strCache>
                    <c:ptCount val="1"/>
                    <c:pt idx="0">
                      <c:v>1月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{541B3567-89B9-4344-9C56-3AB344745997}</c15:txfldGUID>
                      <c15:f>Sheet1!$A$16</c15:f>
                      <c15:dlblFieldTableCache>
                        <c:ptCount val="1"/>
                        <c:pt idx="0">
                          <c:v>1月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295-4524-8AB8-653AAE3AE6E7}"/>
                </c:ext>
              </c:extLst>
            </c:dLbl>
            <c:dLbl>
              <c:idx val="2"/>
              <c:tx>
                <c:strRef>
                  <c:f>Sheet1!$A$17</c:f>
                  <c:strCache>
                    <c:ptCount val="1"/>
                    <c:pt idx="0">
                      <c:v>2月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{EB5B5345-0811-4F48-B8E4-8E156363419F}</c15:txfldGUID>
                      <c15:f>Sheet1!$A$17</c15:f>
                      <c15:dlblFieldTableCache>
                        <c:ptCount val="1"/>
                        <c:pt idx="0">
                          <c:v>2月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295-4524-8AB8-653AAE3AE6E7}"/>
                </c:ext>
              </c:extLst>
            </c:dLbl>
            <c:dLbl>
              <c:idx val="3"/>
              <c:tx>
                <c:strRef>
                  <c:f>Sheet1!$A$18</c:f>
                  <c:strCache>
                    <c:ptCount val="1"/>
                    <c:pt idx="0">
                      <c:v>3月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{5D97D78B-543A-4372-8D31-3364B1DA615B}</c15:txfldGUID>
                      <c15:f>Sheet1!$A$18</c15:f>
                      <c15:dlblFieldTableCache>
                        <c:ptCount val="1"/>
                        <c:pt idx="0">
                          <c:v>3月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295-4524-8AB8-653AAE3AE6E7}"/>
                </c:ext>
              </c:extLst>
            </c:dLbl>
            <c:dLbl>
              <c:idx val="4"/>
              <c:tx>
                <c:strRef>
                  <c:f>Sheet1!$A$19</c:f>
                  <c:strCache>
                    <c:ptCount val="1"/>
                    <c:pt idx="0">
                      <c:v>4月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{F7B1C33A-36F2-4963-BE52-20BB01C7BDA0}</c15:txfldGUID>
                      <c15:f>Sheet1!$A$19</c15:f>
                      <c15:dlblFieldTableCache>
                        <c:ptCount val="1"/>
                        <c:pt idx="0">
                          <c:v>4月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295-4524-8AB8-653AAE3AE6E7}"/>
                </c:ext>
              </c:extLst>
            </c:dLbl>
            <c:dLbl>
              <c:idx val="5"/>
              <c:tx>
                <c:strRef>
                  <c:f>Sheet1!$A$20</c:f>
                  <c:strCache>
                    <c:ptCount val="1"/>
                    <c:pt idx="0">
                      <c:v>5月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{798CEA30-62A2-4FAB-BEB8-C133E5C07F42}</c15:txfldGUID>
                      <c15:f>Sheet1!$A$20</c15:f>
                      <c15:dlblFieldTableCache>
                        <c:ptCount val="1"/>
                        <c:pt idx="0">
                          <c:v>5月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295-4524-8AB8-653AAE3AE6E7}"/>
                </c:ext>
              </c:extLst>
            </c:dLbl>
            <c:dLbl>
              <c:idx val="6"/>
              <c:tx>
                <c:strRef>
                  <c:f>Sheet1!$A$21</c:f>
                  <c:strCache>
                    <c:ptCount val="1"/>
                    <c:pt idx="0">
                      <c:v>6月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{14FA2F19-8949-404E-8F91-F72DD9C9DF2D}</c15:txfldGUID>
                      <c15:f>Sheet1!$A$21</c15:f>
                      <c15:dlblFieldTableCache>
                        <c:ptCount val="1"/>
                        <c:pt idx="0">
                          <c:v>6月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295-4524-8AB8-653AAE3AE6E7}"/>
                </c:ext>
              </c:extLst>
            </c:dLbl>
            <c:dLbl>
              <c:idx val="7"/>
              <c:tx>
                <c:strRef>
                  <c:f>Sheet1!$A$22</c:f>
                  <c:strCache>
                    <c:ptCount val="1"/>
                    <c:pt idx="0">
                      <c:v>7月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{56D657ED-BF80-477D-A5FF-C43B3B25D21F}</c15:txfldGUID>
                      <c15:f>Sheet1!$A$22</c15:f>
                      <c15:dlblFieldTableCache>
                        <c:ptCount val="1"/>
                        <c:pt idx="0">
                          <c:v>7月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295-4524-8AB8-653AAE3AE6E7}"/>
                </c:ext>
              </c:extLst>
            </c:dLbl>
            <c:dLbl>
              <c:idx val="8"/>
              <c:tx>
                <c:strRef>
                  <c:f>Sheet1!$A$23</c:f>
                  <c:strCache>
                    <c:ptCount val="1"/>
                    <c:pt idx="0">
                      <c:v>8月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{9B6E843A-4A7E-47D2-9F47-053D6B0617B2}</c15:txfldGUID>
                      <c15:f>Sheet1!$A$23</c15:f>
                      <c15:dlblFieldTableCache>
                        <c:ptCount val="1"/>
                        <c:pt idx="0">
                          <c:v>8月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295-4524-8AB8-653AAE3AE6E7}"/>
                </c:ext>
              </c:extLst>
            </c:dLbl>
            <c:dLbl>
              <c:idx val="9"/>
              <c:tx>
                <c:strRef>
                  <c:f>Sheet1!$A$24</c:f>
                  <c:strCache>
                    <c:ptCount val="1"/>
                    <c:pt idx="0">
                      <c:v>9月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{116EFE06-97F5-4F01-9483-72D9C8C3A963}</c15:txfldGUID>
                      <c15:f>Sheet1!$A$24</c15:f>
                      <c15:dlblFieldTableCache>
                        <c:ptCount val="1"/>
                        <c:pt idx="0">
                          <c:v>9月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295-4524-8AB8-653AAE3AE6E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95-4524-8AB8-653AAE3AE6E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Sheet1!$D$15:$D$25</c:f>
                <c:numCache>
                  <c:formatCode>General</c:formatCode>
                  <c:ptCount val="11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  <c:pt idx="4">
                    <c:v>29.7</c:v>
                  </c:pt>
                  <c:pt idx="5">
                    <c:v>29.7</c:v>
                  </c:pt>
                  <c:pt idx="6">
                    <c:v>29.7</c:v>
                  </c:pt>
                  <c:pt idx="7">
                    <c:v>29.7</c:v>
                  </c:pt>
                  <c:pt idx="8">
                    <c:v>29.7</c:v>
                  </c:pt>
                  <c:pt idx="9">
                    <c:v>29.7</c:v>
                  </c:pt>
                </c:numCache>
              </c:numRef>
            </c:minus>
            <c:spPr>
              <a:ln>
                <a:solidFill>
                  <a:schemeClr val="bg1">
                    <a:lumMod val="75000"/>
                  </a:schemeClr>
                </a:solidFill>
                <a:prstDash val="dash"/>
              </a:ln>
            </c:spPr>
          </c:errBars>
          <c:xVal>
            <c:numRef>
              <c:f>Sheet1!$B$15:$B$25</c:f>
              <c:numCache>
                <c:formatCode>General</c:formatCode>
                <c:ptCount val="11"/>
                <c:pt idx="0">
                  <c:v>0.8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276</c:v>
                </c:pt>
              </c:numCache>
            </c:numRef>
          </c:xVal>
          <c:yVal>
            <c:numRef>
              <c:f>Sheet1!$C$15:$C$25</c:f>
              <c:numCache>
                <c:formatCode>General</c:formatCode>
                <c:ptCount val="11"/>
                <c:pt idx="0">
                  <c:v>29.7</c:v>
                </c:pt>
                <c:pt idx="1">
                  <c:v>29.7</c:v>
                </c:pt>
                <c:pt idx="2">
                  <c:v>29.7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295-4524-8AB8-653AAE3AE6E7}"/>
            </c:ext>
          </c:extLst>
        </c:ser>
        <c:ser>
          <c:idx val="0"/>
          <c:order val="1"/>
          <c:tx>
            <c:v>计划</c:v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latin typeface="+mn-ea"/>
                    <a:ea typeface="+mn-ea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Sheet1!$C$2:$C$5</c:f>
                <c:numCache>
                  <c:formatCode>General</c:formatCode>
                  <c:ptCount val="4"/>
                  <c:pt idx="0">
                    <c:v>50</c:v>
                  </c:pt>
                  <c:pt idx="1">
                    <c:v>46</c:v>
                  </c:pt>
                  <c:pt idx="2">
                    <c:v>43</c:v>
                  </c:pt>
                  <c:pt idx="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75000"/>
                  </a:schemeClr>
                </a:solidFill>
              </a:ln>
            </c:spPr>
          </c:errBars>
          <c:xVal>
            <c:numRef>
              <c:f>Sheet1!$C$9:$C$12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Sheet1!$D$9:$D$12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295-4524-8AB8-653AAE3AE6E7}"/>
            </c:ext>
          </c:extLst>
        </c:ser>
        <c:ser>
          <c:idx val="1"/>
          <c:order val="2"/>
          <c:tx>
            <c:v>实际</c:v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Sheet1!$D$2:$D$5</c:f>
                <c:numCache>
                  <c:formatCode>General</c:formatCode>
                  <c:ptCount val="4"/>
                  <c:pt idx="0">
                    <c:v>43</c:v>
                  </c:pt>
                  <c:pt idx="1">
                    <c:v>69</c:v>
                  </c:pt>
                  <c:pt idx="2">
                    <c:v>69</c:v>
                  </c:pt>
                  <c:pt idx="3">
                    <c:v>59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</c:errBars>
          <c:xVal>
            <c:numRef>
              <c:f>Sheet1!$E$9:$E$12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Sheet1!$F$9:$F$12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295-4524-8AB8-653AAE3AE6E7}"/>
            </c:ext>
          </c:extLst>
        </c:ser>
        <c:ser>
          <c:idx val="3"/>
          <c:order val="3"/>
          <c:tx>
            <c:strRef>
              <c:f>Sheet1!$F$14</c:f>
              <c:strCache>
                <c:ptCount val="1"/>
                <c:pt idx="0">
                  <c:v>纵轴</c:v>
                </c:pt>
              </c:strCache>
            </c:strRef>
          </c:tx>
          <c:spPr>
            <a:ln w="15875">
              <a:solidFill>
                <a:schemeClr val="bg1">
                  <a:lumMod val="65000"/>
                </a:schemeClr>
              </a:solidFill>
              <a:tailEnd type="triangle" w="sm" len="sm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95-4524-8AB8-653AAE3AE6E7}"/>
                </c:ext>
              </c:extLst>
            </c:dLbl>
            <c:dLbl>
              <c:idx val="1"/>
              <c:tx>
                <c:strRef>
                  <c:f>Sheet1!$B$9</c:f>
                  <c:strCache>
                    <c:ptCount val="1"/>
                    <c:pt idx="0">
                      <c:v>设计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{9B4C7CAA-C8B8-4176-A25E-AE88FBD59C11}</c15:txfldGUID>
                      <c15:f>Sheet1!$B$9</c15:f>
                      <c15:dlblFieldTableCache>
                        <c:ptCount val="1"/>
                        <c:pt idx="0">
                          <c:v>设计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295-4524-8AB8-653AAE3AE6E7}"/>
                </c:ext>
              </c:extLst>
            </c:dLbl>
            <c:dLbl>
              <c:idx val="2"/>
              <c:tx>
                <c:strRef>
                  <c:f>Sheet1!$B$10</c:f>
                  <c:strCache>
                    <c:ptCount val="1"/>
                    <c:pt idx="0">
                      <c:v>造价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{64ABA30A-B19E-4C84-BDA1-AC0466386922}</c15:txfldGUID>
                      <c15:f>Sheet1!$B$10</c15:f>
                      <c15:dlblFieldTableCache>
                        <c:ptCount val="1"/>
                        <c:pt idx="0">
                          <c:v>造价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295-4524-8AB8-653AAE3AE6E7}"/>
                </c:ext>
              </c:extLst>
            </c:dLbl>
            <c:dLbl>
              <c:idx val="3"/>
              <c:tx>
                <c:strRef>
                  <c:f>Sheet1!$B$11</c:f>
                  <c:strCache>
                    <c:ptCount val="1"/>
                    <c:pt idx="0">
                      <c:v>工程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{CA6E2EC4-92FA-467C-A65F-FACFE4C83805}</c15:txfldGUID>
                      <c15:f>Sheet1!$B$11</c15:f>
                      <c15:dlblFieldTableCache>
                        <c:ptCount val="1"/>
                        <c:pt idx="0">
                          <c:v>工程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295-4524-8AB8-653AAE3AE6E7}"/>
                </c:ext>
              </c:extLst>
            </c:dLbl>
            <c:dLbl>
              <c:idx val="4"/>
              <c:tx>
                <c:strRef>
                  <c:f>Sheet1!$B$12</c:f>
                  <c:strCache>
                    <c:ptCount val="1"/>
                    <c:pt idx="0">
                      <c:v>监理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{0D459D67-8FAA-41F3-877F-31F16FFA7EAD}</c15:txfldGUID>
                      <c15:f>Sheet1!$B$12</c15:f>
                      <c15:dlblFieldTableCache>
                        <c:ptCount val="1"/>
                        <c:pt idx="0">
                          <c:v>监理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295-4524-8AB8-653AAE3AE6E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95-4524-8AB8-653AAE3AE6E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Sheet1!$F$15:$F$20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xVal>
          <c:yVal>
            <c:numRef>
              <c:f>Sheet1!$G$15:$G$20</c:f>
              <c:numCache>
                <c:formatCode>General</c:formatCode>
                <c:ptCount val="6"/>
                <c:pt idx="0">
                  <c:v>29.7</c:v>
                </c:pt>
                <c:pt idx="1">
                  <c:v>25</c:v>
                </c:pt>
                <c:pt idx="2">
                  <c:v>19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295-4524-8AB8-653AAE3A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53952"/>
        <c:axId val="137455488"/>
      </c:scatterChart>
      <c:valAx>
        <c:axId val="137453952"/>
        <c:scaling>
          <c:orientation val="minMax"/>
          <c:max val="300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37455488"/>
        <c:crosses val="autoZero"/>
        <c:crossBetween val="midCat"/>
      </c:valAx>
      <c:valAx>
        <c:axId val="137455488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37453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计划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Sheet2!$C$11:$C$14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Sheet2!$D$11:$D$14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3-4A6A-9933-5179D0621CC7}"/>
            </c:ext>
          </c:extLst>
        </c:ser>
        <c:ser>
          <c:idx val="1"/>
          <c:order val="1"/>
          <c:tx>
            <c:strRef>
              <c:f>Sheet2!$E$9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Sheet2!$E$11:$E$14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Sheet2!$F$11:$F$14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3-4A6A-9933-5179D0621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08928"/>
        <c:axId val="36107392"/>
      </c:scatterChart>
      <c:valAx>
        <c:axId val="3610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107392"/>
        <c:crosses val="autoZero"/>
        <c:crossBetween val="midCat"/>
      </c:valAx>
      <c:valAx>
        <c:axId val="3610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108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计划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Sheet2!$C$3:$C$6</c:f>
                <c:numCache>
                  <c:formatCode>General</c:formatCode>
                  <c:ptCount val="4"/>
                  <c:pt idx="0">
                    <c:v>47</c:v>
                  </c:pt>
                  <c:pt idx="1">
                    <c:v>59</c:v>
                  </c:pt>
                  <c:pt idx="2">
                    <c:v>36</c:v>
                  </c:pt>
                  <c:pt idx="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rgbClr val="FFC000"/>
                </a:solidFill>
              </a:ln>
            </c:spPr>
          </c:errBars>
          <c:xVal>
            <c:numRef>
              <c:f>Sheet2!$C$11:$C$14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Sheet2!$D$11:$D$14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4-4A49-8503-65ACE55AF23D}"/>
            </c:ext>
          </c:extLst>
        </c:ser>
        <c:ser>
          <c:idx val="1"/>
          <c:order val="1"/>
          <c:tx>
            <c:strRef>
              <c:f>Sheet2!$E$9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Sheet2!$D$3:$D$6</c:f>
                <c:numCache>
                  <c:formatCode>General</c:formatCode>
                  <c:ptCount val="4"/>
                  <c:pt idx="0">
                    <c:v>78</c:v>
                  </c:pt>
                  <c:pt idx="1">
                    <c:v>34</c:v>
                  </c:pt>
                  <c:pt idx="2">
                    <c:v>45</c:v>
                  </c:pt>
                  <c:pt idx="3">
                    <c:v>40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75000"/>
                  </a:schemeClr>
                </a:solidFill>
              </a:ln>
            </c:spPr>
          </c:errBars>
          <c:xVal>
            <c:numRef>
              <c:f>Sheet2!$E$11:$E$14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Sheet2!$F$11:$F$14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4-4A49-8503-65ACE55AF23D}"/>
            </c:ext>
          </c:extLst>
        </c:ser>
        <c:ser>
          <c:idx val="2"/>
          <c:order val="2"/>
          <c:tx>
            <c:strRef>
              <c:f>Sheet2!$B$21</c:f>
              <c:strCache>
                <c:ptCount val="1"/>
                <c:pt idx="0">
                  <c:v>网格线坐标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Sheet2!$B$23:$B$33</c:f>
              <c:numCache>
                <c:formatCode>General</c:formatCode>
                <c:ptCount val="11"/>
                <c:pt idx="0">
                  <c:v>0.8</c:v>
                </c:pt>
                <c:pt idx="1">
                  <c:v>31.8</c:v>
                </c:pt>
                <c:pt idx="2">
                  <c:v>59.8</c:v>
                </c:pt>
                <c:pt idx="3">
                  <c:v>90.8</c:v>
                </c:pt>
                <c:pt idx="4">
                  <c:v>120.8</c:v>
                </c:pt>
                <c:pt idx="5">
                  <c:v>151.80000000000001</c:v>
                </c:pt>
                <c:pt idx="6">
                  <c:v>181.8</c:v>
                </c:pt>
                <c:pt idx="7">
                  <c:v>212.8</c:v>
                </c:pt>
                <c:pt idx="8">
                  <c:v>243.8</c:v>
                </c:pt>
                <c:pt idx="9">
                  <c:v>273.8</c:v>
                </c:pt>
                <c:pt idx="10">
                  <c:v>304.8</c:v>
                </c:pt>
              </c:numCache>
            </c:numRef>
          </c:xVal>
          <c:yVal>
            <c:numRef>
              <c:f>Sheet2!$C$23:$C$33</c:f>
              <c:numCache>
                <c:formatCode>General</c:formatCode>
                <c:ptCount val="11"/>
                <c:pt idx="0">
                  <c:v>29.7</c:v>
                </c:pt>
                <c:pt idx="1">
                  <c:v>29.7</c:v>
                </c:pt>
                <c:pt idx="2">
                  <c:v>29.7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4-4A49-8503-65ACE55A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16480"/>
        <c:axId val="37720448"/>
      </c:scatterChart>
      <c:valAx>
        <c:axId val="11971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720448"/>
        <c:crosses val="autoZero"/>
        <c:crossBetween val="midCat"/>
      </c:valAx>
      <c:valAx>
        <c:axId val="37720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9716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计划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Sheet2!$C$3:$C$6</c:f>
                <c:numCache>
                  <c:formatCode>General</c:formatCode>
                  <c:ptCount val="4"/>
                  <c:pt idx="0">
                    <c:v>47</c:v>
                  </c:pt>
                  <c:pt idx="1">
                    <c:v>59</c:v>
                  </c:pt>
                  <c:pt idx="2">
                    <c:v>36</c:v>
                  </c:pt>
                  <c:pt idx="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rgbClr val="FFC000"/>
                </a:solidFill>
              </a:ln>
            </c:spPr>
          </c:errBars>
          <c:xVal>
            <c:numRef>
              <c:f>Sheet2!$C$11:$C$14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Sheet2!$D$11:$D$14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02-4DB3-927F-7FF44A4217FD}"/>
            </c:ext>
          </c:extLst>
        </c:ser>
        <c:ser>
          <c:idx val="1"/>
          <c:order val="1"/>
          <c:tx>
            <c:strRef>
              <c:f>Sheet2!$E$9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Sheet2!$D$3:$D$6</c:f>
                <c:numCache>
                  <c:formatCode>General</c:formatCode>
                  <c:ptCount val="4"/>
                  <c:pt idx="0">
                    <c:v>78</c:v>
                  </c:pt>
                  <c:pt idx="1">
                    <c:v>34</c:v>
                  </c:pt>
                  <c:pt idx="2">
                    <c:v>45</c:v>
                  </c:pt>
                  <c:pt idx="3">
                    <c:v>40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75000"/>
                  </a:schemeClr>
                </a:solidFill>
              </a:ln>
            </c:spPr>
          </c:errBars>
          <c:xVal>
            <c:numRef>
              <c:f>Sheet2!$E$11:$E$14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Sheet2!$F$11:$F$14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02-4DB3-927F-7FF44A4217FD}"/>
            </c:ext>
          </c:extLst>
        </c:ser>
        <c:ser>
          <c:idx val="2"/>
          <c:order val="2"/>
          <c:tx>
            <c:strRef>
              <c:f>Sheet2!$B$21</c:f>
              <c:strCache>
                <c:ptCount val="1"/>
                <c:pt idx="0">
                  <c:v>网格线坐标</c:v>
                </c:pt>
              </c:strCache>
            </c:strRef>
          </c:tx>
          <c:spPr>
            <a:ln w="15875">
              <a:solidFill>
                <a:schemeClr val="bg1">
                  <a:lumMod val="65000"/>
                </a:schemeClr>
              </a:solidFill>
              <a:tailEnd type="triangle" w="sm" len="sm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02-4DB3-927F-7FF44A4217FD}"/>
                </c:ext>
              </c:extLst>
            </c:dLbl>
            <c:dLbl>
              <c:idx val="1"/>
              <c:tx>
                <c:strRef>
                  <c:f>Sheet2!$A$24</c:f>
                  <c:strCache>
                    <c:ptCount val="1"/>
                    <c:pt idx="0">
                      <c:v>1月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{8A3D436E-2C17-43DC-BF1C-DA5EBBBE5D3E}</c15:txfldGUID>
                      <c15:f>Sheet2!$A$24</c15:f>
                      <c15:dlblFieldTableCache>
                        <c:ptCount val="1"/>
                        <c:pt idx="0">
                          <c:v>1月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902-4DB3-927F-7FF44A4217FD}"/>
                </c:ext>
              </c:extLst>
            </c:dLbl>
            <c:dLbl>
              <c:idx val="2"/>
              <c:tx>
                <c:strRef>
                  <c:f>Sheet2!$A$25</c:f>
                  <c:strCache>
                    <c:ptCount val="1"/>
                    <c:pt idx="0">
                      <c:v>2月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{32E95DC6-FD99-45D0-B374-A5A3B93FA744}</c15:txfldGUID>
                      <c15:f>Sheet2!$A$25</c15:f>
                      <c15:dlblFieldTableCache>
                        <c:ptCount val="1"/>
                        <c:pt idx="0">
                          <c:v>2月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902-4DB3-927F-7FF44A4217FD}"/>
                </c:ext>
              </c:extLst>
            </c:dLbl>
            <c:dLbl>
              <c:idx val="3"/>
              <c:tx>
                <c:strRef>
                  <c:f>Sheet2!$A$26</c:f>
                  <c:strCache>
                    <c:ptCount val="1"/>
                    <c:pt idx="0">
                      <c:v>3月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{97548003-26D4-46A7-BAB6-D6ED44A3BEE7}</c15:txfldGUID>
                      <c15:f>Sheet2!$A$26</c15:f>
                      <c15:dlblFieldTableCache>
                        <c:ptCount val="1"/>
                        <c:pt idx="0">
                          <c:v>3月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902-4DB3-927F-7FF44A4217FD}"/>
                </c:ext>
              </c:extLst>
            </c:dLbl>
            <c:dLbl>
              <c:idx val="4"/>
              <c:tx>
                <c:strRef>
                  <c:f>Sheet2!$A$27</c:f>
                  <c:strCache>
                    <c:ptCount val="1"/>
                    <c:pt idx="0">
                      <c:v>4月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{311F89B9-4AE1-46DC-A2EE-15C7CB80B6CF}</c15:txfldGUID>
                      <c15:f>Sheet2!$A$27</c15:f>
                      <c15:dlblFieldTableCache>
                        <c:ptCount val="1"/>
                        <c:pt idx="0">
                          <c:v>4月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902-4DB3-927F-7FF44A4217FD}"/>
                </c:ext>
              </c:extLst>
            </c:dLbl>
            <c:dLbl>
              <c:idx val="5"/>
              <c:tx>
                <c:strRef>
                  <c:f>Sheet2!$A$28</c:f>
                  <c:strCache>
                    <c:ptCount val="1"/>
                    <c:pt idx="0">
                      <c:v>5月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{3BF1453D-02C5-4D8D-88A4-256E18A82278}</c15:txfldGUID>
                      <c15:f>Sheet2!$A$28</c15:f>
                      <c15:dlblFieldTableCache>
                        <c:ptCount val="1"/>
                        <c:pt idx="0">
                          <c:v>5月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902-4DB3-927F-7FF44A4217FD}"/>
                </c:ext>
              </c:extLst>
            </c:dLbl>
            <c:dLbl>
              <c:idx val="6"/>
              <c:tx>
                <c:strRef>
                  <c:f>Sheet2!$A$29</c:f>
                  <c:strCache>
                    <c:ptCount val="1"/>
                    <c:pt idx="0">
                      <c:v>6月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{4A0BC83D-8F77-47FD-8172-450B5EEE2346}</c15:txfldGUID>
                      <c15:f>Sheet2!$A$29</c15:f>
                      <c15:dlblFieldTableCache>
                        <c:ptCount val="1"/>
                        <c:pt idx="0">
                          <c:v>6月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902-4DB3-927F-7FF44A4217FD}"/>
                </c:ext>
              </c:extLst>
            </c:dLbl>
            <c:dLbl>
              <c:idx val="7"/>
              <c:tx>
                <c:strRef>
                  <c:f>Sheet2!$A$30</c:f>
                  <c:strCache>
                    <c:ptCount val="1"/>
                    <c:pt idx="0">
                      <c:v>7月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{9C096E28-0427-4A33-BC17-668668A2CE08}</c15:txfldGUID>
                      <c15:f>Sheet2!$A$30</c15:f>
                      <c15:dlblFieldTableCache>
                        <c:ptCount val="1"/>
                        <c:pt idx="0">
                          <c:v>7月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902-4DB3-927F-7FF44A4217FD}"/>
                </c:ext>
              </c:extLst>
            </c:dLbl>
            <c:dLbl>
              <c:idx val="8"/>
              <c:tx>
                <c:strRef>
                  <c:f>Sheet2!$A$31</c:f>
                  <c:strCache>
                    <c:ptCount val="1"/>
                    <c:pt idx="0">
                      <c:v>8月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{9E51A470-0101-4C8C-A0F2-434A256DC729}</c15:txfldGUID>
                      <c15:f>Sheet2!$A$31</c15:f>
                      <c15:dlblFieldTableCache>
                        <c:ptCount val="1"/>
                        <c:pt idx="0">
                          <c:v>8月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902-4DB3-927F-7FF44A4217FD}"/>
                </c:ext>
              </c:extLst>
            </c:dLbl>
            <c:dLbl>
              <c:idx val="9"/>
              <c:tx>
                <c:strRef>
                  <c:f>Sheet2!$A$32</c:f>
                  <c:strCache>
                    <c:ptCount val="1"/>
                    <c:pt idx="0">
                      <c:v>9月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{7C34EDAF-B47F-4541-A6D4-3A8E9AA7FA5C}</c15:txfldGUID>
                      <c15:f>Sheet2!$A$32</c15:f>
                      <c15:dlblFieldTableCache>
                        <c:ptCount val="1"/>
                        <c:pt idx="0">
                          <c:v>9月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902-4DB3-927F-7FF44A4217F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902-4DB3-927F-7FF44A4217FD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cust"/>
            <c:noEndCap val="1"/>
            <c:plus>
              <c:numRef>
                <c:f>Sheet2!$D$23:$D$26</c:f>
                <c:numCache>
                  <c:formatCode>General</c:formatCode>
                  <c:ptCount val="4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</c:numCache>
              </c:numRef>
            </c:plus>
            <c:minus>
              <c:numRef>
                <c:f>Sheet2!$D$23:$D$33</c:f>
                <c:numCache>
                  <c:formatCode>General</c:formatCode>
                  <c:ptCount val="11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  <c:pt idx="4">
                    <c:v>29.7</c:v>
                  </c:pt>
                  <c:pt idx="5">
                    <c:v>29.7</c:v>
                  </c:pt>
                  <c:pt idx="6">
                    <c:v>29.7</c:v>
                  </c:pt>
                  <c:pt idx="7">
                    <c:v>29.7</c:v>
                  </c:pt>
                  <c:pt idx="8">
                    <c:v>29.7</c:v>
                  </c:pt>
                  <c:pt idx="9">
                    <c:v>29.7</c:v>
                  </c:pt>
                </c:numCache>
              </c:numRef>
            </c:minus>
            <c:spPr>
              <a:ln w="15875">
                <a:solidFill>
                  <a:schemeClr val="bg1">
                    <a:lumMod val="75000"/>
                  </a:schemeClr>
                </a:solidFill>
                <a:prstDash val="dash"/>
              </a:ln>
            </c:spPr>
          </c:errBars>
          <c:xVal>
            <c:numRef>
              <c:f>Sheet2!$B$23:$B$33</c:f>
              <c:numCache>
                <c:formatCode>General</c:formatCode>
                <c:ptCount val="11"/>
                <c:pt idx="0">
                  <c:v>0.8</c:v>
                </c:pt>
                <c:pt idx="1">
                  <c:v>31.8</c:v>
                </c:pt>
                <c:pt idx="2">
                  <c:v>59.8</c:v>
                </c:pt>
                <c:pt idx="3">
                  <c:v>90.8</c:v>
                </c:pt>
                <c:pt idx="4">
                  <c:v>120.8</c:v>
                </c:pt>
                <c:pt idx="5">
                  <c:v>151.80000000000001</c:v>
                </c:pt>
                <c:pt idx="6">
                  <c:v>181.8</c:v>
                </c:pt>
                <c:pt idx="7">
                  <c:v>212.8</c:v>
                </c:pt>
                <c:pt idx="8">
                  <c:v>243.8</c:v>
                </c:pt>
                <c:pt idx="9">
                  <c:v>273.8</c:v>
                </c:pt>
                <c:pt idx="10">
                  <c:v>304.8</c:v>
                </c:pt>
              </c:numCache>
            </c:numRef>
          </c:xVal>
          <c:yVal>
            <c:numRef>
              <c:f>Sheet2!$C$23:$C$33</c:f>
              <c:numCache>
                <c:formatCode>General</c:formatCode>
                <c:ptCount val="11"/>
                <c:pt idx="0">
                  <c:v>29.7</c:v>
                </c:pt>
                <c:pt idx="1">
                  <c:v>29.7</c:v>
                </c:pt>
                <c:pt idx="2">
                  <c:v>29.7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902-4DB3-927F-7FF44A42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92448"/>
        <c:axId val="86975232"/>
      </c:scatterChart>
      <c:valAx>
        <c:axId val="86792448"/>
        <c:scaling>
          <c:orientation val="minMax"/>
          <c:max val="3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86975232"/>
        <c:crosses val="autoZero"/>
        <c:crossBetween val="midCat"/>
      </c:valAx>
      <c:valAx>
        <c:axId val="86975232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86792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计划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Sheet2!$C$3:$C$6</c:f>
                <c:numCache>
                  <c:formatCode>General</c:formatCode>
                  <c:ptCount val="4"/>
                  <c:pt idx="0">
                    <c:v>47</c:v>
                  </c:pt>
                  <c:pt idx="1">
                    <c:v>59</c:v>
                  </c:pt>
                  <c:pt idx="2">
                    <c:v>36</c:v>
                  </c:pt>
                  <c:pt idx="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rgbClr val="FFC000"/>
                </a:solidFill>
              </a:ln>
            </c:spPr>
          </c:errBars>
          <c:xVal>
            <c:numRef>
              <c:f>Sheet2!$C$11:$C$14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Sheet2!$D$11:$D$14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D-452A-BCD4-E4057EF7C640}"/>
            </c:ext>
          </c:extLst>
        </c:ser>
        <c:ser>
          <c:idx val="1"/>
          <c:order val="1"/>
          <c:tx>
            <c:strRef>
              <c:f>Sheet2!$E$9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plus"/>
            <c:errValType val="cust"/>
            <c:noEndCap val="1"/>
            <c:plus>
              <c:numRef>
                <c:f>Sheet2!$D$3:$D$6</c:f>
                <c:numCache>
                  <c:formatCode>General</c:formatCode>
                  <c:ptCount val="4"/>
                  <c:pt idx="0">
                    <c:v>78</c:v>
                  </c:pt>
                  <c:pt idx="1">
                    <c:v>34</c:v>
                  </c:pt>
                  <c:pt idx="2">
                    <c:v>45</c:v>
                  </c:pt>
                  <c:pt idx="3">
                    <c:v>40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75000"/>
                  </a:schemeClr>
                </a:solidFill>
              </a:ln>
            </c:spPr>
          </c:errBars>
          <c:xVal>
            <c:numRef>
              <c:f>Sheet2!$E$11:$E$14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Sheet2!$F$11:$F$14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D-452A-BCD4-E4057EF7C640}"/>
            </c:ext>
          </c:extLst>
        </c:ser>
        <c:ser>
          <c:idx val="2"/>
          <c:order val="2"/>
          <c:tx>
            <c:strRef>
              <c:f>Sheet2!$B$21</c:f>
              <c:strCache>
                <c:ptCount val="1"/>
                <c:pt idx="0">
                  <c:v>网格线坐标</c:v>
                </c:pt>
              </c:strCache>
            </c:strRef>
          </c:tx>
          <c:spPr>
            <a:ln w="15875">
              <a:solidFill>
                <a:schemeClr val="bg1">
                  <a:lumMod val="65000"/>
                </a:schemeClr>
              </a:solidFill>
              <a:tailEnd type="triangle" w="sm" len="sm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5D-452A-BCD4-E4057EF7C640}"/>
                </c:ext>
              </c:extLst>
            </c:dLbl>
            <c:dLbl>
              <c:idx val="1"/>
              <c:tx>
                <c:strRef>
                  <c:f>Sheet2!$A$24</c:f>
                  <c:strCache>
                    <c:ptCount val="1"/>
                    <c:pt idx="0">
                      <c:v>1月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{89E4B9E8-AD5D-4320-AEF3-25E8C45B87B5}</c15:txfldGUID>
                      <c15:f>Sheet2!$A$24</c15:f>
                      <c15:dlblFieldTableCache>
                        <c:ptCount val="1"/>
                        <c:pt idx="0">
                          <c:v>1月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65D-452A-BCD4-E4057EF7C640}"/>
                </c:ext>
              </c:extLst>
            </c:dLbl>
            <c:dLbl>
              <c:idx val="2"/>
              <c:tx>
                <c:strRef>
                  <c:f>Sheet2!$A$25</c:f>
                  <c:strCache>
                    <c:ptCount val="1"/>
                    <c:pt idx="0">
                      <c:v>2月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{3D73D649-976F-40BA-87E0-6CD47B156CEA}</c15:txfldGUID>
                      <c15:f>Sheet2!$A$25</c15:f>
                      <c15:dlblFieldTableCache>
                        <c:ptCount val="1"/>
                        <c:pt idx="0">
                          <c:v>2月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65D-452A-BCD4-E4057EF7C640}"/>
                </c:ext>
              </c:extLst>
            </c:dLbl>
            <c:dLbl>
              <c:idx val="3"/>
              <c:tx>
                <c:strRef>
                  <c:f>Sheet2!$A$26</c:f>
                  <c:strCache>
                    <c:ptCount val="1"/>
                    <c:pt idx="0">
                      <c:v>3月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{7E10A209-2B89-4BF5-ACF3-C68CC718A91F}</c15:txfldGUID>
                      <c15:f>Sheet2!$A$26</c15:f>
                      <c15:dlblFieldTableCache>
                        <c:ptCount val="1"/>
                        <c:pt idx="0">
                          <c:v>3月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65D-452A-BCD4-E4057EF7C640}"/>
                </c:ext>
              </c:extLst>
            </c:dLbl>
            <c:dLbl>
              <c:idx val="4"/>
              <c:tx>
                <c:strRef>
                  <c:f>Sheet2!$A$27</c:f>
                  <c:strCache>
                    <c:ptCount val="1"/>
                    <c:pt idx="0">
                      <c:v>4月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{3AABB548-1561-43D8-AFB5-BCA7E2B7B8B6}</c15:txfldGUID>
                      <c15:f>Sheet2!$A$27</c15:f>
                      <c15:dlblFieldTableCache>
                        <c:ptCount val="1"/>
                        <c:pt idx="0">
                          <c:v>4月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65D-452A-BCD4-E4057EF7C640}"/>
                </c:ext>
              </c:extLst>
            </c:dLbl>
            <c:dLbl>
              <c:idx val="5"/>
              <c:tx>
                <c:strRef>
                  <c:f>Sheet2!$A$28</c:f>
                  <c:strCache>
                    <c:ptCount val="1"/>
                    <c:pt idx="0">
                      <c:v>5月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{0FCBEB50-F52E-40BF-B139-DCC09FA87AEA}</c15:txfldGUID>
                      <c15:f>Sheet2!$A$28</c15:f>
                      <c15:dlblFieldTableCache>
                        <c:ptCount val="1"/>
                        <c:pt idx="0">
                          <c:v>5月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65D-452A-BCD4-E4057EF7C640}"/>
                </c:ext>
              </c:extLst>
            </c:dLbl>
            <c:dLbl>
              <c:idx val="6"/>
              <c:tx>
                <c:strRef>
                  <c:f>Sheet2!$A$29</c:f>
                  <c:strCache>
                    <c:ptCount val="1"/>
                    <c:pt idx="0">
                      <c:v>6月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{8F4A28CB-B5A9-4892-B4AF-84520A140EB4}</c15:txfldGUID>
                      <c15:f>Sheet2!$A$29</c15:f>
                      <c15:dlblFieldTableCache>
                        <c:ptCount val="1"/>
                        <c:pt idx="0">
                          <c:v>6月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65D-452A-BCD4-E4057EF7C640}"/>
                </c:ext>
              </c:extLst>
            </c:dLbl>
            <c:dLbl>
              <c:idx val="7"/>
              <c:tx>
                <c:strRef>
                  <c:f>Sheet2!$A$30</c:f>
                  <c:strCache>
                    <c:ptCount val="1"/>
                    <c:pt idx="0">
                      <c:v>7月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{E30B68A3-6E8F-49C8-AE18-3AB5ED5802DA}</c15:txfldGUID>
                      <c15:f>Sheet2!$A$30</c15:f>
                      <c15:dlblFieldTableCache>
                        <c:ptCount val="1"/>
                        <c:pt idx="0">
                          <c:v>7月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65D-452A-BCD4-E4057EF7C640}"/>
                </c:ext>
              </c:extLst>
            </c:dLbl>
            <c:dLbl>
              <c:idx val="8"/>
              <c:tx>
                <c:strRef>
                  <c:f>Sheet2!$A$31</c:f>
                  <c:strCache>
                    <c:ptCount val="1"/>
                    <c:pt idx="0">
                      <c:v>8月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{7112794A-0792-4967-B8EE-1020C5C32319}</c15:txfldGUID>
                      <c15:f>Sheet2!$A$31</c15:f>
                      <c15:dlblFieldTableCache>
                        <c:ptCount val="1"/>
                        <c:pt idx="0">
                          <c:v>8月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65D-452A-BCD4-E4057EF7C640}"/>
                </c:ext>
              </c:extLst>
            </c:dLbl>
            <c:dLbl>
              <c:idx val="9"/>
              <c:tx>
                <c:strRef>
                  <c:f>Sheet2!$A$32</c:f>
                  <c:strCache>
                    <c:ptCount val="1"/>
                    <c:pt idx="0">
                      <c:v>9月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{55980E42-E8CF-4A7A-9CB7-06F71C78B328}</c15:txfldGUID>
                      <c15:f>Sheet2!$A$32</c15:f>
                      <c15:dlblFieldTableCache>
                        <c:ptCount val="1"/>
                        <c:pt idx="0">
                          <c:v>9月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65D-452A-BCD4-E4057EF7C64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5D-452A-BCD4-E4057EF7C64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cust"/>
            <c:noEndCap val="1"/>
            <c:plus>
              <c:numRef>
                <c:f>Sheet2!$D$23:$D$26</c:f>
                <c:numCache>
                  <c:formatCode>General</c:formatCode>
                  <c:ptCount val="4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</c:numCache>
              </c:numRef>
            </c:plus>
            <c:minus>
              <c:numRef>
                <c:f>Sheet2!$D$23:$D$33</c:f>
                <c:numCache>
                  <c:formatCode>General</c:formatCode>
                  <c:ptCount val="11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  <c:pt idx="4">
                    <c:v>29.7</c:v>
                  </c:pt>
                  <c:pt idx="5">
                    <c:v>29.7</c:v>
                  </c:pt>
                  <c:pt idx="6">
                    <c:v>29.7</c:v>
                  </c:pt>
                  <c:pt idx="7">
                    <c:v>29.7</c:v>
                  </c:pt>
                  <c:pt idx="8">
                    <c:v>29.7</c:v>
                  </c:pt>
                  <c:pt idx="9">
                    <c:v>29.7</c:v>
                  </c:pt>
                </c:numCache>
              </c:numRef>
            </c:minus>
            <c:spPr>
              <a:ln w="15875">
                <a:solidFill>
                  <a:schemeClr val="bg1">
                    <a:lumMod val="75000"/>
                  </a:schemeClr>
                </a:solidFill>
                <a:prstDash val="dash"/>
              </a:ln>
            </c:spPr>
          </c:errBars>
          <c:xVal>
            <c:numRef>
              <c:f>Sheet2!$B$23:$B$33</c:f>
              <c:numCache>
                <c:formatCode>General</c:formatCode>
                <c:ptCount val="11"/>
                <c:pt idx="0">
                  <c:v>0.8</c:v>
                </c:pt>
                <c:pt idx="1">
                  <c:v>31.8</c:v>
                </c:pt>
                <c:pt idx="2">
                  <c:v>59.8</c:v>
                </c:pt>
                <c:pt idx="3">
                  <c:v>90.8</c:v>
                </c:pt>
                <c:pt idx="4">
                  <c:v>120.8</c:v>
                </c:pt>
                <c:pt idx="5">
                  <c:v>151.80000000000001</c:v>
                </c:pt>
                <c:pt idx="6">
                  <c:v>181.8</c:v>
                </c:pt>
                <c:pt idx="7">
                  <c:v>212.8</c:v>
                </c:pt>
                <c:pt idx="8">
                  <c:v>243.8</c:v>
                </c:pt>
                <c:pt idx="9">
                  <c:v>273.8</c:v>
                </c:pt>
                <c:pt idx="10">
                  <c:v>304.8</c:v>
                </c:pt>
              </c:numCache>
            </c:numRef>
          </c:xVal>
          <c:yVal>
            <c:numRef>
              <c:f>Sheet2!$C$23:$C$33</c:f>
              <c:numCache>
                <c:formatCode>General</c:formatCode>
                <c:ptCount val="11"/>
                <c:pt idx="0">
                  <c:v>29.7</c:v>
                </c:pt>
                <c:pt idx="1">
                  <c:v>29.7</c:v>
                </c:pt>
                <c:pt idx="2">
                  <c:v>29.7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65D-452A-BCD4-E4057EF7C640}"/>
            </c:ext>
          </c:extLst>
        </c:ser>
        <c:ser>
          <c:idx val="3"/>
          <c:order val="3"/>
          <c:tx>
            <c:v>纵坐标</c:v>
          </c:tx>
          <c:spPr>
            <a:ln w="28575">
              <a:noFill/>
            </a:ln>
          </c:spPr>
          <c:xVal>
            <c:numRef>
              <c:f>Sheet2!$B$72:$B$77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xVal>
          <c:yVal>
            <c:numRef>
              <c:f>Sheet2!$C$72:$C$77</c:f>
              <c:numCache>
                <c:formatCode>General</c:formatCode>
                <c:ptCount val="6"/>
                <c:pt idx="0">
                  <c:v>29.7</c:v>
                </c:pt>
                <c:pt idx="1">
                  <c:v>25</c:v>
                </c:pt>
                <c:pt idx="2">
                  <c:v>19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5D-452A-BCD4-E4057EF7C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79616"/>
        <c:axId val="137794304"/>
      </c:scatterChart>
      <c:valAx>
        <c:axId val="119279616"/>
        <c:scaling>
          <c:orientation val="minMax"/>
          <c:max val="3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37794304"/>
        <c:crosses val="autoZero"/>
        <c:crossBetween val="midCat"/>
      </c:valAx>
      <c:valAx>
        <c:axId val="137794304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119279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222222222222215E-2"/>
          <c:y val="2.6474127557160047E-2"/>
          <c:w val="0.89722222222222225"/>
          <c:h val="0.947051744885679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计划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50000"/>
                      </a:schemeClr>
                    </a:solidFill>
                    <a:latin typeface="华文新魏" pitchFamily="2" charset="-122"/>
                    <a:ea typeface="华文新魏" pitchFamily="2" charset="-122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Sheet2!$C$3:$C$6</c:f>
                <c:numCache>
                  <c:formatCode>General</c:formatCode>
                  <c:ptCount val="4"/>
                  <c:pt idx="0">
                    <c:v>47</c:v>
                  </c:pt>
                  <c:pt idx="1">
                    <c:v>59</c:v>
                  </c:pt>
                  <c:pt idx="2">
                    <c:v>36</c:v>
                  </c:pt>
                  <c:pt idx="3">
                    <c:v>47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rgbClr val="FFC000"/>
                </a:solidFill>
              </a:ln>
            </c:spPr>
          </c:errBars>
          <c:xVal>
            <c:numRef>
              <c:f>Sheet2!$C$11:$C$14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Sheet2!$D$11:$D$14</c:f>
              <c:numCache>
                <c:formatCode>General</c:formatCode>
                <c:ptCount val="4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7-47CE-8932-41F0FD7E8E81}"/>
            </c:ext>
          </c:extLst>
        </c:ser>
        <c:ser>
          <c:idx val="1"/>
          <c:order val="1"/>
          <c:tx>
            <c:strRef>
              <c:f>Sheet2!$E$9</c:f>
              <c:strCache>
                <c:ptCount val="1"/>
                <c:pt idx="0">
                  <c:v>实际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50000"/>
                      </a:schemeClr>
                    </a:solidFill>
                    <a:latin typeface="华文新魏" pitchFamily="2" charset="-122"/>
                    <a:ea typeface="华文新魏" pitchFamily="2" charset="-122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Sheet2!$D$3:$D$6</c:f>
                <c:numCache>
                  <c:formatCode>General</c:formatCode>
                  <c:ptCount val="4"/>
                  <c:pt idx="0">
                    <c:v>78</c:v>
                  </c:pt>
                  <c:pt idx="1">
                    <c:v>34</c:v>
                  </c:pt>
                  <c:pt idx="2">
                    <c:v>45</c:v>
                  </c:pt>
                  <c:pt idx="3">
                    <c:v>40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63525">
                <a:solidFill>
                  <a:schemeClr val="accent6">
                    <a:lumMod val="75000"/>
                  </a:schemeClr>
                </a:solidFill>
              </a:ln>
            </c:spPr>
          </c:errBars>
          <c:xVal>
            <c:numRef>
              <c:f>Sheet2!$E$11:$E$14</c:f>
              <c:numCache>
                <c:formatCode>General</c:formatCode>
                <c:ptCount val="4"/>
                <c:pt idx="0">
                  <c:v>31</c:v>
                </c:pt>
                <c:pt idx="1">
                  <c:v>92</c:v>
                </c:pt>
                <c:pt idx="2">
                  <c:v>126</c:v>
                </c:pt>
                <c:pt idx="3">
                  <c:v>141</c:v>
                </c:pt>
              </c:numCache>
            </c:numRef>
          </c:xVal>
          <c:yVal>
            <c:numRef>
              <c:f>Sheet2!$F$11:$F$14</c:f>
              <c:numCache>
                <c:formatCode>General</c:formatCode>
                <c:ptCount val="4"/>
                <c:pt idx="0">
                  <c:v>24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7-47CE-8932-41F0FD7E8E81}"/>
            </c:ext>
          </c:extLst>
        </c:ser>
        <c:ser>
          <c:idx val="2"/>
          <c:order val="2"/>
          <c:tx>
            <c:strRef>
              <c:f>Sheet2!$B$21</c:f>
              <c:strCache>
                <c:ptCount val="1"/>
                <c:pt idx="0">
                  <c:v>网格线坐标</c:v>
                </c:pt>
              </c:strCache>
            </c:strRef>
          </c:tx>
          <c:spPr>
            <a:ln w="15875">
              <a:solidFill>
                <a:schemeClr val="bg1">
                  <a:lumMod val="65000"/>
                </a:schemeClr>
              </a:solidFill>
              <a:tailEnd type="triangle" w="sm" len="sm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F7-47CE-8932-41F0FD7E8E81}"/>
                </c:ext>
              </c:extLst>
            </c:dLbl>
            <c:dLbl>
              <c:idx val="1"/>
              <c:tx>
                <c:strRef>
                  <c:f>Sheet2!$A$24</c:f>
                  <c:strCache>
                    <c:ptCount val="1"/>
                    <c:pt idx="0">
                      <c:v>1月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{1418D320-B25C-467C-99AE-F9A70E78FA08}</c15:txfldGUID>
                      <c15:f>Sheet2!$A$24</c15:f>
                      <c15:dlblFieldTableCache>
                        <c:ptCount val="1"/>
                        <c:pt idx="0">
                          <c:v>1月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7F7-47CE-8932-41F0FD7E8E81}"/>
                </c:ext>
              </c:extLst>
            </c:dLbl>
            <c:dLbl>
              <c:idx val="2"/>
              <c:tx>
                <c:strRef>
                  <c:f>Sheet2!$A$25</c:f>
                  <c:strCache>
                    <c:ptCount val="1"/>
                    <c:pt idx="0">
                      <c:v>2月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{3399F785-A69F-485A-BA62-86715D6DDE8E}</c15:txfldGUID>
                      <c15:f>Sheet2!$A$25</c15:f>
                      <c15:dlblFieldTableCache>
                        <c:ptCount val="1"/>
                        <c:pt idx="0">
                          <c:v>2月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7F7-47CE-8932-41F0FD7E8E81}"/>
                </c:ext>
              </c:extLst>
            </c:dLbl>
            <c:dLbl>
              <c:idx val="3"/>
              <c:tx>
                <c:strRef>
                  <c:f>Sheet2!$A$26</c:f>
                  <c:strCache>
                    <c:ptCount val="1"/>
                    <c:pt idx="0">
                      <c:v>3月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{6F501A2E-9FDE-4BD5-B047-DA48290BDE62}</c15:txfldGUID>
                      <c15:f>Sheet2!$A$26</c15:f>
                      <c15:dlblFieldTableCache>
                        <c:ptCount val="1"/>
                        <c:pt idx="0">
                          <c:v>3月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7F7-47CE-8932-41F0FD7E8E81}"/>
                </c:ext>
              </c:extLst>
            </c:dLbl>
            <c:dLbl>
              <c:idx val="4"/>
              <c:tx>
                <c:strRef>
                  <c:f>Sheet2!$A$27</c:f>
                  <c:strCache>
                    <c:ptCount val="1"/>
                    <c:pt idx="0">
                      <c:v>4月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{4DFE6DB4-C78E-440F-B91A-F5D7C511DAD6}</c15:txfldGUID>
                      <c15:f>Sheet2!$A$27</c15:f>
                      <c15:dlblFieldTableCache>
                        <c:ptCount val="1"/>
                        <c:pt idx="0">
                          <c:v>4月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7F7-47CE-8932-41F0FD7E8E81}"/>
                </c:ext>
              </c:extLst>
            </c:dLbl>
            <c:dLbl>
              <c:idx val="5"/>
              <c:tx>
                <c:strRef>
                  <c:f>Sheet2!$A$28</c:f>
                  <c:strCache>
                    <c:ptCount val="1"/>
                    <c:pt idx="0">
                      <c:v>5月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{B1D355A8-D709-47FB-BE2C-410E15518AA3}</c15:txfldGUID>
                      <c15:f>Sheet2!$A$28</c15:f>
                      <c15:dlblFieldTableCache>
                        <c:ptCount val="1"/>
                        <c:pt idx="0">
                          <c:v>5月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7F7-47CE-8932-41F0FD7E8E81}"/>
                </c:ext>
              </c:extLst>
            </c:dLbl>
            <c:dLbl>
              <c:idx val="6"/>
              <c:tx>
                <c:strRef>
                  <c:f>Sheet2!$A$29</c:f>
                  <c:strCache>
                    <c:ptCount val="1"/>
                    <c:pt idx="0">
                      <c:v>6月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{6931BFE1-5743-4632-AD42-399CBB33DDB7}</c15:txfldGUID>
                      <c15:f>Sheet2!$A$29</c15:f>
                      <c15:dlblFieldTableCache>
                        <c:ptCount val="1"/>
                        <c:pt idx="0">
                          <c:v>6月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7F7-47CE-8932-41F0FD7E8E81}"/>
                </c:ext>
              </c:extLst>
            </c:dLbl>
            <c:dLbl>
              <c:idx val="7"/>
              <c:tx>
                <c:strRef>
                  <c:f>Sheet2!$A$30</c:f>
                  <c:strCache>
                    <c:ptCount val="1"/>
                    <c:pt idx="0">
                      <c:v>7月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{CA909B0C-74FE-499F-AE33-67139AB22B38}</c15:txfldGUID>
                      <c15:f>Sheet2!$A$30</c15:f>
                      <c15:dlblFieldTableCache>
                        <c:ptCount val="1"/>
                        <c:pt idx="0">
                          <c:v>7月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7F7-47CE-8932-41F0FD7E8E81}"/>
                </c:ext>
              </c:extLst>
            </c:dLbl>
            <c:dLbl>
              <c:idx val="8"/>
              <c:tx>
                <c:strRef>
                  <c:f>Sheet2!$A$31</c:f>
                  <c:strCache>
                    <c:ptCount val="1"/>
                    <c:pt idx="0">
                      <c:v>8月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{22DCFA29-8287-4771-B1A2-34147420B458}</c15:txfldGUID>
                      <c15:f>Sheet2!$A$31</c15:f>
                      <c15:dlblFieldTableCache>
                        <c:ptCount val="1"/>
                        <c:pt idx="0">
                          <c:v>8月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7F7-47CE-8932-41F0FD7E8E81}"/>
                </c:ext>
              </c:extLst>
            </c:dLbl>
            <c:dLbl>
              <c:idx val="9"/>
              <c:tx>
                <c:strRef>
                  <c:f>Sheet2!$A$32</c:f>
                  <c:strCache>
                    <c:ptCount val="1"/>
                    <c:pt idx="0">
                      <c:v>9月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{B0D0EFED-0DE1-41F8-8099-7C46B5011BB6}</c15:txfldGUID>
                      <c15:f>Sheet2!$A$32</c15:f>
                      <c15:dlblFieldTableCache>
                        <c:ptCount val="1"/>
                        <c:pt idx="0">
                          <c:v>9月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7F7-47CE-8932-41F0FD7E8E8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7F7-47CE-8932-41F0FD7E8E8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cust"/>
            <c:noEndCap val="1"/>
            <c:plus>
              <c:numRef>
                <c:f>Sheet2!$D$23:$D$26</c:f>
                <c:numCache>
                  <c:formatCode>General</c:formatCode>
                  <c:ptCount val="4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</c:numCache>
              </c:numRef>
            </c:plus>
            <c:minus>
              <c:numRef>
                <c:f>Sheet2!$D$23:$D$33</c:f>
                <c:numCache>
                  <c:formatCode>General</c:formatCode>
                  <c:ptCount val="11"/>
                  <c:pt idx="1">
                    <c:v>29.7</c:v>
                  </c:pt>
                  <c:pt idx="2">
                    <c:v>29.7</c:v>
                  </c:pt>
                  <c:pt idx="3">
                    <c:v>29.7</c:v>
                  </c:pt>
                  <c:pt idx="4">
                    <c:v>29.7</c:v>
                  </c:pt>
                  <c:pt idx="5">
                    <c:v>29.7</c:v>
                  </c:pt>
                  <c:pt idx="6">
                    <c:v>29.7</c:v>
                  </c:pt>
                  <c:pt idx="7">
                    <c:v>29.7</c:v>
                  </c:pt>
                  <c:pt idx="8">
                    <c:v>29.7</c:v>
                  </c:pt>
                  <c:pt idx="9">
                    <c:v>29.7</c:v>
                  </c:pt>
                </c:numCache>
              </c:numRef>
            </c:minus>
            <c:spPr>
              <a:ln w="15875">
                <a:solidFill>
                  <a:schemeClr val="bg1">
                    <a:lumMod val="75000"/>
                  </a:schemeClr>
                </a:solidFill>
                <a:prstDash val="dash"/>
              </a:ln>
            </c:spPr>
          </c:errBars>
          <c:xVal>
            <c:numRef>
              <c:f>Sheet2!$B$23:$B$33</c:f>
              <c:numCache>
                <c:formatCode>General</c:formatCode>
                <c:ptCount val="11"/>
                <c:pt idx="0">
                  <c:v>0.8</c:v>
                </c:pt>
                <c:pt idx="1">
                  <c:v>31.8</c:v>
                </c:pt>
                <c:pt idx="2">
                  <c:v>59.8</c:v>
                </c:pt>
                <c:pt idx="3">
                  <c:v>90.8</c:v>
                </c:pt>
                <c:pt idx="4">
                  <c:v>120.8</c:v>
                </c:pt>
                <c:pt idx="5">
                  <c:v>151.80000000000001</c:v>
                </c:pt>
                <c:pt idx="6">
                  <c:v>181.8</c:v>
                </c:pt>
                <c:pt idx="7">
                  <c:v>212.8</c:v>
                </c:pt>
                <c:pt idx="8">
                  <c:v>243.8</c:v>
                </c:pt>
                <c:pt idx="9">
                  <c:v>273.8</c:v>
                </c:pt>
                <c:pt idx="10">
                  <c:v>304.8</c:v>
                </c:pt>
              </c:numCache>
            </c:numRef>
          </c:xVal>
          <c:yVal>
            <c:numRef>
              <c:f>Sheet2!$C$23:$C$33</c:f>
              <c:numCache>
                <c:formatCode>General</c:formatCode>
                <c:ptCount val="11"/>
                <c:pt idx="0">
                  <c:v>29.7</c:v>
                </c:pt>
                <c:pt idx="1">
                  <c:v>29.7</c:v>
                </c:pt>
                <c:pt idx="2">
                  <c:v>29.7</c:v>
                </c:pt>
                <c:pt idx="3">
                  <c:v>29.7</c:v>
                </c:pt>
                <c:pt idx="4">
                  <c:v>29.7</c:v>
                </c:pt>
                <c:pt idx="5">
                  <c:v>29.7</c:v>
                </c:pt>
                <c:pt idx="6">
                  <c:v>29.7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7F7-47CE-8932-41F0FD7E8E81}"/>
            </c:ext>
          </c:extLst>
        </c:ser>
        <c:ser>
          <c:idx val="3"/>
          <c:order val="3"/>
          <c:tx>
            <c:v>纵坐标</c:v>
          </c:tx>
          <c:spPr>
            <a:ln w="12700">
              <a:solidFill>
                <a:schemeClr val="bg1">
                  <a:lumMod val="65000"/>
                </a:schemeClr>
              </a:solidFill>
              <a:tailEnd type="triangle" w="sm" len="sm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7F7-47CE-8932-41F0FD7E8E81}"/>
                </c:ext>
              </c:extLst>
            </c:dLbl>
            <c:dLbl>
              <c:idx val="1"/>
              <c:tx>
                <c:strRef>
                  <c:f>Sheet2!$B$3</c:f>
                  <c:strCache>
                    <c:ptCount val="1"/>
                    <c:pt idx="0">
                      <c:v>设计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{F4B70A28-73C1-48D0-833F-CA7CB0B4B740}</c15:txfldGUID>
                      <c15:f>Sheet2!$B$3</c15:f>
                      <c15:dlblFieldTableCache>
                        <c:ptCount val="1"/>
                        <c:pt idx="0">
                          <c:v>设计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7F7-47CE-8932-41F0FD7E8E81}"/>
                </c:ext>
              </c:extLst>
            </c:dLbl>
            <c:dLbl>
              <c:idx val="2"/>
              <c:tx>
                <c:strRef>
                  <c:f>Sheet2!$B$4</c:f>
                  <c:strCache>
                    <c:ptCount val="1"/>
                    <c:pt idx="0">
                      <c:v>造价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{A4F0265B-E55E-4875-9596-AA23E9B46BC6}</c15:txfldGUID>
                      <c15:f>Sheet2!$B$4</c15:f>
                      <c15:dlblFieldTableCache>
                        <c:ptCount val="1"/>
                        <c:pt idx="0">
                          <c:v>造价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7F7-47CE-8932-41F0FD7E8E81}"/>
                </c:ext>
              </c:extLst>
            </c:dLbl>
            <c:dLbl>
              <c:idx val="3"/>
              <c:tx>
                <c:strRef>
                  <c:f>Sheet2!$B$5</c:f>
                  <c:strCache>
                    <c:ptCount val="1"/>
                    <c:pt idx="0">
                      <c:v>工程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{43A6D8F5-424E-4818-BAA6-4FCFE5D8F13C}</c15:txfldGUID>
                      <c15:f>Sheet2!$B$5</c15:f>
                      <c15:dlblFieldTableCache>
                        <c:ptCount val="1"/>
                        <c:pt idx="0">
                          <c:v>工程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7F7-47CE-8932-41F0FD7E8E81}"/>
                </c:ext>
              </c:extLst>
            </c:dLbl>
            <c:dLbl>
              <c:idx val="4"/>
              <c:tx>
                <c:strRef>
                  <c:f>Sheet2!$B$6</c:f>
                  <c:strCache>
                    <c:ptCount val="1"/>
                    <c:pt idx="0">
                      <c:v>监理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{1E8F1985-42AA-4D5A-AF4E-0679F0999B8B}</c15:txfldGUID>
                      <c15:f>Sheet2!$B$6</c15:f>
                      <c15:dlblFieldTableCache>
                        <c:ptCount val="1"/>
                        <c:pt idx="0">
                          <c:v>监理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7F7-47CE-8932-41F0FD7E8E8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7F7-47CE-8932-41F0FD7E8E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latin typeface="华文新魏" pitchFamily="2" charset="-122"/>
                    <a:ea typeface="华文新魏" pitchFamily="2" charset="-122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Sheet2!$B$72:$B$77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xVal>
          <c:yVal>
            <c:numRef>
              <c:f>Sheet2!$C$72:$C$77</c:f>
              <c:numCache>
                <c:formatCode>General</c:formatCode>
                <c:ptCount val="6"/>
                <c:pt idx="0">
                  <c:v>29.7</c:v>
                </c:pt>
                <c:pt idx="1">
                  <c:v>25</c:v>
                </c:pt>
                <c:pt idx="2">
                  <c:v>19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7F7-47CE-8932-41F0FD7E8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01824"/>
        <c:axId val="87516288"/>
      </c:scatterChart>
      <c:valAx>
        <c:axId val="87501824"/>
        <c:scaling>
          <c:orientation val="minMax"/>
          <c:max val="310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87516288"/>
        <c:crosses val="autoZero"/>
        <c:crossBetween val="midCat"/>
      </c:valAx>
      <c:valAx>
        <c:axId val="87516288"/>
        <c:scaling>
          <c:orientation val="minMax"/>
          <c:max val="30"/>
          <c:min val="0"/>
        </c:scaling>
        <c:delete val="1"/>
        <c:axPos val="l"/>
        <c:numFmt formatCode="General" sourceLinked="1"/>
        <c:majorTickMark val="none"/>
        <c:minorTickMark val="none"/>
        <c:tickLblPos val="none"/>
        <c:crossAx val="87501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5</xdr:row>
      <xdr:rowOff>23811</xdr:rowOff>
    </xdr:from>
    <xdr:to>
      <xdr:col>18</xdr:col>
      <xdr:colOff>285750</xdr:colOff>
      <xdr:row>36</xdr:row>
      <xdr:rowOff>28574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0</xdr:row>
      <xdr:rowOff>0</xdr:rowOff>
    </xdr:from>
    <xdr:to>
      <xdr:col>18</xdr:col>
      <xdr:colOff>657225</xdr:colOff>
      <xdr:row>17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390525</xdr:colOff>
      <xdr:row>16</xdr:row>
      <xdr:rowOff>28575</xdr:rowOff>
    </xdr:from>
    <xdr:to>
      <xdr:col>17</xdr:col>
      <xdr:colOff>161925</xdr:colOff>
      <xdr:row>46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35</xdr:row>
      <xdr:rowOff>28575</xdr:rowOff>
    </xdr:from>
    <xdr:to>
      <xdr:col>12</xdr:col>
      <xdr:colOff>514350</xdr:colOff>
      <xdr:row>65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561975</xdr:colOff>
      <xdr:row>66</xdr:row>
      <xdr:rowOff>161925</xdr:rowOff>
    </xdr:from>
    <xdr:to>
      <xdr:col>15</xdr:col>
      <xdr:colOff>333375</xdr:colOff>
      <xdr:row>97</xdr:row>
      <xdr:rowOff>123825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85</xdr:row>
      <xdr:rowOff>152400</xdr:rowOff>
    </xdr:from>
    <xdr:to>
      <xdr:col>8</xdr:col>
      <xdr:colOff>209550</xdr:colOff>
      <xdr:row>116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CO2018">
      <a:dk1>
        <a:sysClr val="windowText" lastClr="000000"/>
      </a:dk1>
      <a:lt1>
        <a:sysClr val="window" lastClr="FFFFFF"/>
      </a:lt1>
      <a:dk2>
        <a:srgbClr val="44546A"/>
      </a:dk2>
      <a:lt2>
        <a:srgbClr val="DAE4EC"/>
      </a:lt2>
      <a:accent1>
        <a:srgbClr val="E0AD8C"/>
      </a:accent1>
      <a:accent2>
        <a:srgbClr val="E74E33"/>
      </a:accent2>
      <a:accent3>
        <a:srgbClr val="008885"/>
      </a:accent3>
      <a:accent4>
        <a:srgbClr val="004C64"/>
      </a:accent4>
      <a:accent5>
        <a:srgbClr val="7CBFC6"/>
      </a:accent5>
      <a:accent6>
        <a:srgbClr val="059BD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10" workbookViewId="0">
      <selection activeCell="B23" sqref="B23"/>
    </sheetView>
  </sheetViews>
  <sheetFormatPr defaultRowHeight="13.5" x14ac:dyDescent="0.15"/>
  <sheetData>
    <row r="1" spans="1:7" x14ac:dyDescent="0.15">
      <c r="C1" t="s">
        <v>1</v>
      </c>
      <c r="D1" t="s">
        <v>2</v>
      </c>
      <c r="E1" t="s">
        <v>6</v>
      </c>
    </row>
    <row r="2" spans="1:7" x14ac:dyDescent="0.15">
      <c r="B2" t="s">
        <v>0</v>
      </c>
      <c r="C2">
        <f ca="1">RANDBETWEEN(30,60)</f>
        <v>50</v>
      </c>
      <c r="D2">
        <f ca="1">RANDBETWEEN(30,80)</f>
        <v>43</v>
      </c>
      <c r="E2">
        <v>31</v>
      </c>
      <c r="F2">
        <v>31</v>
      </c>
    </row>
    <row r="3" spans="1:7" x14ac:dyDescent="0.15">
      <c r="B3" t="s">
        <v>3</v>
      </c>
      <c r="C3">
        <f t="shared" ref="C3:C5" ca="1" si="0">RANDBETWEEN(30,60)</f>
        <v>46</v>
      </c>
      <c r="D3">
        <f t="shared" ref="D3:D5" ca="1" si="1">RANDBETWEEN(30,80)</f>
        <v>69</v>
      </c>
      <c r="E3">
        <v>92</v>
      </c>
      <c r="F3">
        <v>92</v>
      </c>
    </row>
    <row r="4" spans="1:7" x14ac:dyDescent="0.15">
      <c r="B4" t="s">
        <v>4</v>
      </c>
      <c r="C4">
        <f t="shared" ca="1" si="0"/>
        <v>43</v>
      </c>
      <c r="D4">
        <f t="shared" ca="1" si="1"/>
        <v>69</v>
      </c>
      <c r="E4">
        <f>E3+34</f>
        <v>126</v>
      </c>
      <c r="F4">
        <f>E4</f>
        <v>126</v>
      </c>
    </row>
    <row r="5" spans="1:7" x14ac:dyDescent="0.15">
      <c r="B5" t="s">
        <v>5</v>
      </c>
      <c r="C5">
        <f t="shared" ca="1" si="0"/>
        <v>47</v>
      </c>
      <c r="D5">
        <f t="shared" ca="1" si="1"/>
        <v>59</v>
      </c>
      <c r="E5">
        <f>E4+15</f>
        <v>141</v>
      </c>
      <c r="F5">
        <f>F4+15</f>
        <v>141</v>
      </c>
    </row>
    <row r="7" spans="1:7" x14ac:dyDescent="0.15">
      <c r="D7" t="s">
        <v>7</v>
      </c>
      <c r="F7" t="s">
        <v>8</v>
      </c>
    </row>
    <row r="8" spans="1:7" x14ac:dyDescent="0.15">
      <c r="C8" t="s">
        <v>9</v>
      </c>
      <c r="D8" t="s">
        <v>10</v>
      </c>
      <c r="E8" t="s">
        <v>9</v>
      </c>
      <c r="F8" t="s">
        <v>10</v>
      </c>
    </row>
    <row r="9" spans="1:7" x14ac:dyDescent="0.15">
      <c r="B9" t="s">
        <v>0</v>
      </c>
      <c r="C9">
        <f>E2</f>
        <v>31</v>
      </c>
      <c r="D9">
        <v>26</v>
      </c>
      <c r="E9">
        <f>F2</f>
        <v>31</v>
      </c>
      <c r="F9">
        <v>24</v>
      </c>
    </row>
    <row r="10" spans="1:7" x14ac:dyDescent="0.15">
      <c r="B10" t="s">
        <v>3</v>
      </c>
      <c r="C10">
        <f t="shared" ref="C10:C12" si="2">E3</f>
        <v>92</v>
      </c>
      <c r="D10">
        <v>20</v>
      </c>
      <c r="E10">
        <f t="shared" ref="E10:E12" si="3">F3</f>
        <v>92</v>
      </c>
      <c r="F10">
        <v>18</v>
      </c>
    </row>
    <row r="11" spans="1:7" x14ac:dyDescent="0.15">
      <c r="B11" t="s">
        <v>4</v>
      </c>
      <c r="C11">
        <f t="shared" si="2"/>
        <v>126</v>
      </c>
      <c r="D11">
        <v>14</v>
      </c>
      <c r="E11">
        <f t="shared" si="3"/>
        <v>126</v>
      </c>
      <c r="F11">
        <v>12</v>
      </c>
    </row>
    <row r="12" spans="1:7" x14ac:dyDescent="0.15">
      <c r="B12" t="s">
        <v>5</v>
      </c>
      <c r="C12">
        <f t="shared" si="2"/>
        <v>141</v>
      </c>
      <c r="D12">
        <v>8</v>
      </c>
      <c r="E12">
        <f t="shared" si="3"/>
        <v>141</v>
      </c>
      <c r="F12">
        <v>6</v>
      </c>
    </row>
    <row r="14" spans="1:7" x14ac:dyDescent="0.15">
      <c r="B14" t="s">
        <v>11</v>
      </c>
      <c r="F14" t="s">
        <v>21</v>
      </c>
    </row>
    <row r="15" spans="1:7" x14ac:dyDescent="0.15">
      <c r="B15">
        <v>0.8</v>
      </c>
      <c r="C15">
        <v>29.7</v>
      </c>
      <c r="F15">
        <v>0.8</v>
      </c>
      <c r="G15">
        <v>29.7</v>
      </c>
    </row>
    <row r="16" spans="1:7" x14ac:dyDescent="0.15">
      <c r="A16" t="s">
        <v>12</v>
      </c>
      <c r="B16">
        <f>DATE(2015,ROW()-14,1)-DATE(2015,1,1)</f>
        <v>31</v>
      </c>
      <c r="C16">
        <v>29.7</v>
      </c>
      <c r="D16">
        <v>29.7</v>
      </c>
      <c r="F16">
        <v>0.8</v>
      </c>
      <c r="G16">
        <f>D9*0.5+F9*0.5</f>
        <v>25</v>
      </c>
    </row>
    <row r="17" spans="1:7" x14ac:dyDescent="0.15">
      <c r="A17" t="s">
        <v>13</v>
      </c>
      <c r="B17">
        <f t="shared" ref="B17:B24" si="4">DATE(2015,ROW()-14,1)-DATE(2015,1,1)</f>
        <v>59</v>
      </c>
      <c r="C17">
        <v>29.7</v>
      </c>
      <c r="D17">
        <v>29.7</v>
      </c>
      <c r="F17">
        <v>0.8</v>
      </c>
      <c r="G17">
        <f>D10*0.5+F10*0.5</f>
        <v>19</v>
      </c>
    </row>
    <row r="18" spans="1:7" x14ac:dyDescent="0.15">
      <c r="A18" t="s">
        <v>14</v>
      </c>
      <c r="B18">
        <f t="shared" si="4"/>
        <v>90</v>
      </c>
      <c r="C18">
        <v>29.7</v>
      </c>
      <c r="D18">
        <v>29.7</v>
      </c>
      <c r="F18">
        <v>0.8</v>
      </c>
      <c r="G18">
        <f>D11*0.5+F11*0.5</f>
        <v>13</v>
      </c>
    </row>
    <row r="19" spans="1:7" x14ac:dyDescent="0.15">
      <c r="A19" t="s">
        <v>15</v>
      </c>
      <c r="B19">
        <f t="shared" si="4"/>
        <v>120</v>
      </c>
      <c r="C19">
        <v>29.7</v>
      </c>
      <c r="D19">
        <v>29.7</v>
      </c>
      <c r="F19">
        <v>0.8</v>
      </c>
      <c r="G19">
        <f>D12*0.5+F12*0.5</f>
        <v>7</v>
      </c>
    </row>
    <row r="20" spans="1:7" x14ac:dyDescent="0.15">
      <c r="A20" t="s">
        <v>16</v>
      </c>
      <c r="B20">
        <f t="shared" si="4"/>
        <v>151</v>
      </c>
      <c r="C20">
        <v>29.7</v>
      </c>
      <c r="D20">
        <v>29.7</v>
      </c>
      <c r="F20">
        <v>0.8</v>
      </c>
      <c r="G20">
        <v>0</v>
      </c>
    </row>
    <row r="21" spans="1:7" x14ac:dyDescent="0.15">
      <c r="A21" t="s">
        <v>17</v>
      </c>
      <c r="B21">
        <f t="shared" si="4"/>
        <v>181</v>
      </c>
      <c r="C21">
        <v>29.7</v>
      </c>
      <c r="D21">
        <v>29.7</v>
      </c>
    </row>
    <row r="22" spans="1:7" x14ac:dyDescent="0.15">
      <c r="A22" t="s">
        <v>18</v>
      </c>
      <c r="B22">
        <f t="shared" si="4"/>
        <v>212</v>
      </c>
      <c r="C22">
        <v>29.7</v>
      </c>
      <c r="D22">
        <v>29.7</v>
      </c>
    </row>
    <row r="23" spans="1:7" x14ac:dyDescent="0.15">
      <c r="A23" t="s">
        <v>19</v>
      </c>
      <c r="B23">
        <f t="shared" si="4"/>
        <v>243</v>
      </c>
      <c r="C23">
        <v>29.7</v>
      </c>
      <c r="D23">
        <v>29.7</v>
      </c>
    </row>
    <row r="24" spans="1:7" x14ac:dyDescent="0.15">
      <c r="A24" t="s">
        <v>20</v>
      </c>
      <c r="B24">
        <f t="shared" si="4"/>
        <v>273</v>
      </c>
      <c r="C24">
        <v>29.7</v>
      </c>
      <c r="D24">
        <v>29.7</v>
      </c>
    </row>
    <row r="25" spans="1:7" x14ac:dyDescent="0.15">
      <c r="B25">
        <v>276</v>
      </c>
      <c r="C25">
        <v>29.7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81"/>
  <sheetViews>
    <sheetView showGridLines="0" tabSelected="1" topLeftCell="A79" workbookViewId="0">
      <selection activeCell="B119" sqref="B119"/>
    </sheetView>
  </sheetViews>
  <sheetFormatPr defaultRowHeight="13.5" x14ac:dyDescent="0.15"/>
  <sheetData>
    <row r="2" spans="2:7" x14ac:dyDescent="0.15">
      <c r="B2" s="1"/>
      <c r="C2" s="1" t="s">
        <v>1</v>
      </c>
      <c r="D2" s="1" t="s">
        <v>2</v>
      </c>
      <c r="E2" s="1" t="s">
        <v>6</v>
      </c>
      <c r="F2" s="1"/>
    </row>
    <row r="3" spans="2:7" x14ac:dyDescent="0.15">
      <c r="B3" s="1" t="s">
        <v>0</v>
      </c>
      <c r="C3" s="1">
        <f ca="1">RANDBETWEEN(30,60)</f>
        <v>47</v>
      </c>
      <c r="D3" s="1">
        <f ca="1">RANDBETWEEN(30,80)</f>
        <v>78</v>
      </c>
      <c r="E3" s="1">
        <v>31</v>
      </c>
      <c r="F3" s="1">
        <v>31</v>
      </c>
      <c r="G3" s="2" t="s">
        <v>22</v>
      </c>
    </row>
    <row r="4" spans="2:7" x14ac:dyDescent="0.15">
      <c r="B4" s="1" t="s">
        <v>3</v>
      </c>
      <c r="C4" s="1">
        <f t="shared" ref="C4:C6" ca="1" si="0">RANDBETWEEN(30,60)</f>
        <v>59</v>
      </c>
      <c r="D4" s="1">
        <f t="shared" ref="D4:D6" ca="1" si="1">RANDBETWEEN(30,80)</f>
        <v>34</v>
      </c>
      <c r="E4" s="1">
        <v>92</v>
      </c>
      <c r="F4" s="1">
        <v>92</v>
      </c>
    </row>
    <row r="5" spans="2:7" x14ac:dyDescent="0.15">
      <c r="B5" s="1" t="s">
        <v>4</v>
      </c>
      <c r="C5" s="1">
        <f t="shared" ca="1" si="0"/>
        <v>36</v>
      </c>
      <c r="D5" s="1">
        <f t="shared" ca="1" si="1"/>
        <v>45</v>
      </c>
      <c r="E5" s="1">
        <f>E4+34</f>
        <v>126</v>
      </c>
      <c r="F5" s="1">
        <f>E5</f>
        <v>126</v>
      </c>
    </row>
    <row r="6" spans="2:7" x14ac:dyDescent="0.15">
      <c r="B6" s="1" t="s">
        <v>5</v>
      </c>
      <c r="C6" s="1">
        <f t="shared" ca="1" si="0"/>
        <v>47</v>
      </c>
      <c r="D6" s="1">
        <f t="shared" ca="1" si="1"/>
        <v>40</v>
      </c>
      <c r="E6" s="1">
        <f>E5+15</f>
        <v>141</v>
      </c>
      <c r="F6" s="1">
        <f>F5+15</f>
        <v>141</v>
      </c>
    </row>
    <row r="8" spans="2:7" x14ac:dyDescent="0.15">
      <c r="G8" s="2" t="s">
        <v>25</v>
      </c>
    </row>
    <row r="9" spans="2:7" x14ac:dyDescent="0.15">
      <c r="B9" s="1"/>
      <c r="C9" s="6" t="s">
        <v>7</v>
      </c>
      <c r="D9" s="7"/>
      <c r="E9" s="6" t="s">
        <v>8</v>
      </c>
      <c r="F9" s="7"/>
    </row>
    <row r="10" spans="2:7" x14ac:dyDescent="0.15">
      <c r="B10" s="1"/>
      <c r="C10" s="1" t="s">
        <v>9</v>
      </c>
      <c r="D10" s="1" t="s">
        <v>10</v>
      </c>
      <c r="E10" s="1" t="s">
        <v>9</v>
      </c>
      <c r="F10" s="1" t="s">
        <v>10</v>
      </c>
      <c r="G10" s="3" t="s">
        <v>23</v>
      </c>
    </row>
    <row r="11" spans="2:7" x14ac:dyDescent="0.15">
      <c r="B11" s="1" t="s">
        <v>0</v>
      </c>
      <c r="C11" s="1">
        <f>F3</f>
        <v>31</v>
      </c>
      <c r="D11" s="1">
        <v>26</v>
      </c>
      <c r="E11" s="1">
        <f>E3</f>
        <v>31</v>
      </c>
      <c r="F11" s="1">
        <v>24</v>
      </c>
    </row>
    <row r="12" spans="2:7" x14ac:dyDescent="0.15">
      <c r="B12" s="1" t="s">
        <v>3</v>
      </c>
      <c r="C12" s="1">
        <f t="shared" ref="C12:C14" si="2">F4</f>
        <v>92</v>
      </c>
      <c r="D12" s="1">
        <v>20</v>
      </c>
      <c r="E12" s="1">
        <f t="shared" ref="E12:E14" si="3">E4</f>
        <v>92</v>
      </c>
      <c r="F12" s="1">
        <v>18</v>
      </c>
    </row>
    <row r="13" spans="2:7" x14ac:dyDescent="0.15">
      <c r="B13" s="1" t="s">
        <v>4</v>
      </c>
      <c r="C13" s="1">
        <f t="shared" si="2"/>
        <v>126</v>
      </c>
      <c r="D13" s="1">
        <v>14</v>
      </c>
      <c r="E13" s="1">
        <f t="shared" si="3"/>
        <v>126</v>
      </c>
      <c r="F13" s="1">
        <v>12</v>
      </c>
    </row>
    <row r="14" spans="2:7" x14ac:dyDescent="0.15">
      <c r="B14" s="1" t="s">
        <v>5</v>
      </c>
      <c r="C14" s="1">
        <f t="shared" si="2"/>
        <v>141</v>
      </c>
      <c r="D14" s="1">
        <v>8</v>
      </c>
      <c r="E14" s="1">
        <f t="shared" si="3"/>
        <v>141</v>
      </c>
      <c r="F14" s="1">
        <v>6</v>
      </c>
    </row>
    <row r="16" spans="2:7" x14ac:dyDescent="0.15">
      <c r="G16" s="2" t="s">
        <v>26</v>
      </c>
    </row>
    <row r="17" spans="1:7" x14ac:dyDescent="0.15">
      <c r="G17" t="s">
        <v>24</v>
      </c>
    </row>
    <row r="20" spans="1:7" x14ac:dyDescent="0.15">
      <c r="B20" s="2" t="s">
        <v>27</v>
      </c>
      <c r="D20" t="s">
        <v>28</v>
      </c>
    </row>
    <row r="21" spans="1:7" x14ac:dyDescent="0.15">
      <c r="B21" t="s">
        <v>31</v>
      </c>
    </row>
    <row r="22" spans="1:7" x14ac:dyDescent="0.15">
      <c r="A22" s="1"/>
      <c r="B22" s="1" t="s">
        <v>33</v>
      </c>
      <c r="C22" s="1" t="s">
        <v>34</v>
      </c>
      <c r="D22" s="1" t="s">
        <v>35</v>
      </c>
    </row>
    <row r="23" spans="1:7" x14ac:dyDescent="0.15">
      <c r="A23" s="1"/>
      <c r="B23" s="4">
        <v>0.8</v>
      </c>
      <c r="C23" s="4">
        <v>29.7</v>
      </c>
      <c r="D23" s="1"/>
      <c r="E23" t="s">
        <v>32</v>
      </c>
    </row>
    <row r="24" spans="1:7" x14ac:dyDescent="0.15">
      <c r="A24" s="1" t="s">
        <v>12</v>
      </c>
      <c r="B24" s="1">
        <f>DATE(2015,ROW()-22,1)-DATE(2015,1,1)+$B$23</f>
        <v>31.8</v>
      </c>
      <c r="C24" s="1">
        <v>29.7</v>
      </c>
      <c r="D24" s="1">
        <v>29.7</v>
      </c>
    </row>
    <row r="25" spans="1:7" x14ac:dyDescent="0.15">
      <c r="A25" s="1" t="s">
        <v>13</v>
      </c>
      <c r="B25" s="1">
        <f t="shared" ref="B25:B33" si="4">DATE(2015,ROW()-22,1)-DATE(2015,1,1)+$B$23</f>
        <v>59.8</v>
      </c>
      <c r="C25" s="1">
        <v>29.7</v>
      </c>
      <c r="D25" s="1">
        <v>29.7</v>
      </c>
    </row>
    <row r="26" spans="1:7" x14ac:dyDescent="0.15">
      <c r="A26" s="1" t="s">
        <v>14</v>
      </c>
      <c r="B26" s="1">
        <f t="shared" si="4"/>
        <v>90.8</v>
      </c>
      <c r="C26" s="1">
        <v>29.7</v>
      </c>
      <c r="D26" s="1">
        <v>29.7</v>
      </c>
      <c r="E26" t="s">
        <v>37</v>
      </c>
    </row>
    <row r="27" spans="1:7" x14ac:dyDescent="0.15">
      <c r="A27" s="1" t="s">
        <v>15</v>
      </c>
      <c r="B27" s="1">
        <f t="shared" si="4"/>
        <v>120.8</v>
      </c>
      <c r="C27" s="1">
        <v>29.7</v>
      </c>
      <c r="D27" s="1">
        <v>29.7</v>
      </c>
    </row>
    <row r="28" spans="1:7" x14ac:dyDescent="0.15">
      <c r="A28" s="1" t="s">
        <v>16</v>
      </c>
      <c r="B28" s="1">
        <f t="shared" si="4"/>
        <v>151.80000000000001</v>
      </c>
      <c r="C28" s="1">
        <v>29.7</v>
      </c>
      <c r="D28" s="1">
        <v>29.7</v>
      </c>
    </row>
    <row r="29" spans="1:7" x14ac:dyDescent="0.15">
      <c r="A29" s="1" t="s">
        <v>17</v>
      </c>
      <c r="B29" s="1">
        <f t="shared" si="4"/>
        <v>181.8</v>
      </c>
      <c r="C29" s="1">
        <v>29.7</v>
      </c>
      <c r="D29" s="1">
        <v>29.7</v>
      </c>
    </row>
    <row r="30" spans="1:7" x14ac:dyDescent="0.15">
      <c r="A30" s="1" t="s">
        <v>18</v>
      </c>
      <c r="B30" s="1">
        <f t="shared" si="4"/>
        <v>212.8</v>
      </c>
      <c r="C30" s="1">
        <v>29.7</v>
      </c>
      <c r="D30" s="1">
        <v>29.7</v>
      </c>
    </row>
    <row r="31" spans="1:7" x14ac:dyDescent="0.15">
      <c r="A31" s="1" t="s">
        <v>19</v>
      </c>
      <c r="B31" s="1">
        <f t="shared" si="4"/>
        <v>243.8</v>
      </c>
      <c r="C31" s="1">
        <v>29.7</v>
      </c>
      <c r="D31" s="1">
        <v>29.7</v>
      </c>
    </row>
    <row r="32" spans="1:7" x14ac:dyDescent="0.15">
      <c r="A32" s="1" t="s">
        <v>20</v>
      </c>
      <c r="B32" s="1">
        <f t="shared" si="4"/>
        <v>273.8</v>
      </c>
      <c r="C32" s="1">
        <v>29.7</v>
      </c>
      <c r="D32" s="1">
        <v>29.7</v>
      </c>
    </row>
    <row r="33" spans="1:5" x14ac:dyDescent="0.15">
      <c r="A33" s="1"/>
      <c r="B33" s="5">
        <f t="shared" si="4"/>
        <v>304.8</v>
      </c>
      <c r="C33" s="5">
        <v>29.7</v>
      </c>
      <c r="D33" s="1"/>
      <c r="E33" t="s">
        <v>36</v>
      </c>
    </row>
    <row r="35" spans="1:5" x14ac:dyDescent="0.15">
      <c r="B35" t="s">
        <v>38</v>
      </c>
    </row>
    <row r="36" spans="1:5" x14ac:dyDescent="0.15">
      <c r="B36" t="s">
        <v>39</v>
      </c>
      <c r="E36" t="s">
        <v>40</v>
      </c>
    </row>
    <row r="69" spans="2:3" x14ac:dyDescent="0.15">
      <c r="B69" s="2" t="s">
        <v>41</v>
      </c>
    </row>
    <row r="71" spans="2:3" x14ac:dyDescent="0.15">
      <c r="B71" t="s">
        <v>29</v>
      </c>
      <c r="C71" t="s">
        <v>30</v>
      </c>
    </row>
    <row r="72" spans="2:3" x14ac:dyDescent="0.15">
      <c r="B72" s="1">
        <v>0.8</v>
      </c>
      <c r="C72" s="1">
        <v>29.7</v>
      </c>
    </row>
    <row r="73" spans="2:3" x14ac:dyDescent="0.15">
      <c r="B73" s="1">
        <v>0.8</v>
      </c>
      <c r="C73" s="4">
        <f>(D11+F11)/2</f>
        <v>25</v>
      </c>
    </row>
    <row r="74" spans="2:3" x14ac:dyDescent="0.15">
      <c r="B74" s="1">
        <v>0.8</v>
      </c>
      <c r="C74" s="4">
        <f>(D12+F12)/2</f>
        <v>19</v>
      </c>
    </row>
    <row r="75" spans="2:3" x14ac:dyDescent="0.15">
      <c r="B75" s="1">
        <v>0.8</v>
      </c>
      <c r="C75" s="4">
        <f>(D13+F13)/2</f>
        <v>13</v>
      </c>
    </row>
    <row r="76" spans="2:3" x14ac:dyDescent="0.15">
      <c r="B76" s="1">
        <v>0.8</v>
      </c>
      <c r="C76" s="4">
        <f>(D14+F14)/2</f>
        <v>7</v>
      </c>
    </row>
    <row r="77" spans="2:3" x14ac:dyDescent="0.15">
      <c r="B77" s="1">
        <v>0.8</v>
      </c>
      <c r="C77" s="1">
        <v>0</v>
      </c>
    </row>
    <row r="81" spans="2:2" x14ac:dyDescent="0.15">
      <c r="B81" t="s">
        <v>42</v>
      </c>
    </row>
  </sheetData>
  <mergeCells count="2">
    <mergeCell ref="C9:D9"/>
    <mergeCell ref="E9:F9"/>
  </mergeCells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7" sqref="B27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2018-11-06T12:59:47Z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e4fb4a9a-1cdc-4f96-ae2f-d5d54f5d62f6</vt:lpwstr>
  </property>
</Properties>
</file>