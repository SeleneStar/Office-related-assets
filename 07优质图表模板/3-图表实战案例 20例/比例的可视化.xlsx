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F:\秋叶文档\课程开发文档\案例文件\SZ实战案例\SZ06-老板让1小时做完\"/>
    </mc:Choice>
  </mc:AlternateContent>
  <xr:revisionPtr revIDLastSave="0" documentId="13_ncr:1_{B7525786-A348-446B-9D93-D8302EC9A3A0}" xr6:coauthVersionLast="37" xr6:coauthVersionMax="37" xr10:uidLastSave="{00000000-0000-0000-0000-000000000000}"/>
  <bookViews>
    <workbookView xWindow="0" yWindow="0" windowWidth="28800" windowHeight="13920" xr2:uid="{0897872A-B686-4BF1-9FFE-0A55BC88810C}"/>
  </bookViews>
  <sheets>
    <sheet name="Sheet1" sheetId="1" r:id="rId1"/>
  </sheets>
  <definedNames>
    <definedName name="_xlchart.v1.0" hidden="1">Sheet1!$E$32:$E$35</definedName>
    <definedName name="_xlchart.v1.1" hidden="1">Sheet1!$E$33:$E$35</definedName>
    <definedName name="_xlchart.v1.10" hidden="1">Sheet1!$E$32:$E$35</definedName>
    <definedName name="_xlchart.v1.11" hidden="1">Sheet1!$F$31</definedName>
    <definedName name="_xlchart.v1.12" hidden="1">Sheet1!$F$32:$F$35</definedName>
    <definedName name="_xlchart.v1.13" hidden="1">Sheet1!$E$32:$E$35</definedName>
    <definedName name="_xlchart.v1.14" hidden="1">Sheet1!$E$33:$E$35</definedName>
    <definedName name="_xlchart.v1.15" hidden="1">Sheet1!$F$31</definedName>
    <definedName name="_xlchart.v1.16" hidden="1">Sheet1!$F$32:$F$35</definedName>
    <definedName name="_xlchart.v1.17" hidden="1">Sheet1!$F$33:$F$35</definedName>
    <definedName name="_xlchart.v1.18" hidden="1">Sheet1!$E$32:$E$35</definedName>
    <definedName name="_xlchart.v1.19" hidden="1">Sheet1!$E$33:$E$35</definedName>
    <definedName name="_xlchart.v1.2" hidden="1">Sheet1!$F$31</definedName>
    <definedName name="_xlchart.v1.20" hidden="1">Sheet1!$F$31</definedName>
    <definedName name="_xlchart.v1.21" hidden="1">Sheet1!$F$32:$F$35</definedName>
    <definedName name="_xlchart.v1.22" hidden="1">Sheet1!$F$33:$F$35</definedName>
    <definedName name="_xlchart.v1.3" hidden="1">Sheet1!$F$32:$F$35</definedName>
    <definedName name="_xlchart.v1.4" hidden="1">Sheet1!$F$33:$F$35</definedName>
    <definedName name="_xlchart.v1.5" hidden="1">Sheet1!$E$32:$E$35</definedName>
    <definedName name="_xlchart.v1.6" hidden="1">Sheet1!$E$33:$E$35</definedName>
    <definedName name="_xlchart.v1.7" hidden="1">Sheet1!$F$31</definedName>
    <definedName name="_xlchart.v1.8" hidden="1">Sheet1!$F$32:$F$35</definedName>
    <definedName name="_xlchart.v1.9" hidden="1">Sheet1!$F$33:$F$35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8" i="1" l="1"/>
  <c r="C27" i="1" s="1"/>
</calcChain>
</file>

<file path=xl/sharedStrings.xml><?xml version="1.0" encoding="utf-8"?>
<sst xmlns="http://schemas.openxmlformats.org/spreadsheetml/2006/main" count="196" uniqueCount="40">
  <si>
    <r>
      <rPr>
        <b/>
        <sz val="11"/>
        <color theme="1"/>
        <rFont val="微软雅黑"/>
        <family val="2"/>
        <charset val="134"/>
      </rPr>
      <t>源数据</t>
    </r>
    <phoneticPr fontId="2" type="noConversion"/>
  </si>
  <si>
    <t>项目</t>
  </si>
  <si>
    <t>人数</t>
  </si>
  <si>
    <t>发放问卷</t>
  </si>
  <si>
    <t>有效回收</t>
  </si>
  <si>
    <t>无效问卷</t>
  </si>
  <si>
    <t>男性</t>
  </si>
  <si>
    <t>女性</t>
  </si>
  <si>
    <t>一线员工</t>
  </si>
  <si>
    <t>除一线员工外</t>
  </si>
  <si>
    <t>80后</t>
  </si>
  <si>
    <t>除80后外</t>
  </si>
  <si>
    <t>合同工</t>
  </si>
  <si>
    <t>市场化用工</t>
  </si>
  <si>
    <t>管理岗</t>
  </si>
  <si>
    <t>操作岗</t>
  </si>
  <si>
    <t>技术岗</t>
  </si>
  <si>
    <t>暂时未定岗人员</t>
  </si>
  <si>
    <t>有效问卷</t>
    <phoneticPr fontId="2" type="noConversion"/>
  </si>
  <si>
    <t>无效问卷</t>
    <phoneticPr fontId="2" type="noConversion"/>
  </si>
  <si>
    <t>人数</t>
    <phoneticPr fontId="2" type="noConversion"/>
  </si>
  <si>
    <t>性别</t>
    <phoneticPr fontId="2" type="noConversion"/>
  </si>
  <si>
    <t>男性</t>
    <phoneticPr fontId="2" type="noConversion"/>
  </si>
  <si>
    <t>女性</t>
    <phoneticPr fontId="2" type="noConversion"/>
  </si>
  <si>
    <t>是否一线员工</t>
    <phoneticPr fontId="2" type="noConversion"/>
  </si>
  <si>
    <t>一线</t>
    <phoneticPr fontId="2" type="noConversion"/>
  </si>
  <si>
    <t>非一线</t>
    <phoneticPr fontId="2" type="noConversion"/>
  </si>
  <si>
    <t>是否80后</t>
    <phoneticPr fontId="2" type="noConversion"/>
  </si>
  <si>
    <t>80后</t>
    <phoneticPr fontId="2" type="noConversion"/>
  </si>
  <si>
    <t>非80后</t>
    <phoneticPr fontId="2" type="noConversion"/>
  </si>
  <si>
    <t>用工性质</t>
    <phoneticPr fontId="2" type="noConversion"/>
  </si>
  <si>
    <t>合同工</t>
    <phoneticPr fontId="2" type="noConversion"/>
  </si>
  <si>
    <t>市场化用工</t>
    <phoneticPr fontId="2" type="noConversion"/>
  </si>
  <si>
    <t>问卷有效性</t>
    <phoneticPr fontId="2" type="noConversion"/>
  </si>
  <si>
    <t>总计</t>
    <phoneticPr fontId="2" type="noConversion"/>
  </si>
  <si>
    <t>x</t>
    <phoneticPr fontId="2" type="noConversion"/>
  </si>
  <si>
    <t>y</t>
    <phoneticPr fontId="2" type="noConversion"/>
  </si>
  <si>
    <t>label</t>
    <phoneticPr fontId="2" type="noConversion"/>
  </si>
  <si>
    <t>中心标签辅助</t>
    <phoneticPr fontId="2" type="noConversion"/>
  </si>
  <si>
    <t>岗位分布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</si>
</sst>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微软雅黑"/>
      <family val="2"/>
      <charset val="134"/>
    </font>
    <font>
      <sz val="10"/>
      <color theme="1"/>
      <name val="Arial"/>
      <family val="2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176" fontId="6" fillId="0" borderId="0" xfId="1" applyNumberFormat="1" applyFont="1" applyBorder="1" applyAlignment="1">
      <alignment horizontal="righ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Sheet1!$E$4</c:f>
          <c:strCache>
            <c:ptCount val="1"/>
            <c:pt idx="0">
              <c:v>问卷有效性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Sheet1!$F$5</c:f>
              <c:strCache>
                <c:ptCount val="1"/>
                <c:pt idx="0">
                  <c:v>人数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73-4B89-A291-DF915C6D04C0}"/>
              </c:ext>
            </c:extLst>
          </c:dPt>
          <c:dLbls>
            <c:dLbl>
              <c:idx val="1"/>
              <c:layout>
                <c:manualLayout>
                  <c:x val="0.12226071741032371"/>
                  <c:y val="0.1755180602424696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73-4B89-A291-DF915C6D04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Sheet1!$E$6:$E$7</c:f>
              <c:strCache>
                <c:ptCount val="2"/>
                <c:pt idx="0">
                  <c:v>有效问卷</c:v>
                </c:pt>
                <c:pt idx="1">
                  <c:v>无效问卷</c:v>
                </c:pt>
              </c:strCache>
            </c:strRef>
          </c:cat>
          <c:val>
            <c:numRef>
              <c:f>Sheet1!$F$6:$F$7</c:f>
              <c:numCache>
                <c:formatCode>General</c:formatCode>
                <c:ptCount val="2"/>
                <c:pt idx="0">
                  <c:v>252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3-4B89-A291-DF915C6D0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Sheet1!$E$9</c:f>
          <c:strCache>
            <c:ptCount val="1"/>
            <c:pt idx="0">
              <c:v>性别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Sheet1!$E$9</c:f>
              <c:strCache>
                <c:ptCount val="1"/>
                <c:pt idx="0">
                  <c:v>性别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55-4B32-A152-A93B181E15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55-4B32-A152-A93B181E15B4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2055555555555554"/>
                      <c:h val="0.135306300998089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655-4B32-A152-A93B181E15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Sheet1!$E$11:$E$12</c:f>
              <c:strCache>
                <c:ptCount val="2"/>
                <c:pt idx="0">
                  <c:v>男性</c:v>
                </c:pt>
                <c:pt idx="1">
                  <c:v>女性</c:v>
                </c:pt>
              </c:strCache>
            </c:strRef>
          </c:cat>
          <c:val>
            <c:numRef>
              <c:f>Sheet1!$F$11:$F$12</c:f>
              <c:numCache>
                <c:formatCode>General</c:formatCode>
                <c:ptCount val="2"/>
                <c:pt idx="0">
                  <c:v>212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55-4B32-A152-A93B181E1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Sheet1!$E$14</c:f>
          <c:strCache>
            <c:ptCount val="1"/>
            <c:pt idx="0">
              <c:v>是否一线员工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Sheet1!$E$16</c:f>
              <c:strCache>
                <c:ptCount val="1"/>
                <c:pt idx="0">
                  <c:v>一线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思源黑体 CN Normal" panose="020B0400000000000000" pitchFamily="34" charset="-122"/>
                    <a:ea typeface="思源黑体 CN Normal" panose="020B0400000000000000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Sheet1!$F$15</c:f>
              <c:strCache>
                <c:ptCount val="1"/>
                <c:pt idx="0">
                  <c:v>人数</c:v>
                </c:pt>
              </c:strCache>
            </c:strRef>
          </c:cat>
          <c:val>
            <c:numRef>
              <c:f>Sheet1!$F$16</c:f>
              <c:numCache>
                <c:formatCode>General</c:formatCode>
                <c:ptCount val="1"/>
                <c:pt idx="0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4-4900-8EE7-F341A1548FD8}"/>
            </c:ext>
          </c:extLst>
        </c:ser>
        <c:ser>
          <c:idx val="1"/>
          <c:order val="1"/>
          <c:tx>
            <c:strRef>
              <c:f>Sheet1!$E$17</c:f>
              <c:strCache>
                <c:ptCount val="1"/>
                <c:pt idx="0">
                  <c:v>非一线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思源黑体 CN Normal" panose="020B0400000000000000" pitchFamily="34" charset="-122"/>
                    <a:ea typeface="思源黑体 CN Normal" panose="020B0400000000000000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Sheet1!$F$15</c:f>
              <c:strCache>
                <c:ptCount val="1"/>
                <c:pt idx="0">
                  <c:v>人数</c:v>
                </c:pt>
              </c:strCache>
            </c:strRef>
          </c:cat>
          <c:val>
            <c:numRef>
              <c:f>Sheet1!$F$17</c:f>
              <c:numCache>
                <c:formatCode>General</c:formatCode>
                <c:ptCount val="1"/>
                <c:pt idx="0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14-4900-8EE7-F341A1548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30056216"/>
        <c:axId val="1133505376"/>
      </c:barChart>
      <c:catAx>
        <c:axId val="1130056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3505376"/>
        <c:crosses val="autoZero"/>
        <c:auto val="1"/>
        <c:lblAlgn val="ctr"/>
        <c:lblOffset val="100"/>
        <c:noMultiLvlLbl val="0"/>
      </c:catAx>
      <c:valAx>
        <c:axId val="1133505376"/>
        <c:scaling>
          <c:orientation val="minMax"/>
          <c:max val="252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1130056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思源黑体 CN Normal" panose="020B0400000000000000" pitchFamily="34" charset="-122"/>
          <a:ea typeface="思源黑体 CN Normal" panose="020B0400000000000000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Sheet1!$E$19</c:f>
          <c:strCache>
            <c:ptCount val="1"/>
            <c:pt idx="0">
              <c:v>是否80后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Sheet1!$E$21</c:f>
              <c:strCache>
                <c:ptCount val="1"/>
                <c:pt idx="0">
                  <c:v>80后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思源黑体 CN Normal" panose="020B0400000000000000" pitchFamily="34" charset="-122"/>
                    <a:ea typeface="思源黑体 CN Normal" panose="020B0400000000000000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Sheet1!$F$20</c:f>
              <c:strCache>
                <c:ptCount val="1"/>
                <c:pt idx="0">
                  <c:v>人数</c:v>
                </c:pt>
              </c:strCache>
            </c:strRef>
          </c:cat>
          <c:val>
            <c:numRef>
              <c:f>Sheet1!$F$21</c:f>
              <c:numCache>
                <c:formatCode>General</c:formatCode>
                <c:ptCount val="1"/>
                <c:pt idx="0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4-4F05-AF46-4D34F5356309}"/>
            </c:ext>
          </c:extLst>
        </c:ser>
        <c:ser>
          <c:idx val="1"/>
          <c:order val="1"/>
          <c:tx>
            <c:strRef>
              <c:f>Sheet1!$E$22</c:f>
              <c:strCache>
                <c:ptCount val="1"/>
                <c:pt idx="0">
                  <c:v>非80后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思源黑体 CN Normal" panose="020B0400000000000000" pitchFamily="34" charset="-122"/>
                    <a:ea typeface="思源黑体 CN Normal" panose="020B0400000000000000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Sheet1!$F$20</c:f>
              <c:strCache>
                <c:ptCount val="1"/>
                <c:pt idx="0">
                  <c:v>人数</c:v>
                </c:pt>
              </c:strCache>
            </c:strRef>
          </c:cat>
          <c:val>
            <c:numRef>
              <c:f>Sheet1!$F$22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54-4F05-AF46-4D34F5356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97501888"/>
        <c:axId val="997505824"/>
      </c:barChart>
      <c:catAx>
        <c:axId val="997501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+mn-cs"/>
              </a:defRPr>
            </a:pPr>
            <a:endParaRPr lang="zh-CN"/>
          </a:p>
        </c:txPr>
        <c:crossAx val="997505824"/>
        <c:crosses val="autoZero"/>
        <c:auto val="1"/>
        <c:lblAlgn val="ctr"/>
        <c:lblOffset val="100"/>
        <c:noMultiLvlLbl val="0"/>
      </c:catAx>
      <c:valAx>
        <c:axId val="99750582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+mn-cs"/>
              </a:defRPr>
            </a:pPr>
            <a:endParaRPr lang="zh-CN"/>
          </a:p>
        </c:txPr>
        <c:crossAx val="99750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101545640128326"/>
          <c:y val="0.82863753141968366"/>
          <c:w val="0.35796879556722078"/>
          <c:h val="0.14314377369495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思源黑体 CN Normal" panose="020B0400000000000000" pitchFamily="34" charset="-122"/>
          <a:ea typeface="思源黑体 CN Normal" panose="020B0400000000000000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Sheet1!$E$24</c:f>
          <c:strCache>
            <c:ptCount val="1"/>
            <c:pt idx="0">
              <c:v>用工性质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3772849227179935"/>
          <c:y val="0.20603388862106523"/>
          <c:w val="0.52454301545640125"/>
          <c:h val="0.6422975699466138"/>
        </c:manualLayout>
      </c:layout>
      <c:doughnutChart>
        <c:varyColors val="1"/>
        <c:ser>
          <c:idx val="0"/>
          <c:order val="0"/>
          <c:tx>
            <c:strRef>
              <c:f>Sheet1!$E$9</c:f>
              <c:strCache>
                <c:ptCount val="1"/>
                <c:pt idx="0">
                  <c:v>性别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D5-4D43-A8DF-32EFD76498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D5-4D43-A8DF-32EFD7649816}"/>
              </c:ext>
            </c:extLst>
          </c:dPt>
          <c:dLbls>
            <c:dLbl>
              <c:idx val="0"/>
              <c:layout>
                <c:manualLayout>
                  <c:x val="0.21111111111111097"/>
                  <c:y val="4.98866213151927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D5-4D43-A8DF-32EFD7649816}"/>
                </c:ext>
              </c:extLst>
            </c:dLbl>
            <c:dLbl>
              <c:idx val="1"/>
              <c:layout>
                <c:manualLayout>
                  <c:x val="-0.17037037037037037"/>
                  <c:y val="-9.977324263038549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D5-4D43-A8DF-32EFD76498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Sheet1!$E$26:$E$27</c:f>
              <c:strCache>
                <c:ptCount val="2"/>
                <c:pt idx="0">
                  <c:v>合同工</c:v>
                </c:pt>
                <c:pt idx="1">
                  <c:v>市场化用工</c:v>
                </c:pt>
              </c:strCache>
            </c:strRef>
          </c:cat>
          <c:val>
            <c:numRef>
              <c:f>Sheet1!$F$26:$F$27</c:f>
              <c:numCache>
                <c:formatCode>General</c:formatCode>
                <c:ptCount val="2"/>
                <c:pt idx="0">
                  <c:v>190</c:v>
                </c:pt>
                <c:pt idx="1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D5-4D43-A8DF-32EFD7649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catterChart>
        <c:scatterStyle val="lineMarker"/>
        <c:varyColors val="0"/>
        <c:ser>
          <c:idx val="1"/>
          <c:order val="1"/>
          <c:tx>
            <c:strRef>
              <c:f>Sheet1!$E$28</c:f>
              <c:strCache>
                <c:ptCount val="1"/>
                <c:pt idx="0">
                  <c:v>总计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96E68632-AB5F-42E3-9061-483F770C5619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4D5-4D43-A8DF-32EFD76498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思源黑体 CN Normal" panose="020B0400000000000000" pitchFamily="34" charset="-122"/>
                    <a:ea typeface="思源黑体 CN Normal" panose="020B0400000000000000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Sheet1!$C$25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Sheet1!$C$26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Sheet1!$C$27</c15:f>
                <c15:dlblRangeCache>
                  <c:ptCount val="1"/>
                  <c:pt idx="0">
                    <c:v>总计
252人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24D5-4D43-A8DF-32EFD7649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176456"/>
        <c:axId val="907886272"/>
      </c:scatterChart>
      <c:valAx>
        <c:axId val="907886272"/>
        <c:scaling>
          <c:orientation val="minMax"/>
          <c:max val="1"/>
          <c:min val="-1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0176456"/>
        <c:crossBetween val="midCat"/>
      </c:valAx>
      <c:valAx>
        <c:axId val="970176456"/>
        <c:scaling>
          <c:orientation val="minMax"/>
          <c:max val="1"/>
          <c:min val="-1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7886272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Sheet1!$E$30</c:f>
          <c:strCache>
            <c:ptCount val="1"/>
            <c:pt idx="0">
              <c:v>岗位分布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Sheet1!$F$31</c:f>
              <c:strCache>
                <c:ptCount val="1"/>
                <c:pt idx="0">
                  <c:v>人数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10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Sheet1!$E$32:$E$35</c:f>
              <c:strCache>
                <c:ptCount val="4"/>
                <c:pt idx="0">
                  <c:v>技术岗</c:v>
                </c:pt>
                <c:pt idx="1">
                  <c:v>管理岗</c:v>
                </c:pt>
                <c:pt idx="2">
                  <c:v>操作岗</c:v>
                </c:pt>
                <c:pt idx="3">
                  <c:v>暂时未定岗人员</c:v>
                </c:pt>
              </c:strCache>
            </c:strRef>
          </c:cat>
          <c:val>
            <c:numRef>
              <c:f>Sheet1!$F$32:$F$35</c:f>
              <c:numCache>
                <c:formatCode>General</c:formatCode>
                <c:ptCount val="4"/>
                <c:pt idx="0">
                  <c:v>117</c:v>
                </c:pt>
                <c:pt idx="1">
                  <c:v>42</c:v>
                </c:pt>
                <c:pt idx="2">
                  <c:v>92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3-4196-B090-69AD809F1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02880752"/>
        <c:axId val="1402882392"/>
      </c:barChart>
      <c:catAx>
        <c:axId val="14028807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+mn-cs"/>
              </a:defRPr>
            </a:pPr>
            <a:endParaRPr lang="zh-CN"/>
          </a:p>
        </c:txPr>
        <c:crossAx val="1402882392"/>
        <c:crosses val="autoZero"/>
        <c:auto val="1"/>
        <c:lblAlgn val="ctr"/>
        <c:lblOffset val="100"/>
        <c:noMultiLvlLbl val="0"/>
      </c:catAx>
      <c:valAx>
        <c:axId val="140288239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40288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_xlchart.v1.8</cx:f>
      </cx:numDim>
    </cx:data>
  </cx:chartData>
  <cx:chart>
    <cx:title pos="t" align="ctr" overlay="0">
      <cx:tx>
        <cx:txData>
          <cx:v>岗位分布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思源黑体 CN Normal" panose="020B0400000000000000" pitchFamily="34" charset="-122"/>
            </a:defRPr>
          </a:pPr>
          <a:r>
            <a:rPr lang="zh-CN" altLang="en-US" sz="1400" b="0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</a:rPr>
            <a:t>岗位分布</a:t>
          </a:r>
        </a:p>
      </cx:txPr>
    </cx:title>
    <cx:plotArea>
      <cx:plotAreaRegion>
        <cx:series layoutId="treemap" uniqueId="{D013F44A-A472-4434-ACEA-06E2836F4718}">
          <cx:tx>
            <cx:txData>
              <cx:f>_xlchart.v1.7</cx:f>
              <cx:v>人数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>
                    <a:solidFill>
                      <a:schemeClr val="bg1"/>
                    </a:solidFill>
                    <a:latin typeface="思源黑体 CN Normal" panose="020B0400000000000000" pitchFamily="34" charset="-122"/>
                    <a:ea typeface="思源黑体 CN Normal" panose="020B0400000000000000" pitchFamily="34" charset="-122"/>
                    <a:cs typeface="思源黑体 CN Normal" panose="020B0400000000000000" pitchFamily="34" charset="-122"/>
                  </a:defRPr>
                </a:pPr>
                <a:endParaRPr lang="zh-CN" altLang="en-US" sz="1000" b="1" i="0" u="none" strike="noStrike" baseline="0">
                  <a:solidFill>
                    <a:schemeClr val="bg1"/>
                  </a:solidFill>
                  <a:latin typeface="思源黑体 CN Normal" panose="020B0400000000000000" pitchFamily="34" charset="-122"/>
                  <a:ea typeface="思源黑体 CN Normal" panose="020B0400000000000000" pitchFamily="34" charset="-122"/>
                </a:endParaRPr>
              </a:p>
            </cx:txPr>
            <cx:visibility seriesName="0" categoryName="1" value="1"/>
            <cx:separator>
</cx:separator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9608A45-150C-42CE-8903-1457E8F93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7483448-2C9A-4BF5-83A2-B84DF0BCE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13</xdr:col>
      <xdr:colOff>0</xdr:colOff>
      <xdr:row>26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71CE73D-2148-41AA-AA37-9B3AEBBB0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18</xdr:col>
      <xdr:colOff>0</xdr:colOff>
      <xdr:row>26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6786D15-5B2A-4A40-9A19-058B391B8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705AAD3-EC21-4AB4-8447-63905CE48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18</xdr:col>
      <xdr:colOff>0</xdr:colOff>
      <xdr:row>40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图表 6">
              <a:extLst>
                <a:ext uri="{FF2B5EF4-FFF2-40B4-BE49-F238E27FC236}">
                  <a16:creationId xmlns:a16="http://schemas.microsoft.com/office/drawing/2014/main" id="{A779B39D-24BA-4D60-88B2-BACAA91852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29550" y="5200650"/>
              <a:ext cx="3429000" cy="2800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41</xdr:row>
      <xdr:rowOff>0</xdr:rowOff>
    </xdr:from>
    <xdr:to>
      <xdr:col>14</xdr:col>
      <xdr:colOff>0</xdr:colOff>
      <xdr:row>63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19F0F648-B3A6-41AF-A750-B6436E5E9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0</xdr:colOff>
      <xdr:row>46</xdr:row>
      <xdr:rowOff>0</xdr:rowOff>
    </xdr:from>
    <xdr:to>
      <xdr:col>17</xdr:col>
      <xdr:colOff>228600</xdr:colOff>
      <xdr:row>50</xdr:row>
      <xdr:rowOff>114300</xdr:rowOff>
    </xdr:to>
    <xdr:pic>
      <xdr:nvPicPr>
        <xdr:cNvPr id="10" name="图形 9" descr="用户">
          <a:extLst>
            <a:ext uri="{FF2B5EF4-FFF2-40B4-BE49-F238E27FC236}">
              <a16:creationId xmlns:a16="http://schemas.microsoft.com/office/drawing/2014/main" id="{C6021967-AE0B-45F9-864F-6ED724B7B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886950" y="920115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Googl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074F1"/>
      </a:accent1>
      <a:accent2>
        <a:srgbClr val="E63224"/>
      </a:accent2>
      <a:accent3>
        <a:srgbClr val="F5AD01"/>
      </a:accent3>
      <a:accent4>
        <a:srgbClr val="249B41"/>
      </a:accent4>
      <a:accent5>
        <a:srgbClr val="382F2A"/>
      </a:accent5>
      <a:accent6>
        <a:srgbClr val="BC70C1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8E24-B33E-47A0-A749-1BEB89EF234F}">
  <dimension ref="B2:G35"/>
  <sheetViews>
    <sheetView showGridLines="0" tabSelected="1" workbookViewId="0"/>
  </sheetViews>
  <sheetFormatPr defaultRowHeight="15.95" customHeight="1" x14ac:dyDescent="0.2"/>
  <cols>
    <col min="1" max="1" width="2.625" style="1" customWidth="1"/>
    <col min="2" max="2" width="15.125" style="1" bestFit="1" customWidth="1"/>
    <col min="3" max="3" width="7.75" style="1" customWidth="1"/>
    <col min="4" max="4" width="2.625" style="1" customWidth="1"/>
    <col min="5" max="5" width="9" style="1"/>
    <col min="6" max="7" width="9" style="3"/>
    <col min="8" max="8" width="2.625" style="1" customWidth="1"/>
    <col min="9" max="16384" width="9" style="1"/>
  </cols>
  <sheetData>
    <row r="2" spans="2:7" ht="15.95" customHeight="1" x14ac:dyDescent="0.2">
      <c r="B2" s="2" t="s">
        <v>0</v>
      </c>
    </row>
    <row r="4" spans="2:7" s="4" customFormat="1" ht="15.95" customHeight="1" x14ac:dyDescent="0.2">
      <c r="B4" s="4" t="s">
        <v>1</v>
      </c>
      <c r="C4" s="5" t="s">
        <v>2</v>
      </c>
      <c r="E4" s="13" t="s">
        <v>33</v>
      </c>
      <c r="F4" s="5"/>
      <c r="G4" s="5"/>
    </row>
    <row r="5" spans="2:7" s="4" customFormat="1" ht="15.95" customHeight="1" x14ac:dyDescent="0.2">
      <c r="B5" s="4" t="s">
        <v>3</v>
      </c>
      <c r="C5" s="5">
        <v>300</v>
      </c>
      <c r="E5" s="7"/>
      <c r="F5" s="8" t="s">
        <v>20</v>
      </c>
      <c r="G5" s="14"/>
    </row>
    <row r="6" spans="2:7" s="4" customFormat="1" ht="15.95" customHeight="1" x14ac:dyDescent="0.2">
      <c r="B6" s="4" t="s">
        <v>4</v>
      </c>
      <c r="C6" s="5">
        <v>252</v>
      </c>
      <c r="E6" s="9" t="s">
        <v>18</v>
      </c>
      <c r="F6" s="10">
        <v>252</v>
      </c>
      <c r="G6" s="15"/>
    </row>
    <row r="7" spans="2:7" s="4" customFormat="1" ht="15.95" customHeight="1" x14ac:dyDescent="0.2">
      <c r="B7" s="4" t="s">
        <v>5</v>
      </c>
      <c r="C7" s="5">
        <v>48</v>
      </c>
      <c r="E7" s="11" t="s">
        <v>19</v>
      </c>
      <c r="F7" s="12">
        <v>48</v>
      </c>
      <c r="G7" s="15"/>
    </row>
    <row r="8" spans="2:7" s="4" customFormat="1" ht="15.95" customHeight="1" x14ac:dyDescent="0.2">
      <c r="B8" s="4" t="s">
        <v>6</v>
      </c>
      <c r="C8" s="5">
        <v>212</v>
      </c>
      <c r="F8" s="5"/>
      <c r="G8" s="5"/>
    </row>
    <row r="9" spans="2:7" s="4" customFormat="1" ht="15.95" customHeight="1" x14ac:dyDescent="0.2">
      <c r="B9" s="4" t="s">
        <v>7</v>
      </c>
      <c r="C9" s="5">
        <v>40</v>
      </c>
      <c r="E9" s="13" t="s">
        <v>21</v>
      </c>
      <c r="F9" s="5"/>
      <c r="G9" s="5"/>
    </row>
    <row r="10" spans="2:7" s="4" customFormat="1" ht="15.95" customHeight="1" x14ac:dyDescent="0.2">
      <c r="B10" s="4" t="s">
        <v>8</v>
      </c>
      <c r="C10" s="5">
        <v>145</v>
      </c>
      <c r="E10" s="7"/>
      <c r="F10" s="8" t="s">
        <v>20</v>
      </c>
      <c r="G10" s="14"/>
    </row>
    <row r="11" spans="2:7" s="4" customFormat="1" ht="15.95" customHeight="1" x14ac:dyDescent="0.2">
      <c r="B11" s="4" t="s">
        <v>9</v>
      </c>
      <c r="C11" s="5">
        <v>107</v>
      </c>
      <c r="E11" s="9" t="s">
        <v>22</v>
      </c>
      <c r="F11" s="10">
        <v>212</v>
      </c>
      <c r="G11" s="15"/>
    </row>
    <row r="12" spans="2:7" s="4" customFormat="1" ht="15.95" customHeight="1" x14ac:dyDescent="0.2">
      <c r="B12" s="4" t="s">
        <v>10</v>
      </c>
      <c r="C12" s="5">
        <v>223</v>
      </c>
      <c r="E12" s="11" t="s">
        <v>23</v>
      </c>
      <c r="F12" s="12">
        <v>40</v>
      </c>
      <c r="G12" s="15"/>
    </row>
    <row r="13" spans="2:7" s="4" customFormat="1" ht="15.95" customHeight="1" x14ac:dyDescent="0.2">
      <c r="B13" s="4" t="s">
        <v>11</v>
      </c>
      <c r="C13" s="5">
        <v>29</v>
      </c>
      <c r="F13" s="5"/>
      <c r="G13" s="5"/>
    </row>
    <row r="14" spans="2:7" s="4" customFormat="1" ht="15.95" customHeight="1" x14ac:dyDescent="0.2">
      <c r="B14" s="4" t="s">
        <v>12</v>
      </c>
      <c r="C14" s="5">
        <v>190</v>
      </c>
      <c r="E14" s="13" t="s">
        <v>24</v>
      </c>
      <c r="F14" s="5"/>
      <c r="G14" s="5"/>
    </row>
    <row r="15" spans="2:7" s="4" customFormat="1" ht="15.95" customHeight="1" x14ac:dyDescent="0.2">
      <c r="B15" s="4" t="s">
        <v>13</v>
      </c>
      <c r="C15" s="5">
        <v>62</v>
      </c>
      <c r="E15" s="7"/>
      <c r="F15" s="8" t="s">
        <v>20</v>
      </c>
      <c r="G15" s="14"/>
    </row>
    <row r="16" spans="2:7" s="4" customFormat="1" ht="15.95" customHeight="1" x14ac:dyDescent="0.2">
      <c r="B16" s="4" t="s">
        <v>14</v>
      </c>
      <c r="C16" s="5">
        <v>42</v>
      </c>
      <c r="E16" s="9" t="s">
        <v>25</v>
      </c>
      <c r="F16" s="10">
        <v>145</v>
      </c>
      <c r="G16" s="15"/>
    </row>
    <row r="17" spans="2:7" s="4" customFormat="1" ht="15.95" customHeight="1" x14ac:dyDescent="0.2">
      <c r="B17" s="4" t="s">
        <v>15</v>
      </c>
      <c r="C17" s="5">
        <v>92</v>
      </c>
      <c r="E17" s="11" t="s">
        <v>26</v>
      </c>
      <c r="F17" s="12">
        <v>107</v>
      </c>
      <c r="G17" s="15"/>
    </row>
    <row r="18" spans="2:7" s="4" customFormat="1" ht="15.95" customHeight="1" x14ac:dyDescent="0.2">
      <c r="B18" s="4" t="s">
        <v>16</v>
      </c>
      <c r="C18" s="5">
        <v>117</v>
      </c>
      <c r="F18" s="5"/>
      <c r="G18" s="5"/>
    </row>
    <row r="19" spans="2:7" s="4" customFormat="1" ht="15.95" customHeight="1" x14ac:dyDescent="0.2">
      <c r="B19" s="4" t="s">
        <v>17</v>
      </c>
      <c r="C19" s="5">
        <v>1</v>
      </c>
      <c r="E19" s="13" t="s">
        <v>27</v>
      </c>
      <c r="F19" s="5"/>
      <c r="G19" s="5"/>
    </row>
    <row r="20" spans="2:7" ht="15.95" customHeight="1" x14ac:dyDescent="0.2">
      <c r="E20" s="7"/>
      <c r="F20" s="8" t="s">
        <v>20</v>
      </c>
      <c r="G20" s="15"/>
    </row>
    <row r="21" spans="2:7" ht="15.95" customHeight="1" x14ac:dyDescent="0.2">
      <c r="E21" s="9" t="s">
        <v>28</v>
      </c>
      <c r="F21" s="10">
        <v>223</v>
      </c>
      <c r="G21" s="16"/>
    </row>
    <row r="22" spans="2:7" ht="15.95" customHeight="1" x14ac:dyDescent="0.2">
      <c r="E22" s="11" t="s">
        <v>29</v>
      </c>
      <c r="F22" s="12">
        <v>29</v>
      </c>
      <c r="G22" s="16"/>
    </row>
    <row r="23" spans="2:7" ht="15.95" customHeight="1" x14ac:dyDescent="0.2">
      <c r="G23" s="5"/>
    </row>
    <row r="24" spans="2:7" ht="15.95" customHeight="1" x14ac:dyDescent="0.2">
      <c r="B24" s="6" t="s">
        <v>38</v>
      </c>
      <c r="C24" s="4"/>
      <c r="E24" s="13" t="s">
        <v>30</v>
      </c>
      <c r="F24" s="5"/>
      <c r="G24" s="5"/>
    </row>
    <row r="25" spans="2:7" ht="15.95" customHeight="1" x14ac:dyDescent="0.2">
      <c r="B25" s="4" t="s">
        <v>35</v>
      </c>
      <c r="C25" s="4">
        <v>0</v>
      </c>
      <c r="E25" s="7"/>
      <c r="F25" s="8" t="s">
        <v>20</v>
      </c>
      <c r="G25" s="14"/>
    </row>
    <row r="26" spans="2:7" ht="15.95" customHeight="1" x14ac:dyDescent="0.2">
      <c r="B26" s="4" t="s">
        <v>36</v>
      </c>
      <c r="C26" s="4">
        <v>0</v>
      </c>
      <c r="E26" s="9" t="s">
        <v>31</v>
      </c>
      <c r="F26" s="10">
        <v>190</v>
      </c>
      <c r="G26" s="15"/>
    </row>
    <row r="27" spans="2:7" ht="15.95" customHeight="1" x14ac:dyDescent="0.2">
      <c r="B27" s="4" t="s">
        <v>37</v>
      </c>
      <c r="C27" s="4" t="str">
        <f>E28&amp;CHAR(10)&amp;F28&amp;"人"</f>
        <v>总计
252人</v>
      </c>
      <c r="E27" s="11" t="s">
        <v>32</v>
      </c>
      <c r="F27" s="12">
        <v>62</v>
      </c>
      <c r="G27" s="15"/>
    </row>
    <row r="28" spans="2:7" ht="15.95" customHeight="1" x14ac:dyDescent="0.2">
      <c r="E28" s="6" t="s">
        <v>34</v>
      </c>
      <c r="F28" s="5">
        <f>SUM(F26:F27)</f>
        <v>252</v>
      </c>
    </row>
    <row r="30" spans="2:7" ht="15.95" customHeight="1" x14ac:dyDescent="0.2">
      <c r="E30" s="13" t="s">
        <v>39</v>
      </c>
      <c r="F30" s="5"/>
      <c r="G30" s="5"/>
    </row>
    <row r="31" spans="2:7" ht="15.95" customHeight="1" x14ac:dyDescent="0.2">
      <c r="E31" s="7"/>
      <c r="F31" s="8" t="s">
        <v>20</v>
      </c>
      <c r="G31" s="14"/>
    </row>
    <row r="32" spans="2:7" ht="15.95" customHeight="1" x14ac:dyDescent="0.2">
      <c r="E32" s="9" t="s">
        <v>16</v>
      </c>
      <c r="F32" s="10">
        <v>117</v>
      </c>
      <c r="G32" s="15"/>
    </row>
    <row r="33" spans="5:7" ht="15.95" customHeight="1" x14ac:dyDescent="0.2">
      <c r="E33" s="9" t="s">
        <v>14</v>
      </c>
      <c r="F33" s="10">
        <v>42</v>
      </c>
      <c r="G33" s="15"/>
    </row>
    <row r="34" spans="5:7" ht="15.95" customHeight="1" x14ac:dyDescent="0.2">
      <c r="E34" s="9" t="s">
        <v>15</v>
      </c>
      <c r="F34" s="10">
        <v>92</v>
      </c>
      <c r="G34" s="15"/>
    </row>
    <row r="35" spans="5:7" ht="15.95" customHeight="1" x14ac:dyDescent="0.2">
      <c r="E35" s="11" t="s">
        <v>17</v>
      </c>
      <c r="F35" s="12">
        <v>1</v>
      </c>
      <c r="G35" s="15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2018-11-03T13:18:03Z</dcterms:created>
  <dcterms:modified xsi:type="dcterms:W3CDTF">2018-11-03T13:51:37Z</dcterms:modified>
</cp:coreProperties>
</file>