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/>
  <xr:revisionPtr revIDLastSave="0" documentId="13_ncr:1_{A5823042-974A-49C4-88EA-8CA57C0EF5F6}" xr6:coauthVersionLast="40" xr6:coauthVersionMax="40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D29" i="1" l="1"/>
  <c r="H4" i="1"/>
  <c r="I4" i="1"/>
  <c r="H5" i="1"/>
  <c r="I5" i="1"/>
  <c r="H6" i="1"/>
  <c r="I6" i="1"/>
  <c r="H7" i="1"/>
  <c r="I7" i="1"/>
  <c r="H8" i="1"/>
  <c r="I8" i="1"/>
  <c r="E11" i="1"/>
</calcChain>
</file>

<file path=xl/sharedStrings.xml><?xml version="1.0" encoding="utf-8"?>
<sst xmlns="http://schemas.openxmlformats.org/spreadsheetml/2006/main" count="33" uniqueCount="21">
  <si>
    <t>2005 YTD</t>
    <phoneticPr fontId="1" type="noConversion"/>
  </si>
  <si>
    <t>Revenue
U.S.$(1,000s)</t>
    <phoneticPr fontId="1" type="noConversion"/>
  </si>
  <si>
    <t>Profit
%</t>
    <phoneticPr fontId="1" type="noConversion"/>
  </si>
  <si>
    <t>Avg Order Size
U.S.$</t>
    <phoneticPr fontId="1" type="noConversion"/>
  </si>
  <si>
    <t>New Customers
Count</t>
    <phoneticPr fontId="1" type="noConversion"/>
  </si>
  <si>
    <t>Cust Satisfaction
Top Rating of 5</t>
    <phoneticPr fontId="1" type="noConversion"/>
  </si>
  <si>
    <t>及格线</t>
    <phoneticPr fontId="1" type="noConversion"/>
  </si>
  <si>
    <t>良好</t>
    <phoneticPr fontId="1" type="noConversion"/>
  </si>
  <si>
    <t>优良</t>
    <phoneticPr fontId="1" type="noConversion"/>
  </si>
  <si>
    <t>实际值</t>
    <phoneticPr fontId="1" type="noConversion"/>
  </si>
  <si>
    <t>对比</t>
    <phoneticPr fontId="1" type="noConversion"/>
  </si>
  <si>
    <t>辅助1</t>
    <phoneticPr fontId="1" type="noConversion"/>
  </si>
  <si>
    <t>辅助2</t>
    <phoneticPr fontId="1" type="noConversion"/>
  </si>
  <si>
    <t>辅助y</t>
    <phoneticPr fontId="1" type="noConversion"/>
  </si>
  <si>
    <t>项目</t>
    <phoneticPr fontId="1" type="noConversion"/>
  </si>
  <si>
    <t>x</t>
    <phoneticPr fontId="1" type="noConversion"/>
  </si>
  <si>
    <t>y</t>
    <phoneticPr fontId="1" type="noConversion"/>
  </si>
  <si>
    <t>散点1</t>
    <phoneticPr fontId="1" type="noConversion"/>
  </si>
  <si>
    <t>误差</t>
    <phoneticPr fontId="1" type="noConversion"/>
  </si>
  <si>
    <t>散点2</t>
    <phoneticPr fontId="1" type="noConversion"/>
  </si>
  <si>
    <t>辅助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</si>
</sst>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Microsoft YaHei UI Light"/>
      <family val="2"/>
      <charset val="134"/>
    </font>
    <font>
      <b/>
      <sz val="10"/>
      <color theme="0"/>
      <name val="Microsoft YaHei UI Light"/>
      <family val="2"/>
      <charset val="134"/>
    </font>
    <font>
      <sz val="9"/>
      <color theme="1"/>
      <name val="Microsoft YaHei UI Light"/>
      <family val="2"/>
      <charset val="134"/>
    </font>
    <font>
      <sz val="9"/>
      <name val="Microsoft YaHei UI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9" fontId="4" fillId="0" borderId="3" xfId="0" applyNumberFormat="1" applyFont="1" applyBorder="1" applyAlignment="1">
      <alignment horizontal="right" vertical="center"/>
    </xf>
    <xf numFmtId="10" fontId="4" fillId="0" borderId="4" xfId="0" applyNumberFormat="1" applyFont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3" fillId="3" borderId="8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</cellXfs>
  <cellStyles count="1">
    <cellStyle name="常规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icrosoft YaHei UI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 UI Light"/>
        <family val="2"/>
        <charset val="134"/>
        <scheme val="none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44304650994258"/>
          <c:y val="0.16666666666666666"/>
          <c:w val="0.83487643876448225"/>
          <c:h val="0.717353455818022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及格线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Sheet1!$B$4</c:f>
              <c:strCache>
                <c:ptCount val="1"/>
                <c:pt idx="0">
                  <c:v>Revenue
U.S.$(1,000s)</c:v>
                </c:pt>
              </c:strCache>
            </c:strRef>
          </c:cat>
          <c:val>
            <c:numRef>
              <c:f>Sheet1!$C$4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0-40A6-A783-CB81A0078E7F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辅助1</c:v>
                </c:pt>
              </c:strCache>
            </c:strRef>
          </c:tx>
          <c:invertIfNegative val="0"/>
          <c:cat>
            <c:strRef>
              <c:f>Sheet1!$B$4</c:f>
              <c:strCache>
                <c:ptCount val="1"/>
                <c:pt idx="0">
                  <c:v>Revenue
U.S.$(1,000s)</c:v>
                </c:pt>
              </c:strCache>
            </c:strRef>
          </c:cat>
          <c:val>
            <c:numRef>
              <c:f>Sheet1!$H$4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0-40A6-A783-CB81A0078E7F}"/>
            </c:ext>
          </c:extLst>
        </c:ser>
        <c:ser>
          <c:idx val="2"/>
          <c:order val="2"/>
          <c:tx>
            <c:strRef>
              <c:f>Sheet1!$I$3</c:f>
              <c:strCache>
                <c:ptCount val="1"/>
                <c:pt idx="0">
                  <c:v>辅助2</c:v>
                </c:pt>
              </c:strCache>
            </c:strRef>
          </c:tx>
          <c:invertIfNegative val="0"/>
          <c:cat>
            <c:strRef>
              <c:f>Sheet1!$B$4</c:f>
              <c:strCache>
                <c:ptCount val="1"/>
                <c:pt idx="0">
                  <c:v>Revenue
U.S.$(1,000s)</c:v>
                </c:pt>
              </c:strCache>
            </c:strRef>
          </c:cat>
          <c:val>
            <c:numRef>
              <c:f>Sheet1!$I$4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0-40A6-A783-CB81A007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8649216"/>
        <c:axId val="528963456"/>
      </c:barChart>
      <c:barChart>
        <c:barDir val="bar"/>
        <c:grouping val="clustered"/>
        <c:varyColors val="0"/>
        <c:ser>
          <c:idx val="3"/>
          <c:order val="3"/>
          <c:tx>
            <c:strRef>
              <c:f>Sheet1!$F$3</c:f>
              <c:strCache>
                <c:ptCount val="1"/>
                <c:pt idx="0">
                  <c:v>实际值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val>
            <c:numRef>
              <c:f>Sheet1!$F$4</c:f>
              <c:numCache>
                <c:formatCode>General</c:formatCode>
                <c:ptCount val="1"/>
                <c:pt idx="0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B0-40A6-A783-CB81A007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752337664"/>
        <c:axId val="752316800"/>
      </c:barChart>
      <c:catAx>
        <c:axId val="5286492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28963456"/>
        <c:crosses val="autoZero"/>
        <c:auto val="1"/>
        <c:lblAlgn val="ctr"/>
        <c:lblOffset val="100"/>
        <c:noMultiLvlLbl val="0"/>
      </c:catAx>
      <c:valAx>
        <c:axId val="528963456"/>
        <c:scaling>
          <c:orientation val="minMax"/>
          <c:max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28649216"/>
        <c:crosses val="autoZero"/>
        <c:crossBetween val="between"/>
      </c:valAx>
      <c:valAx>
        <c:axId val="7523168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52337664"/>
        <c:crosses val="max"/>
        <c:crossBetween val="between"/>
      </c:valAx>
      <c:catAx>
        <c:axId val="752337664"/>
        <c:scaling>
          <c:orientation val="minMax"/>
        </c:scaling>
        <c:delete val="1"/>
        <c:axPos val="l"/>
        <c:majorTickMark val="out"/>
        <c:minorTickMark val="none"/>
        <c:tickLblPos val="nextTo"/>
        <c:crossAx val="75231680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44304650994258"/>
          <c:y val="0.16666666666666666"/>
          <c:w val="0.83487643876448225"/>
          <c:h val="0.717353455818022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及格线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Sheet1!$B$4</c:f>
              <c:strCache>
                <c:ptCount val="1"/>
                <c:pt idx="0">
                  <c:v>Revenue
U.S.$(1,000s)</c:v>
                </c:pt>
              </c:strCache>
            </c:strRef>
          </c:cat>
          <c:val>
            <c:numRef>
              <c:f>Sheet1!$C$4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7-4319-9893-89CBEFF9C8D1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辅助1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Sheet1!$B$4</c:f>
              <c:strCache>
                <c:ptCount val="1"/>
                <c:pt idx="0">
                  <c:v>Revenue
U.S.$(1,000s)</c:v>
                </c:pt>
              </c:strCache>
            </c:strRef>
          </c:cat>
          <c:val>
            <c:numRef>
              <c:f>Sheet1!$H$4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7-4319-9893-89CBEFF9C8D1}"/>
            </c:ext>
          </c:extLst>
        </c:ser>
        <c:ser>
          <c:idx val="2"/>
          <c:order val="2"/>
          <c:tx>
            <c:strRef>
              <c:f>Sheet1!$I$3</c:f>
              <c:strCache>
                <c:ptCount val="1"/>
                <c:pt idx="0">
                  <c:v>辅助2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invertIfNegative val="0"/>
          <c:cat>
            <c:strRef>
              <c:f>Sheet1!$B$4</c:f>
              <c:strCache>
                <c:ptCount val="1"/>
                <c:pt idx="0">
                  <c:v>Revenue
U.S.$(1,000s)</c:v>
                </c:pt>
              </c:strCache>
            </c:strRef>
          </c:cat>
          <c:val>
            <c:numRef>
              <c:f>Sheet1!$I$4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7-4319-9893-89CBEFF9C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8649216"/>
        <c:axId val="528963456"/>
      </c:barChart>
      <c:scatterChart>
        <c:scatterStyle val="lineMarker"/>
        <c:varyColors val="0"/>
        <c:ser>
          <c:idx val="3"/>
          <c:order val="3"/>
          <c:tx>
            <c:strRef>
              <c:f>Sheet1!$D$10</c:f>
              <c:strCache>
                <c:ptCount val="1"/>
                <c:pt idx="0">
                  <c:v>散点1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Sheet1!$D$29</c:f>
                <c:numCache>
                  <c:formatCode>General</c:formatCode>
                  <c:ptCount val="1"/>
                  <c:pt idx="0">
                    <c:v>275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03200">
                <a:solidFill>
                  <a:schemeClr val="bg1">
                    <a:lumMod val="95000"/>
                  </a:schemeClr>
                </a:solidFill>
              </a:ln>
            </c:spPr>
          </c:errBars>
          <c:xVal>
            <c:numRef>
              <c:f>Sheet1!$D$11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Sheet1!$D$12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47-4319-9893-89CBEFF9C8D1}"/>
            </c:ext>
          </c:extLst>
        </c:ser>
        <c:ser>
          <c:idx val="4"/>
          <c:order val="4"/>
          <c:tx>
            <c:strRef>
              <c:f>Sheet1!$E$28</c:f>
              <c:strCache>
                <c:ptCount val="1"/>
                <c:pt idx="0">
                  <c:v>散点2</c:v>
                </c:pt>
              </c:strCache>
            </c:strRef>
          </c:tx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Sheet1!$E$29</c:f>
              <c:numCache>
                <c:formatCode>General</c:formatCode>
                <c:ptCount val="1"/>
                <c:pt idx="0">
                  <c:v>250</c:v>
                </c:pt>
              </c:numCache>
            </c:numRef>
          </c:xVal>
          <c:yVal>
            <c:numRef>
              <c:f>Sheet1!$E$30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7-44E8-96EF-2F9F3ECC3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922488"/>
        <c:axId val="883922160"/>
      </c:scatterChart>
      <c:catAx>
        <c:axId val="5286492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crossAx val="528963456"/>
        <c:crosses val="autoZero"/>
        <c:auto val="1"/>
        <c:lblAlgn val="ctr"/>
        <c:lblOffset val="100"/>
        <c:noMultiLvlLbl val="0"/>
      </c:catAx>
      <c:valAx>
        <c:axId val="528963456"/>
        <c:scaling>
          <c:orientation val="minMax"/>
          <c:max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528649216"/>
        <c:crosses val="autoZero"/>
        <c:crossBetween val="between"/>
      </c:valAx>
      <c:valAx>
        <c:axId val="883922160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883922488"/>
        <c:crosses val="max"/>
        <c:crossBetween val="midCat"/>
      </c:valAx>
      <c:valAx>
        <c:axId val="883922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39221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175260</xdr:colOff>
      <xdr:row>1</xdr:row>
      <xdr:rowOff>114301</xdr:rowOff>
    </xdr:from>
    <xdr:to>
      <xdr:col>21</xdr:col>
      <xdr:colOff>613411</xdr:colOff>
      <xdr:row>10</xdr:row>
      <xdr:rowOff>46660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6120" y="304801"/>
          <a:ext cx="6610351" cy="3109899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23</xdr:col>
      <xdr:colOff>390525</xdr:colOff>
      <xdr:row>18</xdr:row>
      <xdr:rowOff>185736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14</xdr:row>
      <xdr:rowOff>0</xdr:rowOff>
    </xdr:from>
    <xdr:to>
      <xdr:col>11</xdr:col>
      <xdr:colOff>647700</xdr:colOff>
      <xdr:row>18</xdr:row>
      <xdr:rowOff>185736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8BCF03C-990A-4581-8378-13CD82C45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0.80912</cdr:x>
      <cdr:y>0.20465</cdr:y>
    </cdr:from>
    <cdr:to>
      <cdr:x>0.80912</cdr:x>
      <cdr:y>0.63256</cdr:y>
    </cdr:to>
    <cdr:cxnSp macro="">
      <cdr:nvCxnSpPr>
        <cdr:cNvPr id="3" name="直接连接符 2">
          <a:extLst xmlns:a="http://schemas.openxmlformats.org/drawingml/2006/main">
            <a:ext uri="{FF2B5EF4-FFF2-40B4-BE49-F238E27FC236}">
              <a16:creationId xmlns:a16="http://schemas.microsoft.com/office/drawing/2014/main" id="{B3E8DA31-4FC1-405E-AB43-0F59513B8232}"/>
            </a:ext>
          </a:extLst>
        </cdr:cNvPr>
        <cdr:cNvCxnSpPr/>
      </cdr:nvCxnSpPr>
      <cdr:spPr>
        <a:xfrm xmlns:a="http://schemas.openxmlformats.org/drawingml/2006/main">
          <a:off x="6419850" y="209550"/>
          <a:ext cx="0" cy="43815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>
              <a:lumMod val="85000"/>
              <a:lumOff val="1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A522E8-AEAB-4C45-9A27-1B591A107B59}" name="表2" displayName="表2" ref="B3:J8" totalsRowShown="0" headerRowDxfId="19" dataDxfId="18" tableBorderDxfId="17">
  <tableColumns count="9">
    <tableColumn id="1" xr3:uid="{BAE28312-BF21-4D50-A674-51D20A35E022}" name="项目" dataDxfId="16"/>
    <tableColumn id="2" xr3:uid="{09C08425-F567-4A33-9809-8E1CC0F2EC52}" name="及格线" dataDxfId="15"/>
    <tableColumn id="3" xr3:uid="{79BA71C1-4340-4A5D-A534-5217FB4E0938}" name="良好" dataDxfId="14"/>
    <tableColumn id="4" xr3:uid="{17E91F93-B37A-4E3E-B8C5-B436EAC184F8}" name="优良" dataDxfId="13"/>
    <tableColumn id="5" xr3:uid="{369E210D-1745-4502-8EDD-A678A24D28E4}" name="实际值" dataDxfId="12"/>
    <tableColumn id="6" xr3:uid="{0CAF81B4-4196-467B-BA48-47E76C53A2E5}" name="对比" dataDxfId="11"/>
    <tableColumn id="7" xr3:uid="{2D4F40AE-160D-4CCD-9A1B-329553F9004D}" name="辅助1" dataDxfId="10">
      <calculatedColumnFormula>D4-C4</calculatedColumnFormula>
    </tableColumn>
    <tableColumn id="8" xr3:uid="{93A3E197-CDA5-4E7C-B82E-F15CB334324B}" name="辅助2" dataDxfId="9">
      <calculatedColumnFormula>E4-D4</calculatedColumnFormula>
    </tableColumn>
    <tableColumn id="9" xr3:uid="{8010E3AA-3656-4B5E-B854-641D802F9996}" name="辅助y" dataDxfId="8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0D680C-265E-4A3B-9010-B49D99C9A3F9}" name="表3" displayName="表3" ref="B24:G25" totalsRowShown="0" headerRowDxfId="7" dataDxfId="6">
  <tableColumns count="6">
    <tableColumn id="1" xr3:uid="{42A4E01F-621F-4B49-9360-011E7AE2B210}" name="项目" dataDxfId="5"/>
    <tableColumn id="2" xr3:uid="{7FDC9C06-029A-4A0E-8E7F-734F7813303F}" name="及格线" dataDxfId="4"/>
    <tableColumn id="3" xr3:uid="{599F07FD-34B5-4B9D-A472-FFD4A432DCE3}" name="良好" dataDxfId="3"/>
    <tableColumn id="4" xr3:uid="{57BF2B68-D68F-4FD5-83C1-A8BC25C6CD29}" name="优良" dataDxfId="2"/>
    <tableColumn id="5" xr3:uid="{F31E7EB7-A36C-41D1-A4E3-B0C494277316}" name="实际值" dataDxfId="1"/>
    <tableColumn id="6" xr3:uid="{1B8DF2C1-0AF9-40C8-87FA-4DD516544083}" name="对比" dataDxfId="0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showGridLines="0" tabSelected="1" workbookViewId="0">
      <selection activeCell="K8" sqref="K8"/>
    </sheetView>
  </sheetViews>
  <sheetFormatPr defaultColWidth="9" defaultRowHeight="15" x14ac:dyDescent="0.25"/>
  <cols>
    <col min="1" max="1" width="4.6640625" style="1" customWidth="1"/>
    <col min="2" max="2" width="14.6640625" style="1" bestFit="1" customWidth="1"/>
    <col min="3" max="7" width="9" style="2"/>
    <col min="8" max="16384" width="9" style="1"/>
  </cols>
  <sheetData>
    <row r="2" spans="2:10" x14ac:dyDescent="0.25">
      <c r="B2" s="1" t="s">
        <v>0</v>
      </c>
    </row>
    <row r="3" spans="2:10" ht="25.5" customHeight="1" x14ac:dyDescent="0.25">
      <c r="B3" s="14" t="s">
        <v>14</v>
      </c>
      <c r="C3" s="8" t="s">
        <v>6</v>
      </c>
      <c r="D3" s="8" t="s">
        <v>7</v>
      </c>
      <c r="E3" s="8" t="s">
        <v>8</v>
      </c>
      <c r="F3" s="9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2:10" ht="36" customHeight="1" x14ac:dyDescent="0.25">
      <c r="B4" s="15" t="s">
        <v>1</v>
      </c>
      <c r="C4" s="10">
        <v>150</v>
      </c>
      <c r="D4" s="10">
        <v>225</v>
      </c>
      <c r="E4" s="10">
        <v>300</v>
      </c>
      <c r="F4" s="11">
        <v>275</v>
      </c>
      <c r="G4" s="3">
        <v>250</v>
      </c>
      <c r="H4" s="3">
        <f>D4-C4</f>
        <v>75</v>
      </c>
      <c r="I4" s="3">
        <f>E4-D4</f>
        <v>75</v>
      </c>
      <c r="J4" s="3">
        <v>0.5</v>
      </c>
    </row>
    <row r="5" spans="2:10" ht="36" customHeight="1" x14ac:dyDescent="0.25">
      <c r="B5" s="15" t="s">
        <v>2</v>
      </c>
      <c r="C5" s="12">
        <v>0.2</v>
      </c>
      <c r="D5" s="12">
        <v>0.25</v>
      </c>
      <c r="E5" s="12">
        <v>0.3</v>
      </c>
      <c r="F5" s="13">
        <v>0.22500000000000001</v>
      </c>
      <c r="G5" s="4">
        <v>0.26750000000000002</v>
      </c>
      <c r="H5" s="3">
        <f t="shared" ref="H5:H8" si="0">D5-C5</f>
        <v>4.9999999999999989E-2</v>
      </c>
      <c r="I5" s="3">
        <f t="shared" ref="I5:I8" si="1">E5-D5</f>
        <v>4.9999999999999989E-2</v>
      </c>
      <c r="J5" s="5"/>
    </row>
    <row r="6" spans="2:10" ht="36" customHeight="1" x14ac:dyDescent="0.25">
      <c r="B6" s="15" t="s">
        <v>3</v>
      </c>
      <c r="C6" s="10">
        <v>350</v>
      </c>
      <c r="D6" s="10">
        <v>500</v>
      </c>
      <c r="E6" s="10">
        <v>600</v>
      </c>
      <c r="F6" s="11">
        <v>380</v>
      </c>
      <c r="G6" s="3">
        <v>550</v>
      </c>
      <c r="H6" s="3">
        <f t="shared" si="0"/>
        <v>150</v>
      </c>
      <c r="I6" s="3">
        <f t="shared" si="1"/>
        <v>100</v>
      </c>
      <c r="J6" s="5"/>
    </row>
    <row r="7" spans="2:10" ht="36" customHeight="1" x14ac:dyDescent="0.25">
      <c r="B7" s="15" t="s">
        <v>4</v>
      </c>
      <c r="C7" s="10">
        <v>1400</v>
      </c>
      <c r="D7" s="10">
        <v>2000</v>
      </c>
      <c r="E7" s="10">
        <v>2500</v>
      </c>
      <c r="F7" s="11">
        <v>1700</v>
      </c>
      <c r="G7" s="3">
        <v>2100</v>
      </c>
      <c r="H7" s="3">
        <f t="shared" si="0"/>
        <v>600</v>
      </c>
      <c r="I7" s="3">
        <f t="shared" si="1"/>
        <v>500</v>
      </c>
      <c r="J7" s="5"/>
    </row>
    <row r="8" spans="2:10" ht="36" customHeight="1" x14ac:dyDescent="0.25">
      <c r="B8" s="16" t="s">
        <v>5</v>
      </c>
      <c r="C8" s="6">
        <v>3.5</v>
      </c>
      <c r="D8" s="6">
        <v>4.3</v>
      </c>
      <c r="E8" s="6">
        <v>5</v>
      </c>
      <c r="F8" s="7">
        <v>4.5999999999999996</v>
      </c>
      <c r="G8" s="3">
        <v>4.4000000000000004</v>
      </c>
      <c r="H8" s="3">
        <f t="shared" si="0"/>
        <v>0.79999999999999982</v>
      </c>
      <c r="I8" s="3">
        <f t="shared" si="1"/>
        <v>0.70000000000000018</v>
      </c>
      <c r="J8" s="5"/>
    </row>
    <row r="10" spans="2:10" x14ac:dyDescent="0.25">
      <c r="D10" s="2" t="s">
        <v>17</v>
      </c>
      <c r="E10" s="2" t="s">
        <v>18</v>
      </c>
      <c r="F10" s="2" t="s">
        <v>19</v>
      </c>
    </row>
    <row r="11" spans="2:10" x14ac:dyDescent="0.25">
      <c r="C11" s="2" t="s">
        <v>15</v>
      </c>
      <c r="D11" s="2">
        <v>0</v>
      </c>
      <c r="E11" s="2">
        <f>F4</f>
        <v>275</v>
      </c>
    </row>
    <row r="12" spans="2:10" x14ac:dyDescent="0.25">
      <c r="C12" s="2" t="s">
        <v>16</v>
      </c>
      <c r="D12" s="2">
        <v>0.5</v>
      </c>
    </row>
    <row r="24" spans="2:7" x14ac:dyDescent="0.25">
      <c r="B24" s="19" t="s">
        <v>14</v>
      </c>
      <c r="C24" s="20" t="s">
        <v>6</v>
      </c>
      <c r="D24" s="20" t="s">
        <v>7</v>
      </c>
      <c r="E24" s="20" t="s">
        <v>8</v>
      </c>
      <c r="F24" s="20" t="s">
        <v>9</v>
      </c>
      <c r="G24" s="20" t="s">
        <v>10</v>
      </c>
    </row>
    <row r="25" spans="2:7" ht="26.4" x14ac:dyDescent="0.25">
      <c r="B25" s="17" t="s">
        <v>1</v>
      </c>
      <c r="C25" s="18">
        <v>150</v>
      </c>
      <c r="D25" s="18">
        <v>225</v>
      </c>
      <c r="E25" s="18">
        <v>300</v>
      </c>
      <c r="F25" s="18">
        <v>275</v>
      </c>
      <c r="G25" s="18">
        <v>250</v>
      </c>
    </row>
    <row r="27" spans="2:7" x14ac:dyDescent="0.25">
      <c r="B27" s="1" t="s">
        <v>20</v>
      </c>
      <c r="C27" s="1"/>
      <c r="D27" s="1"/>
      <c r="E27" s="1"/>
      <c r="F27" s="1"/>
    </row>
    <row r="28" spans="2:7" x14ac:dyDescent="0.25">
      <c r="B28" s="24"/>
      <c r="C28" s="25" t="s">
        <v>17</v>
      </c>
      <c r="D28" s="25" t="s">
        <v>18</v>
      </c>
      <c r="E28" s="26" t="s">
        <v>19</v>
      </c>
      <c r="F28" s="1"/>
    </row>
    <row r="29" spans="2:7" x14ac:dyDescent="0.25">
      <c r="B29" s="27" t="s">
        <v>15</v>
      </c>
      <c r="C29" s="28">
        <v>0</v>
      </c>
      <c r="D29" s="28">
        <f>F25</f>
        <v>275</v>
      </c>
      <c r="E29" s="29">
        <v>250</v>
      </c>
      <c r="F29" s="1"/>
    </row>
    <row r="30" spans="2:7" x14ac:dyDescent="0.25">
      <c r="B30" s="21" t="s">
        <v>16</v>
      </c>
      <c r="C30" s="22">
        <v>0.5</v>
      </c>
      <c r="D30" s="22"/>
      <c r="E30" s="23">
        <v>0.5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2019-01-14T10:12:30Z</dcterms:modified>
</cp:coreProperties>
</file>