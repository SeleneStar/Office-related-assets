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7F580D5-BB53-4AA0-8976-C741033E208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8" i="1" l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G17" i="1"/>
  <c r="F17" i="1"/>
  <c r="F4" i="1"/>
  <c r="F5" i="1"/>
  <c r="F6" i="1"/>
  <c r="F7" i="1"/>
  <c r="F8" i="1"/>
  <c r="F9" i="1"/>
  <c r="F10" i="1"/>
  <c r="F11" i="1"/>
  <c r="F12" i="1"/>
  <c r="F13" i="1"/>
  <c r="F14" i="1"/>
  <c r="F3" i="1"/>
</calcChain>
</file>

<file path=xl/sharedStrings.xml><?xml version="1.0" encoding="utf-8"?>
<sst xmlns="http://schemas.openxmlformats.org/spreadsheetml/2006/main" count="18" uniqueCount="12">
  <si>
    <t>等级</t>
  </si>
  <si>
    <t>薪资区
间中值</t>
  </si>
  <si>
    <t>薪资
最低值</t>
  </si>
  <si>
    <t>薪资
最高值</t>
  </si>
  <si>
    <t>最高-最低</t>
    <phoneticPr fontId="3" type="noConversion"/>
  </si>
  <si>
    <t>中值X</t>
    <phoneticPr fontId="3" type="noConversion"/>
  </si>
  <si>
    <t>上半部分</t>
    <phoneticPr fontId="3" type="noConversion"/>
  </si>
  <si>
    <t>下班部分</t>
    <phoneticPr fontId="3" type="noConversion"/>
  </si>
  <si>
    <t>x</t>
    <phoneticPr fontId="3" type="noConversion"/>
  </si>
  <si>
    <t>y</t>
    <phoneticPr fontId="3" type="noConversion"/>
  </si>
  <si>
    <t>条形辅助最高点</t>
    <phoneticPr fontId="3" type="noConversion"/>
  </si>
  <si>
    <t>条形辅助中值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</si>
</sst>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_ * #,##0.0_ ;_ * \-#,##0.0_ ;_ * &quot;-&quot;??_ ;_ @_ "/>
    <numFmt numFmtId="177" formatCode="_ * #,##0_ ;_ * \-#,##0_ ;_ * &quot;-&quot;??_ ;_ @_ 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77" fontId="4" fillId="0" borderId="2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177" fontId="4" fillId="0" borderId="5" xfId="1" applyNumberFormat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176" fontId="2" fillId="0" borderId="3" xfId="1" applyNumberFormat="1" applyFont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177" fontId="4" fillId="0" borderId="4" xfId="1" applyNumberFormat="1" applyFont="1" applyBorder="1" applyAlignment="1">
      <alignment horizontal="right" vertical="center"/>
    </xf>
    <xf numFmtId="176" fontId="2" fillId="0" borderId="6" xfId="1" applyNumberFormat="1" applyFont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7307428-44B8-4A86-BB90-3FB66B5EF09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薪酬带宽图</a:t>
            </a:r>
            <a:endParaRPr lang="zh-CN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3950617283950615E-2"/>
          <c:y val="0.13702951604733621"/>
          <c:w val="0.9320987654320988"/>
          <c:h val="0.76005401498725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Sheet1!$D$3:$D$14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E-4193-8387-41CAA36EB980}"/>
            </c:ext>
          </c:extLst>
        </c:ser>
        <c:ser>
          <c:idx val="2"/>
          <c:order val="1"/>
          <c:tx>
            <c:strRef>
              <c:f>Sheet1!$F$2</c:f>
              <c:strCache>
                <c:ptCount val="1"/>
                <c:pt idx="0">
                  <c:v>最高-最低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Sheet1!$F$3:$F$14</c:f>
              <c:numCache>
                <c:formatCode>_ * #,##0_ ;_ * \-#,##0_ ;_ * "-"??_ ;_ @_ </c:formatCode>
                <c:ptCount val="12"/>
                <c:pt idx="0">
                  <c:v>735</c:v>
                </c:pt>
                <c:pt idx="1">
                  <c:v>1040</c:v>
                </c:pt>
                <c:pt idx="2">
                  <c:v>1300</c:v>
                </c:pt>
                <c:pt idx="3">
                  <c:v>1635</c:v>
                </c:pt>
                <c:pt idx="4">
                  <c:v>1705</c:v>
                </c:pt>
                <c:pt idx="5">
                  <c:v>1865</c:v>
                </c:pt>
                <c:pt idx="6">
                  <c:v>1970</c:v>
                </c:pt>
                <c:pt idx="7">
                  <c:v>2410</c:v>
                </c:pt>
                <c:pt idx="8">
                  <c:v>4440</c:v>
                </c:pt>
                <c:pt idx="9">
                  <c:v>5245</c:v>
                </c:pt>
                <c:pt idx="10">
                  <c:v>5550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E-4193-8387-41CAA36E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60557448"/>
        <c:axId val="1160552856"/>
      </c:barChart>
      <c:lineChart>
        <c:grouping val="standard"/>
        <c:varyColors val="0"/>
        <c:ser>
          <c:idx val="0"/>
          <c:order val="2"/>
          <c:tx>
            <c:strRef>
              <c:f>Sheet1!$E$2</c:f>
              <c:strCache>
                <c:ptCount val="1"/>
                <c:pt idx="0">
                  <c:v>薪资
最高值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Sheet1!$E$3:$E$14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7E-4193-8387-41CAA36E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57448"/>
        <c:axId val="1160552856"/>
      </c:lineChart>
      <c:scatterChart>
        <c:scatterStyle val="lineMarker"/>
        <c:varyColors val="0"/>
        <c:ser>
          <c:idx val="3"/>
          <c:order val="3"/>
          <c:tx>
            <c:strRef>
              <c:f>Sheet1!$C$2</c:f>
              <c:strCache>
                <c:ptCount val="1"/>
                <c:pt idx="0">
                  <c:v>薪资区
间中值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Sheet1!$C$3:$C$14</c:f>
              <c:numCache>
                <c:formatCode>_ * #,##0_ ;_ * \-#,##0_ ;_ * "-"??_ ;_ @_ </c:formatCode>
                <c:ptCount val="12"/>
                <c:pt idx="0">
                  <c:v>4055</c:v>
                </c:pt>
                <c:pt idx="1">
                  <c:v>5720</c:v>
                </c:pt>
                <c:pt idx="2">
                  <c:v>6550</c:v>
                </c:pt>
                <c:pt idx="3">
                  <c:v>7620</c:v>
                </c:pt>
                <c:pt idx="4">
                  <c:v>7955</c:v>
                </c:pt>
                <c:pt idx="5">
                  <c:v>8400</c:v>
                </c:pt>
                <c:pt idx="6">
                  <c:v>8855</c:v>
                </c:pt>
                <c:pt idx="7">
                  <c:v>9240</c:v>
                </c:pt>
                <c:pt idx="8">
                  <c:v>13315</c:v>
                </c:pt>
                <c:pt idx="9">
                  <c:v>14280</c:v>
                </c:pt>
                <c:pt idx="10">
                  <c:v>15110</c:v>
                </c:pt>
                <c:pt idx="11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F7E-4193-8387-41CAA36E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57448"/>
        <c:axId val="1160552856"/>
      </c:scatterChart>
      <c:catAx>
        <c:axId val="116055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0552856"/>
        <c:crosses val="autoZero"/>
        <c:auto val="1"/>
        <c:lblAlgn val="ctr"/>
        <c:lblOffset val="100"/>
        <c:noMultiLvlLbl val="0"/>
      </c:catAx>
      <c:valAx>
        <c:axId val="116055285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605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3.8188247302420493E-2"/>
          <c:y val="0.15508032510428951"/>
          <c:w val="0.15819140662972683"/>
          <c:h val="0.1079343705225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薪酬带宽图</a:t>
            </a:r>
            <a:endParaRPr lang="zh-CN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3950617283950615E-2"/>
          <c:y val="0.13702951604733621"/>
          <c:w val="0.9320987654320988"/>
          <c:h val="0.76005401498725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Sheet1!$D$3:$D$14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C-4B05-9BC8-A78B9159FA6D}"/>
            </c:ext>
          </c:extLst>
        </c:ser>
        <c:ser>
          <c:idx val="2"/>
          <c:order val="1"/>
          <c:tx>
            <c:strRef>
              <c:f>Sheet1!$F$2</c:f>
              <c:strCache>
                <c:ptCount val="1"/>
                <c:pt idx="0">
                  <c:v>最高-最低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Sheet1!$F$3:$F$14</c:f>
              <c:numCache>
                <c:formatCode>_ * #,##0_ ;_ * \-#,##0_ ;_ * "-"??_ ;_ @_ </c:formatCode>
                <c:ptCount val="12"/>
                <c:pt idx="0">
                  <c:v>735</c:v>
                </c:pt>
                <c:pt idx="1">
                  <c:v>1040</c:v>
                </c:pt>
                <c:pt idx="2">
                  <c:v>1300</c:v>
                </c:pt>
                <c:pt idx="3">
                  <c:v>1635</c:v>
                </c:pt>
                <c:pt idx="4">
                  <c:v>1705</c:v>
                </c:pt>
                <c:pt idx="5">
                  <c:v>1865</c:v>
                </c:pt>
                <c:pt idx="6">
                  <c:v>1970</c:v>
                </c:pt>
                <c:pt idx="7">
                  <c:v>2410</c:v>
                </c:pt>
                <c:pt idx="8">
                  <c:v>4440</c:v>
                </c:pt>
                <c:pt idx="9">
                  <c:v>5245</c:v>
                </c:pt>
                <c:pt idx="10">
                  <c:v>5550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C-4B05-9BC8-A78B9159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60557448"/>
        <c:axId val="1160552856"/>
      </c:barChart>
      <c:lineChart>
        <c:grouping val="standard"/>
        <c:varyColors val="0"/>
        <c:ser>
          <c:idx val="0"/>
          <c:order val="2"/>
          <c:tx>
            <c:strRef>
              <c:f>Sheet1!$E$2</c:f>
              <c:strCache>
                <c:ptCount val="1"/>
                <c:pt idx="0">
                  <c:v>薪资
最高值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Sheet1!$E$3:$E$14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C-4B05-9BC8-A78B9159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57448"/>
        <c:axId val="1160552856"/>
      </c:lineChart>
      <c:scatterChart>
        <c:scatterStyle val="lineMarker"/>
        <c:varyColors val="0"/>
        <c:ser>
          <c:idx val="3"/>
          <c:order val="3"/>
          <c:tx>
            <c:strRef>
              <c:f>Sheet1!$C$2</c:f>
              <c:strCache>
                <c:ptCount val="1"/>
                <c:pt idx="0">
                  <c:v>薪资区
间中值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Sheet1!$C$3:$C$14</c:f>
              <c:numCache>
                <c:formatCode>_ * #,##0_ ;_ * \-#,##0_ ;_ * "-"??_ ;_ @_ </c:formatCode>
                <c:ptCount val="12"/>
                <c:pt idx="0">
                  <c:v>4055</c:v>
                </c:pt>
                <c:pt idx="1">
                  <c:v>5720</c:v>
                </c:pt>
                <c:pt idx="2">
                  <c:v>6550</c:v>
                </c:pt>
                <c:pt idx="3">
                  <c:v>7620</c:v>
                </c:pt>
                <c:pt idx="4">
                  <c:v>7955</c:v>
                </c:pt>
                <c:pt idx="5">
                  <c:v>8400</c:v>
                </c:pt>
                <c:pt idx="6">
                  <c:v>8855</c:v>
                </c:pt>
                <c:pt idx="7">
                  <c:v>9240</c:v>
                </c:pt>
                <c:pt idx="8">
                  <c:v>13315</c:v>
                </c:pt>
                <c:pt idx="9">
                  <c:v>14280</c:v>
                </c:pt>
                <c:pt idx="10">
                  <c:v>15110</c:v>
                </c:pt>
                <c:pt idx="11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FC-4B05-9BC8-A78B9159F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57448"/>
        <c:axId val="1160552856"/>
      </c:scatterChart>
      <c:catAx>
        <c:axId val="116055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0552856"/>
        <c:crosses val="autoZero"/>
        <c:auto val="1"/>
        <c:lblAlgn val="ctr"/>
        <c:lblOffset val="100"/>
        <c:noMultiLvlLbl val="0"/>
      </c:catAx>
      <c:valAx>
        <c:axId val="116055285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605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3.8188247302420493E-2"/>
          <c:y val="0.15508032510428951"/>
          <c:w val="0.15819140662972683"/>
          <c:h val="0.1079343705225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薪酬带宽图</a:t>
            </a:r>
            <a:endParaRPr lang="zh-CN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3950617283950615E-2"/>
          <c:y val="0.13702951604733621"/>
          <c:w val="0.9320987654320988"/>
          <c:h val="0.76005401498725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Sheet1!$D$3:$D$14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E-4BB3-845A-6B8A47B7AB1B}"/>
            </c:ext>
          </c:extLst>
        </c:ser>
        <c:ser>
          <c:idx val="2"/>
          <c:order val="1"/>
          <c:tx>
            <c:strRef>
              <c:f>Sheet1!$F$2</c:f>
              <c:strCache>
                <c:ptCount val="1"/>
                <c:pt idx="0">
                  <c:v>最高-最低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Sheet1!$F$3:$F$14</c:f>
              <c:numCache>
                <c:formatCode>_ * #,##0_ ;_ * \-#,##0_ ;_ * "-"??_ ;_ @_ </c:formatCode>
                <c:ptCount val="12"/>
                <c:pt idx="0">
                  <c:v>735</c:v>
                </c:pt>
                <c:pt idx="1">
                  <c:v>1040</c:v>
                </c:pt>
                <c:pt idx="2">
                  <c:v>1300</c:v>
                </c:pt>
                <c:pt idx="3">
                  <c:v>1635</c:v>
                </c:pt>
                <c:pt idx="4">
                  <c:v>1705</c:v>
                </c:pt>
                <c:pt idx="5">
                  <c:v>1865</c:v>
                </c:pt>
                <c:pt idx="6">
                  <c:v>1970</c:v>
                </c:pt>
                <c:pt idx="7">
                  <c:v>2410</c:v>
                </c:pt>
                <c:pt idx="8">
                  <c:v>4440</c:v>
                </c:pt>
                <c:pt idx="9">
                  <c:v>5245</c:v>
                </c:pt>
                <c:pt idx="10">
                  <c:v>5550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E-4BB3-845A-6B8A47B7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60557448"/>
        <c:axId val="1160552856"/>
      </c:barChart>
      <c:lineChart>
        <c:grouping val="standard"/>
        <c:varyColors val="0"/>
        <c:ser>
          <c:idx val="0"/>
          <c:order val="2"/>
          <c:tx>
            <c:strRef>
              <c:f>Sheet1!$E$2</c:f>
              <c:strCache>
                <c:ptCount val="1"/>
                <c:pt idx="0">
                  <c:v>薪资
最高值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Sheet1!$E$3:$E$14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E-4BB3-845A-6B8A47B7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57448"/>
        <c:axId val="1160552856"/>
      </c:lineChart>
      <c:scatterChart>
        <c:scatterStyle val="lineMarker"/>
        <c:varyColors val="0"/>
        <c:ser>
          <c:idx val="3"/>
          <c:order val="3"/>
          <c:tx>
            <c:strRef>
              <c:f>Sheet1!$C$2</c:f>
              <c:strCache>
                <c:ptCount val="1"/>
                <c:pt idx="0">
                  <c:v>薪资区
间中值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Sheet1!$G$3:$G$14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Sheet1!$C$3:$C$14</c:f>
              <c:numCache>
                <c:formatCode>_ * #,##0_ ;_ * \-#,##0_ ;_ * "-"??_ ;_ @_ </c:formatCode>
                <c:ptCount val="12"/>
                <c:pt idx="0">
                  <c:v>4055</c:v>
                </c:pt>
                <c:pt idx="1">
                  <c:v>5720</c:v>
                </c:pt>
                <c:pt idx="2">
                  <c:v>6550</c:v>
                </c:pt>
                <c:pt idx="3">
                  <c:v>7620</c:v>
                </c:pt>
                <c:pt idx="4">
                  <c:v>7955</c:v>
                </c:pt>
                <c:pt idx="5">
                  <c:v>8400</c:v>
                </c:pt>
                <c:pt idx="6">
                  <c:v>8855</c:v>
                </c:pt>
                <c:pt idx="7">
                  <c:v>9240</c:v>
                </c:pt>
                <c:pt idx="8">
                  <c:v>13315</c:v>
                </c:pt>
                <c:pt idx="9">
                  <c:v>14280</c:v>
                </c:pt>
                <c:pt idx="10">
                  <c:v>15110</c:v>
                </c:pt>
                <c:pt idx="11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EE-4BB3-845A-6B8A47B7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57448"/>
        <c:axId val="1160552856"/>
      </c:scatterChart>
      <c:catAx>
        <c:axId val="116055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0552856"/>
        <c:crosses val="autoZero"/>
        <c:auto val="1"/>
        <c:lblAlgn val="ctr"/>
        <c:lblOffset val="100"/>
        <c:noMultiLvlLbl val="0"/>
      </c:catAx>
      <c:valAx>
        <c:axId val="116055285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605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3.8188247302420493E-2"/>
          <c:y val="0.15508032510428951"/>
          <c:w val="0.15819140662972683"/>
          <c:h val="0.1079343705225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Arial" panose="020B0604020202020204" pitchFamily="34" charset="0"/>
              </a:defRPr>
            </a:pPr>
            <a:r>
              <a:rPr lang="zh-CN" altLang="en-US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薪酬带宽图</a:t>
            </a:r>
            <a:endParaRPr lang="zh-CN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Sheet1!$D$16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Sheet1!$B$17:$B$28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Sheet1!$D$17:$D$28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5-4BA6-8458-13A0EA302A99}"/>
            </c:ext>
          </c:extLst>
        </c:ser>
        <c:ser>
          <c:idx val="1"/>
          <c:order val="1"/>
          <c:tx>
            <c:strRef>
              <c:f>Sheet1!$F$16</c:f>
              <c:strCache>
                <c:ptCount val="1"/>
                <c:pt idx="0">
                  <c:v>上半部分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Sheet1!$B$17:$B$28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Sheet1!$F$17:$F$28</c:f>
              <c:numCache>
                <c:formatCode>_ * #,##0_ ;_ * \-#,##0_ ;_ * "-"??_ ;_ @_ </c:formatCode>
                <c:ptCount val="12"/>
                <c:pt idx="0">
                  <c:v>370</c:v>
                </c:pt>
                <c:pt idx="1">
                  <c:v>520</c:v>
                </c:pt>
                <c:pt idx="2">
                  <c:v>650</c:v>
                </c:pt>
                <c:pt idx="3">
                  <c:v>815</c:v>
                </c:pt>
                <c:pt idx="4">
                  <c:v>850</c:v>
                </c:pt>
                <c:pt idx="5">
                  <c:v>935</c:v>
                </c:pt>
                <c:pt idx="6">
                  <c:v>985</c:v>
                </c:pt>
                <c:pt idx="7">
                  <c:v>1205</c:v>
                </c:pt>
                <c:pt idx="8">
                  <c:v>2220</c:v>
                </c:pt>
                <c:pt idx="9">
                  <c:v>2625</c:v>
                </c:pt>
                <c:pt idx="10">
                  <c:v>2775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5-4BA6-8458-13A0EA302A99}"/>
            </c:ext>
          </c:extLst>
        </c:ser>
        <c:ser>
          <c:idx val="2"/>
          <c:order val="2"/>
          <c:tx>
            <c:strRef>
              <c:f>Sheet1!$G$16</c:f>
              <c:strCache>
                <c:ptCount val="1"/>
                <c:pt idx="0">
                  <c:v>下班部分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Sheet1!$B$17:$B$28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Sheet1!$G$17:$G$28</c:f>
              <c:numCache>
                <c:formatCode>_ * #,##0_ ;_ * \-#,##0_ ;_ * "-"??_ ;_ @_ </c:formatCode>
                <c:ptCount val="12"/>
                <c:pt idx="0">
                  <c:v>365</c:v>
                </c:pt>
                <c:pt idx="1">
                  <c:v>520</c:v>
                </c:pt>
                <c:pt idx="2">
                  <c:v>650</c:v>
                </c:pt>
                <c:pt idx="3">
                  <c:v>820</c:v>
                </c:pt>
                <c:pt idx="4">
                  <c:v>855</c:v>
                </c:pt>
                <c:pt idx="5">
                  <c:v>930</c:v>
                </c:pt>
                <c:pt idx="6">
                  <c:v>985</c:v>
                </c:pt>
                <c:pt idx="7">
                  <c:v>1205</c:v>
                </c:pt>
                <c:pt idx="8">
                  <c:v>2220</c:v>
                </c:pt>
                <c:pt idx="9">
                  <c:v>2620</c:v>
                </c:pt>
                <c:pt idx="10">
                  <c:v>2775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5-4BA6-8458-13A0EA30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9918256"/>
        <c:axId val="1169924960"/>
      </c:barChart>
      <c:lineChart>
        <c:grouping val="standard"/>
        <c:varyColors val="0"/>
        <c:ser>
          <c:idx val="3"/>
          <c:order val="3"/>
          <c:tx>
            <c:strRef>
              <c:f>Sheet1!$E$16</c:f>
              <c:strCache>
                <c:ptCount val="1"/>
                <c:pt idx="0">
                  <c:v>薪资
最高值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Sheet1!$E$17:$E$28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5-4BA6-8458-13A0EA30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918256"/>
        <c:axId val="1169924960"/>
      </c:lineChart>
      <c:catAx>
        <c:axId val="9899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169924960"/>
        <c:crosses val="autoZero"/>
        <c:auto val="1"/>
        <c:lblAlgn val="ctr"/>
        <c:lblOffset val="100"/>
        <c:noMultiLvlLbl val="0"/>
      </c:catAx>
      <c:valAx>
        <c:axId val="116992496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9899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510936132983376E-2"/>
          <c:y val="0.14765737616131316"/>
          <c:w val="0.84781319001791444"/>
          <c:h val="0.806166501914533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Sheet1!$D$3:$D$14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F-45CE-A7CD-382A18F2D7C7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最高-最低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Sheet1!$F$3:$F$14</c:f>
              <c:numCache>
                <c:formatCode>_ * #,##0_ ;_ * \-#,##0_ ;_ * "-"??_ ;_ @_ </c:formatCode>
                <c:ptCount val="12"/>
                <c:pt idx="0">
                  <c:v>735</c:v>
                </c:pt>
                <c:pt idx="1">
                  <c:v>1040</c:v>
                </c:pt>
                <c:pt idx="2">
                  <c:v>1300</c:v>
                </c:pt>
                <c:pt idx="3">
                  <c:v>1635</c:v>
                </c:pt>
                <c:pt idx="4">
                  <c:v>1705</c:v>
                </c:pt>
                <c:pt idx="5">
                  <c:v>1865</c:v>
                </c:pt>
                <c:pt idx="6">
                  <c:v>1970</c:v>
                </c:pt>
                <c:pt idx="7">
                  <c:v>2410</c:v>
                </c:pt>
                <c:pt idx="8">
                  <c:v>4440</c:v>
                </c:pt>
                <c:pt idx="9">
                  <c:v>5245</c:v>
                </c:pt>
                <c:pt idx="10">
                  <c:v>5550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F-45CE-A7CD-382A18F2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84506296"/>
        <c:axId val="1284509576"/>
      </c:barChart>
      <c:scatterChart>
        <c:scatterStyle val="lineMarker"/>
        <c:varyColors val="0"/>
        <c:ser>
          <c:idx val="2"/>
          <c:order val="2"/>
          <c:tx>
            <c:strRef>
              <c:f>Sheet1!$B$30</c:f>
              <c:strCache>
                <c:ptCount val="1"/>
                <c:pt idx="0">
                  <c:v>条形辅助最高点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Sheet1!$B$32:$B$43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xVal>
          <c:yVal>
            <c:numRef>
              <c:f>Sheet1!$C$32:$C$43</c:f>
              <c:numCache>
                <c:formatCode>_ * #,##0.0_ ;_ * \-#,##0.0_ ;_ * "-"??_ ;_ @_ </c:formatCode>
                <c:ptCount val="12"/>
                <c:pt idx="0">
                  <c:v>11.5</c:v>
                </c:pt>
                <c:pt idx="1">
                  <c:v>10.5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6.5</c:v>
                </c:pt>
                <c:pt idx="6">
                  <c:v>5.5</c:v>
                </c:pt>
                <c:pt idx="7">
                  <c:v>4.5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2F-45CE-A7CD-382A18F2D7C7}"/>
            </c:ext>
          </c:extLst>
        </c:ser>
        <c:ser>
          <c:idx val="3"/>
          <c:order val="3"/>
          <c:tx>
            <c:v>薪酬中值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Sheet1!$E$32:$E$43</c:f>
              <c:numCache>
                <c:formatCode>_ * #,##0_ ;_ * \-#,##0_ ;_ * "-"??_ ;_ @_ </c:formatCode>
                <c:ptCount val="12"/>
                <c:pt idx="0">
                  <c:v>4055</c:v>
                </c:pt>
                <c:pt idx="1">
                  <c:v>5720</c:v>
                </c:pt>
                <c:pt idx="2">
                  <c:v>6550</c:v>
                </c:pt>
                <c:pt idx="3">
                  <c:v>7620</c:v>
                </c:pt>
                <c:pt idx="4">
                  <c:v>7955</c:v>
                </c:pt>
                <c:pt idx="5">
                  <c:v>8400</c:v>
                </c:pt>
                <c:pt idx="6">
                  <c:v>8855</c:v>
                </c:pt>
                <c:pt idx="7">
                  <c:v>9240</c:v>
                </c:pt>
                <c:pt idx="8">
                  <c:v>13315</c:v>
                </c:pt>
                <c:pt idx="9">
                  <c:v>14280</c:v>
                </c:pt>
                <c:pt idx="10">
                  <c:v>15110</c:v>
                </c:pt>
                <c:pt idx="11">
                  <c:v>18000</c:v>
                </c:pt>
              </c:numCache>
            </c:numRef>
          </c:xVal>
          <c:yVal>
            <c:numRef>
              <c:f>Sheet1!$F$32:$F$43</c:f>
              <c:numCache>
                <c:formatCode>_ * #,##0.0_ ;_ * \-#,##0.0_ ;_ * "-"??_ ;_ @_ </c:formatCode>
                <c:ptCount val="12"/>
                <c:pt idx="0">
                  <c:v>11.5</c:v>
                </c:pt>
                <c:pt idx="1">
                  <c:v>10.5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6.5</c:v>
                </c:pt>
                <c:pt idx="6">
                  <c:v>5.5</c:v>
                </c:pt>
                <c:pt idx="7">
                  <c:v>4.5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2F-45CE-A7CD-382A18F2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62496"/>
        <c:axId val="580259216"/>
      </c:scatterChart>
      <c:catAx>
        <c:axId val="1284506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84509576"/>
        <c:crosses val="autoZero"/>
        <c:auto val="1"/>
        <c:lblAlgn val="ctr"/>
        <c:lblOffset val="100"/>
        <c:noMultiLvlLbl val="0"/>
      </c:catAx>
      <c:valAx>
        <c:axId val="1284509576"/>
        <c:scaling>
          <c:orientation val="minMax"/>
        </c:scaling>
        <c:delete val="0"/>
        <c:axPos val="t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84506296"/>
        <c:crosses val="autoZero"/>
        <c:crossBetween val="between"/>
      </c:valAx>
      <c:valAx>
        <c:axId val="580259216"/>
        <c:scaling>
          <c:orientation val="minMax"/>
          <c:max val="12"/>
        </c:scaling>
        <c:delete val="0"/>
        <c:axPos val="r"/>
        <c:numFmt formatCode="_ * #,##0.0_ ;_ * \-#,##0.0_ ;_ * &quot;-&quot;??_ ;_ @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80262496"/>
        <c:crosses val="max"/>
        <c:crossBetween val="midCat"/>
      </c:valAx>
      <c:valAx>
        <c:axId val="580262496"/>
        <c:scaling>
          <c:orientation val="minMax"/>
        </c:scaling>
        <c:delete val="0"/>
        <c:axPos val="t"/>
        <c:numFmt formatCode="_ * #,##0_ ;_ * \-#,##0_ ;_ * &quot;-&quot;??_ ;_ @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8025921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510936132983376E-2"/>
          <c:y val="0.14765737616131316"/>
          <c:w val="0.84781319001791444"/>
          <c:h val="0.806166501914533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薪资
最低值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Sheet1!$D$3:$D$14</c:f>
              <c:numCache>
                <c:formatCode>_ * #,##0_ ;_ * \-#,##0_ ;_ * "-"??_ ;_ @_ </c:formatCode>
                <c:ptCount val="12"/>
                <c:pt idx="0">
                  <c:v>3685</c:v>
                </c:pt>
                <c:pt idx="1">
                  <c:v>5200</c:v>
                </c:pt>
                <c:pt idx="2">
                  <c:v>5900</c:v>
                </c:pt>
                <c:pt idx="3">
                  <c:v>6805</c:v>
                </c:pt>
                <c:pt idx="4">
                  <c:v>7105</c:v>
                </c:pt>
                <c:pt idx="5">
                  <c:v>7465</c:v>
                </c:pt>
                <c:pt idx="6">
                  <c:v>7870</c:v>
                </c:pt>
                <c:pt idx="7">
                  <c:v>8035</c:v>
                </c:pt>
                <c:pt idx="8">
                  <c:v>11095</c:v>
                </c:pt>
                <c:pt idx="9">
                  <c:v>11655</c:v>
                </c:pt>
                <c:pt idx="10">
                  <c:v>12335</c:v>
                </c:pt>
                <c:pt idx="11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3-4451-B734-074BB285E21B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最高-最低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Sheet1!$F$3:$F$14</c:f>
              <c:numCache>
                <c:formatCode>_ * #,##0_ ;_ * \-#,##0_ ;_ * "-"??_ ;_ @_ </c:formatCode>
                <c:ptCount val="12"/>
                <c:pt idx="0">
                  <c:v>735</c:v>
                </c:pt>
                <c:pt idx="1">
                  <c:v>1040</c:v>
                </c:pt>
                <c:pt idx="2">
                  <c:v>1300</c:v>
                </c:pt>
                <c:pt idx="3">
                  <c:v>1635</c:v>
                </c:pt>
                <c:pt idx="4">
                  <c:v>1705</c:v>
                </c:pt>
                <c:pt idx="5">
                  <c:v>1865</c:v>
                </c:pt>
                <c:pt idx="6">
                  <c:v>1970</c:v>
                </c:pt>
                <c:pt idx="7">
                  <c:v>2410</c:v>
                </c:pt>
                <c:pt idx="8">
                  <c:v>4440</c:v>
                </c:pt>
                <c:pt idx="9">
                  <c:v>5245</c:v>
                </c:pt>
                <c:pt idx="10">
                  <c:v>5550</c:v>
                </c:pt>
                <c:pt idx="11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3-4451-B734-074BB285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84506296"/>
        <c:axId val="1284509576"/>
      </c:barChart>
      <c:scatterChart>
        <c:scatterStyle val="lineMarker"/>
        <c:varyColors val="0"/>
        <c:ser>
          <c:idx val="2"/>
          <c:order val="2"/>
          <c:tx>
            <c:strRef>
              <c:f>Sheet1!$B$30</c:f>
              <c:strCache>
                <c:ptCount val="1"/>
                <c:pt idx="0">
                  <c:v>条形辅助最高点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Sheet1!$B$32:$B$43</c:f>
              <c:numCache>
                <c:formatCode>_ * #,##0_ ;_ * \-#,##0_ ;_ * "-"??_ ;_ @_ </c:formatCode>
                <c:ptCount val="12"/>
                <c:pt idx="0">
                  <c:v>4420</c:v>
                </c:pt>
                <c:pt idx="1">
                  <c:v>6240</c:v>
                </c:pt>
                <c:pt idx="2">
                  <c:v>7200</c:v>
                </c:pt>
                <c:pt idx="3">
                  <c:v>8440</c:v>
                </c:pt>
                <c:pt idx="4">
                  <c:v>8810</c:v>
                </c:pt>
                <c:pt idx="5">
                  <c:v>9330</c:v>
                </c:pt>
                <c:pt idx="6">
                  <c:v>9840</c:v>
                </c:pt>
                <c:pt idx="7">
                  <c:v>10445</c:v>
                </c:pt>
                <c:pt idx="8">
                  <c:v>15535</c:v>
                </c:pt>
                <c:pt idx="9">
                  <c:v>16900</c:v>
                </c:pt>
                <c:pt idx="10">
                  <c:v>17885</c:v>
                </c:pt>
                <c:pt idx="11">
                  <c:v>21600</c:v>
                </c:pt>
              </c:numCache>
            </c:numRef>
          </c:xVal>
          <c:yVal>
            <c:numRef>
              <c:f>Sheet1!$C$32:$C$43</c:f>
              <c:numCache>
                <c:formatCode>_ * #,##0.0_ ;_ * \-#,##0.0_ ;_ * "-"??_ ;_ @_ </c:formatCode>
                <c:ptCount val="12"/>
                <c:pt idx="0">
                  <c:v>11.5</c:v>
                </c:pt>
                <c:pt idx="1">
                  <c:v>10.5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6.5</c:v>
                </c:pt>
                <c:pt idx="6">
                  <c:v>5.5</c:v>
                </c:pt>
                <c:pt idx="7">
                  <c:v>4.5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3-4451-B734-074BB285E21B}"/>
            </c:ext>
          </c:extLst>
        </c:ser>
        <c:ser>
          <c:idx val="3"/>
          <c:order val="3"/>
          <c:tx>
            <c:v>薪酬中值</c:v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Sheet1!$E$32:$E$43</c:f>
              <c:numCache>
                <c:formatCode>_ * #,##0_ ;_ * \-#,##0_ ;_ * "-"??_ ;_ @_ </c:formatCode>
                <c:ptCount val="12"/>
                <c:pt idx="0">
                  <c:v>4055</c:v>
                </c:pt>
                <c:pt idx="1">
                  <c:v>5720</c:v>
                </c:pt>
                <c:pt idx="2">
                  <c:v>6550</c:v>
                </c:pt>
                <c:pt idx="3">
                  <c:v>7620</c:v>
                </c:pt>
                <c:pt idx="4">
                  <c:v>7955</c:v>
                </c:pt>
                <c:pt idx="5">
                  <c:v>8400</c:v>
                </c:pt>
                <c:pt idx="6">
                  <c:v>8855</c:v>
                </c:pt>
                <c:pt idx="7">
                  <c:v>9240</c:v>
                </c:pt>
                <c:pt idx="8">
                  <c:v>13315</c:v>
                </c:pt>
                <c:pt idx="9">
                  <c:v>14280</c:v>
                </c:pt>
                <c:pt idx="10">
                  <c:v>15110</c:v>
                </c:pt>
                <c:pt idx="11">
                  <c:v>18000</c:v>
                </c:pt>
              </c:numCache>
            </c:numRef>
          </c:xVal>
          <c:yVal>
            <c:numRef>
              <c:f>Sheet1!$F$32:$F$43</c:f>
              <c:numCache>
                <c:formatCode>_ * #,##0.0_ ;_ * \-#,##0.0_ ;_ * "-"??_ ;_ @_ </c:formatCode>
                <c:ptCount val="12"/>
                <c:pt idx="0">
                  <c:v>11.5</c:v>
                </c:pt>
                <c:pt idx="1">
                  <c:v>10.5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6.5</c:v>
                </c:pt>
                <c:pt idx="6">
                  <c:v>5.5</c:v>
                </c:pt>
                <c:pt idx="7">
                  <c:v>4.5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23-4451-B734-074BB285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62496"/>
        <c:axId val="580259216"/>
      </c:scatterChart>
      <c:catAx>
        <c:axId val="1284506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84509576"/>
        <c:crosses val="autoZero"/>
        <c:auto val="1"/>
        <c:lblAlgn val="ctr"/>
        <c:lblOffset val="100"/>
        <c:noMultiLvlLbl val="0"/>
      </c:catAx>
      <c:valAx>
        <c:axId val="1284509576"/>
        <c:scaling>
          <c:orientation val="minMax"/>
        </c:scaling>
        <c:delete val="0"/>
        <c:axPos val="t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284506296"/>
        <c:crosses val="autoZero"/>
        <c:crossBetween val="between"/>
      </c:valAx>
      <c:valAx>
        <c:axId val="580259216"/>
        <c:scaling>
          <c:orientation val="minMax"/>
          <c:max val="12"/>
        </c:scaling>
        <c:delete val="0"/>
        <c:axPos val="r"/>
        <c:numFmt formatCode="_ * #,##0.0_ ;_ * \-#,##0.0_ ;_ * &quot;-&quot;??_ ;_ @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80262496"/>
        <c:crosses val="max"/>
        <c:crossBetween val="midCat"/>
      </c:valAx>
      <c:valAx>
        <c:axId val="580262496"/>
        <c:scaling>
          <c:orientation val="minMax"/>
        </c:scaling>
        <c:delete val="0"/>
        <c:axPos val="t"/>
        <c:numFmt formatCode="_ * #,##0_ ;_ * \-#,##0_ ;_ * &quot;-&quot;??_ ;_ @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8025921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458415-D796-4900-B63C-B5CE0DEB4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CF17AEF-B5BA-44D5-AE3C-1092A2BA8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26</xdr:col>
      <xdr:colOff>0</xdr:colOff>
      <xdr:row>21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4E42006-305A-439F-A2D3-C21DDB5FC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238125</xdr:colOff>
      <xdr:row>6</xdr:row>
      <xdr:rowOff>76200</xdr:rowOff>
    </xdr:from>
    <xdr:to>
      <xdr:col>27</xdr:col>
      <xdr:colOff>454125</xdr:colOff>
      <xdr:row>6</xdr:row>
      <xdr:rowOff>76200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CFD1B8CE-EAA6-42B3-A31A-0B386BFA6DD4}"/>
            </a:ext>
          </a:extLst>
        </xdr:cNvPr>
        <xdr:cNvCxnSpPr/>
      </xdr:nvCxnSpPr>
      <xdr:spPr>
        <a:xfrm>
          <a:off x="18087975" y="1276350"/>
          <a:ext cx="216000" cy="0"/>
        </a:xfrm>
        <a:prstGeom prst="line">
          <a:avLst/>
        </a:prstGeom>
        <a:ln w="1905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6A30CC0-0DA9-496C-96E1-AB4BAF077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20</xdr:col>
      <xdr:colOff>0</xdr:colOff>
      <xdr:row>41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54BB598-85A2-4F99-B794-8F78F974A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21</xdr:row>
      <xdr:rowOff>0</xdr:rowOff>
    </xdr:from>
    <xdr:to>
      <xdr:col>26</xdr:col>
      <xdr:colOff>0</xdr:colOff>
      <xdr:row>41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DA544FF-5387-41E7-8D59-B8DEC3F02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28575</xdr:colOff>
      <xdr:row>31</xdr:row>
      <xdr:rowOff>85725</xdr:rowOff>
    </xdr:from>
    <xdr:to>
      <xdr:col>25</xdr:col>
      <xdr:colOff>28575</xdr:colOff>
      <xdr:row>32</xdr:row>
      <xdr:rowOff>58500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93A96C9F-3DFF-4F83-91C7-00F6D861E3D5}"/>
            </a:ext>
          </a:extLst>
        </xdr:cNvPr>
        <xdr:cNvCxnSpPr/>
      </xdr:nvCxnSpPr>
      <xdr:spPr>
        <a:xfrm>
          <a:off x="16525875" y="6286500"/>
          <a:ext cx="0" cy="1728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Goog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074F1"/>
      </a:accent1>
      <a:accent2>
        <a:srgbClr val="E63224"/>
      </a:accent2>
      <a:accent3>
        <a:srgbClr val="F5AD01"/>
      </a:accent3>
      <a:accent4>
        <a:srgbClr val="249B41"/>
      </a:accent4>
      <a:accent5>
        <a:srgbClr val="382F2A"/>
      </a:accent5>
      <a:accent6>
        <a:srgbClr val="BC70C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3"/>
  <sheetViews>
    <sheetView showGridLines="0" tabSelected="1" workbookViewId="0">
      <selection activeCell="B1" sqref="B1"/>
    </sheetView>
  </sheetViews>
  <sheetFormatPr defaultRowHeight="15.95" customHeight="1" x14ac:dyDescent="0.2"/>
  <cols>
    <col min="1" max="1" width="2.625" style="1" customWidth="1"/>
    <col min="2" max="2" width="7.875" style="1" customWidth="1"/>
    <col min="3" max="4" width="11.375" style="1" bestFit="1" customWidth="1"/>
    <col min="5" max="5" width="9.625" style="1" bestFit="1" customWidth="1"/>
    <col min="6" max="7" width="9" style="2"/>
    <col min="8" max="8" width="2.625" style="2" customWidth="1"/>
    <col min="9" max="9" width="9" style="2"/>
    <col min="10" max="16384" width="9" style="1"/>
  </cols>
  <sheetData>
    <row r="2" spans="2:8" ht="15.95" customHeight="1" x14ac:dyDescent="0.2">
      <c r="B2" s="7" t="s">
        <v>0</v>
      </c>
      <c r="C2" s="8" t="s">
        <v>1</v>
      </c>
      <c r="D2" s="8" t="s">
        <v>2</v>
      </c>
      <c r="E2" s="9" t="s">
        <v>3</v>
      </c>
      <c r="F2" s="15" t="s">
        <v>4</v>
      </c>
      <c r="G2" s="15" t="s">
        <v>5</v>
      </c>
      <c r="H2" s="15"/>
    </row>
    <row r="3" spans="2:8" ht="15.95" customHeight="1" x14ac:dyDescent="0.2">
      <c r="B3" s="10">
        <v>1</v>
      </c>
      <c r="C3" s="11">
        <v>4055</v>
      </c>
      <c r="D3" s="11">
        <v>3685</v>
      </c>
      <c r="E3" s="12">
        <v>4420</v>
      </c>
      <c r="F3" s="16">
        <f>E3-D3</f>
        <v>735</v>
      </c>
      <c r="G3" s="2">
        <v>1</v>
      </c>
    </row>
    <row r="4" spans="2:8" ht="15.95" customHeight="1" x14ac:dyDescent="0.2">
      <c r="B4" s="10">
        <v>2</v>
      </c>
      <c r="C4" s="11">
        <v>5720</v>
      </c>
      <c r="D4" s="11">
        <v>5200</v>
      </c>
      <c r="E4" s="12">
        <v>6240</v>
      </c>
      <c r="F4" s="16">
        <f t="shared" ref="F4:F14" si="0">E4-D4</f>
        <v>1040</v>
      </c>
      <c r="G4" s="2">
        <v>2</v>
      </c>
    </row>
    <row r="5" spans="2:8" ht="15.95" customHeight="1" x14ac:dyDescent="0.2">
      <c r="B5" s="10">
        <v>3</v>
      </c>
      <c r="C5" s="11">
        <v>6550</v>
      </c>
      <c r="D5" s="11">
        <v>5900</v>
      </c>
      <c r="E5" s="12">
        <v>7200</v>
      </c>
      <c r="F5" s="16">
        <f t="shared" si="0"/>
        <v>1300</v>
      </c>
      <c r="G5" s="2">
        <v>3</v>
      </c>
    </row>
    <row r="6" spans="2:8" ht="15.95" customHeight="1" x14ac:dyDescent="0.2">
      <c r="B6" s="10">
        <v>4</v>
      </c>
      <c r="C6" s="11">
        <v>7620</v>
      </c>
      <c r="D6" s="11">
        <v>6805</v>
      </c>
      <c r="E6" s="12">
        <v>8440</v>
      </c>
      <c r="F6" s="16">
        <f t="shared" si="0"/>
        <v>1635</v>
      </c>
      <c r="G6" s="2">
        <v>4</v>
      </c>
    </row>
    <row r="7" spans="2:8" ht="15.95" customHeight="1" x14ac:dyDescent="0.2">
      <c r="B7" s="10">
        <v>5</v>
      </c>
      <c r="C7" s="11">
        <v>7955</v>
      </c>
      <c r="D7" s="11">
        <v>7105</v>
      </c>
      <c r="E7" s="12">
        <v>8810</v>
      </c>
      <c r="F7" s="16">
        <f t="shared" si="0"/>
        <v>1705</v>
      </c>
      <c r="G7" s="2">
        <v>5</v>
      </c>
    </row>
    <row r="8" spans="2:8" ht="15.95" customHeight="1" x14ac:dyDescent="0.2">
      <c r="B8" s="10">
        <v>6</v>
      </c>
      <c r="C8" s="11">
        <v>8400</v>
      </c>
      <c r="D8" s="11">
        <v>7465</v>
      </c>
      <c r="E8" s="12">
        <v>9330</v>
      </c>
      <c r="F8" s="16">
        <f t="shared" si="0"/>
        <v>1865</v>
      </c>
      <c r="G8" s="2">
        <v>6</v>
      </c>
    </row>
    <row r="9" spans="2:8" ht="15.95" customHeight="1" x14ac:dyDescent="0.2">
      <c r="B9" s="10">
        <v>7</v>
      </c>
      <c r="C9" s="11">
        <v>8855</v>
      </c>
      <c r="D9" s="11">
        <v>7870</v>
      </c>
      <c r="E9" s="12">
        <v>9840</v>
      </c>
      <c r="F9" s="16">
        <f t="shared" si="0"/>
        <v>1970</v>
      </c>
      <c r="G9" s="2">
        <v>7</v>
      </c>
    </row>
    <row r="10" spans="2:8" ht="15.95" customHeight="1" x14ac:dyDescent="0.2">
      <c r="B10" s="10">
        <v>8</v>
      </c>
      <c r="C10" s="11">
        <v>9240</v>
      </c>
      <c r="D10" s="11">
        <v>8035</v>
      </c>
      <c r="E10" s="12">
        <v>10445</v>
      </c>
      <c r="F10" s="16">
        <f t="shared" si="0"/>
        <v>2410</v>
      </c>
      <c r="G10" s="2">
        <v>8</v>
      </c>
    </row>
    <row r="11" spans="2:8" ht="15.95" customHeight="1" x14ac:dyDescent="0.2">
      <c r="B11" s="10">
        <v>9</v>
      </c>
      <c r="C11" s="11">
        <v>13315</v>
      </c>
      <c r="D11" s="11">
        <v>11095</v>
      </c>
      <c r="E11" s="12">
        <v>15535</v>
      </c>
      <c r="F11" s="16">
        <f t="shared" si="0"/>
        <v>4440</v>
      </c>
      <c r="G11" s="2">
        <v>9</v>
      </c>
    </row>
    <row r="12" spans="2:8" ht="15.95" customHeight="1" x14ac:dyDescent="0.2">
      <c r="B12" s="10">
        <v>10</v>
      </c>
      <c r="C12" s="11">
        <v>14280</v>
      </c>
      <c r="D12" s="11">
        <v>11655</v>
      </c>
      <c r="E12" s="12">
        <v>16900</v>
      </c>
      <c r="F12" s="16">
        <f t="shared" si="0"/>
        <v>5245</v>
      </c>
      <c r="G12" s="2">
        <v>10</v>
      </c>
    </row>
    <row r="13" spans="2:8" ht="15.95" customHeight="1" x14ac:dyDescent="0.2">
      <c r="B13" s="10">
        <v>11</v>
      </c>
      <c r="C13" s="11">
        <v>15110</v>
      </c>
      <c r="D13" s="11">
        <v>12335</v>
      </c>
      <c r="E13" s="12">
        <v>17885</v>
      </c>
      <c r="F13" s="16">
        <f t="shared" si="0"/>
        <v>5550</v>
      </c>
      <c r="G13" s="2">
        <v>11</v>
      </c>
    </row>
    <row r="14" spans="2:8" ht="15.95" customHeight="1" x14ac:dyDescent="0.2">
      <c r="B14" s="4">
        <v>12</v>
      </c>
      <c r="C14" s="5">
        <v>18000</v>
      </c>
      <c r="D14" s="5">
        <v>14400</v>
      </c>
      <c r="E14" s="6">
        <v>21600</v>
      </c>
      <c r="F14" s="16">
        <f t="shared" si="0"/>
        <v>7200</v>
      </c>
      <c r="G14" s="2">
        <v>12</v>
      </c>
    </row>
    <row r="16" spans="2:8" ht="15.95" customHeight="1" x14ac:dyDescent="0.2">
      <c r="B16" s="7" t="s">
        <v>0</v>
      </c>
      <c r="C16" s="8" t="s">
        <v>1</v>
      </c>
      <c r="D16" s="8" t="s">
        <v>2</v>
      </c>
      <c r="E16" s="9" t="s">
        <v>3</v>
      </c>
      <c r="F16" s="15" t="s">
        <v>6</v>
      </c>
      <c r="G16" s="15" t="s">
        <v>7</v>
      </c>
    </row>
    <row r="17" spans="2:7" ht="15.95" customHeight="1" x14ac:dyDescent="0.2">
      <c r="B17" s="10">
        <v>1</v>
      </c>
      <c r="C17" s="11">
        <v>4055</v>
      </c>
      <c r="D17" s="11">
        <v>3685</v>
      </c>
      <c r="E17" s="12">
        <v>4420</v>
      </c>
      <c r="F17" s="16">
        <f>C17-D17</f>
        <v>370</v>
      </c>
      <c r="G17" s="16">
        <f>E17-C17</f>
        <v>365</v>
      </c>
    </row>
    <row r="18" spans="2:7" ht="15.95" customHeight="1" x14ac:dyDescent="0.2">
      <c r="B18" s="10">
        <v>2</v>
      </c>
      <c r="C18" s="11">
        <v>5720</v>
      </c>
      <c r="D18" s="11">
        <v>5200</v>
      </c>
      <c r="E18" s="12">
        <v>6240</v>
      </c>
      <c r="F18" s="16">
        <f t="shared" ref="F18:F28" si="1">C18-D18</f>
        <v>520</v>
      </c>
      <c r="G18" s="16">
        <f t="shared" ref="G18:G28" si="2">E18-C18</f>
        <v>520</v>
      </c>
    </row>
    <row r="19" spans="2:7" ht="15.95" customHeight="1" x14ac:dyDescent="0.2">
      <c r="B19" s="10">
        <v>3</v>
      </c>
      <c r="C19" s="11">
        <v>6550</v>
      </c>
      <c r="D19" s="11">
        <v>5900</v>
      </c>
      <c r="E19" s="12">
        <v>7200</v>
      </c>
      <c r="F19" s="16">
        <f t="shared" si="1"/>
        <v>650</v>
      </c>
      <c r="G19" s="16">
        <f t="shared" si="2"/>
        <v>650</v>
      </c>
    </row>
    <row r="20" spans="2:7" ht="15.95" customHeight="1" x14ac:dyDescent="0.2">
      <c r="B20" s="10">
        <v>4</v>
      </c>
      <c r="C20" s="11">
        <v>7620</v>
      </c>
      <c r="D20" s="11">
        <v>6805</v>
      </c>
      <c r="E20" s="12">
        <v>8440</v>
      </c>
      <c r="F20" s="16">
        <f t="shared" si="1"/>
        <v>815</v>
      </c>
      <c r="G20" s="16">
        <f t="shared" si="2"/>
        <v>820</v>
      </c>
    </row>
    <row r="21" spans="2:7" ht="15.95" customHeight="1" x14ac:dyDescent="0.2">
      <c r="B21" s="10">
        <v>5</v>
      </c>
      <c r="C21" s="11">
        <v>7955</v>
      </c>
      <c r="D21" s="11">
        <v>7105</v>
      </c>
      <c r="E21" s="12">
        <v>8810</v>
      </c>
      <c r="F21" s="16">
        <f t="shared" si="1"/>
        <v>850</v>
      </c>
      <c r="G21" s="16">
        <f t="shared" si="2"/>
        <v>855</v>
      </c>
    </row>
    <row r="22" spans="2:7" ht="15.95" customHeight="1" x14ac:dyDescent="0.2">
      <c r="B22" s="10">
        <v>6</v>
      </c>
      <c r="C22" s="11">
        <v>8400</v>
      </c>
      <c r="D22" s="11">
        <v>7465</v>
      </c>
      <c r="E22" s="12">
        <v>9330</v>
      </c>
      <c r="F22" s="16">
        <f t="shared" si="1"/>
        <v>935</v>
      </c>
      <c r="G22" s="16">
        <f t="shared" si="2"/>
        <v>930</v>
      </c>
    </row>
    <row r="23" spans="2:7" ht="15.95" customHeight="1" x14ac:dyDescent="0.2">
      <c r="B23" s="10">
        <v>7</v>
      </c>
      <c r="C23" s="11">
        <v>8855</v>
      </c>
      <c r="D23" s="11">
        <v>7870</v>
      </c>
      <c r="E23" s="12">
        <v>9840</v>
      </c>
      <c r="F23" s="16">
        <f t="shared" si="1"/>
        <v>985</v>
      </c>
      <c r="G23" s="16">
        <f t="shared" si="2"/>
        <v>985</v>
      </c>
    </row>
    <row r="24" spans="2:7" ht="15.95" customHeight="1" x14ac:dyDescent="0.2">
      <c r="B24" s="10">
        <v>8</v>
      </c>
      <c r="C24" s="11">
        <v>9240</v>
      </c>
      <c r="D24" s="11">
        <v>8035</v>
      </c>
      <c r="E24" s="12">
        <v>10445</v>
      </c>
      <c r="F24" s="16">
        <f t="shared" si="1"/>
        <v>1205</v>
      </c>
      <c r="G24" s="16">
        <f t="shared" si="2"/>
        <v>1205</v>
      </c>
    </row>
    <row r="25" spans="2:7" ht="15.95" customHeight="1" x14ac:dyDescent="0.2">
      <c r="B25" s="10">
        <v>9</v>
      </c>
      <c r="C25" s="11">
        <v>13315</v>
      </c>
      <c r="D25" s="11">
        <v>11095</v>
      </c>
      <c r="E25" s="12">
        <v>15535</v>
      </c>
      <c r="F25" s="16">
        <f t="shared" si="1"/>
        <v>2220</v>
      </c>
      <c r="G25" s="16">
        <f t="shared" si="2"/>
        <v>2220</v>
      </c>
    </row>
    <row r="26" spans="2:7" ht="15.95" customHeight="1" x14ac:dyDescent="0.2">
      <c r="B26" s="10">
        <v>10</v>
      </c>
      <c r="C26" s="11">
        <v>14280</v>
      </c>
      <c r="D26" s="11">
        <v>11655</v>
      </c>
      <c r="E26" s="12">
        <v>16900</v>
      </c>
      <c r="F26" s="16">
        <f t="shared" si="1"/>
        <v>2625</v>
      </c>
      <c r="G26" s="16">
        <f t="shared" si="2"/>
        <v>2620</v>
      </c>
    </row>
    <row r="27" spans="2:7" ht="15.95" customHeight="1" x14ac:dyDescent="0.2">
      <c r="B27" s="10">
        <v>11</v>
      </c>
      <c r="C27" s="11">
        <v>15110</v>
      </c>
      <c r="D27" s="11">
        <v>12335</v>
      </c>
      <c r="E27" s="12">
        <v>17885</v>
      </c>
      <c r="F27" s="16">
        <f t="shared" si="1"/>
        <v>2775</v>
      </c>
      <c r="G27" s="16">
        <f t="shared" si="2"/>
        <v>2775</v>
      </c>
    </row>
    <row r="28" spans="2:7" ht="15.95" customHeight="1" x14ac:dyDescent="0.2">
      <c r="B28" s="4">
        <v>12</v>
      </c>
      <c r="C28" s="5">
        <v>18000</v>
      </c>
      <c r="D28" s="5">
        <v>14400</v>
      </c>
      <c r="E28" s="6">
        <v>21600</v>
      </c>
      <c r="F28" s="16">
        <f t="shared" si="1"/>
        <v>3600</v>
      </c>
      <c r="G28" s="16">
        <f t="shared" si="2"/>
        <v>3600</v>
      </c>
    </row>
    <row r="30" spans="2:7" ht="15.95" customHeight="1" x14ac:dyDescent="0.2">
      <c r="B30" s="13" t="s">
        <v>10</v>
      </c>
      <c r="D30" s="13"/>
      <c r="E30" s="13" t="s">
        <v>11</v>
      </c>
      <c r="F30" s="1"/>
    </row>
    <row r="31" spans="2:7" ht="15.95" customHeight="1" x14ac:dyDescent="0.2">
      <c r="B31" s="19" t="s">
        <v>8</v>
      </c>
      <c r="C31" s="20" t="s">
        <v>9</v>
      </c>
      <c r="D31" s="14"/>
      <c r="E31" s="19" t="s">
        <v>8</v>
      </c>
      <c r="F31" s="20" t="s">
        <v>9</v>
      </c>
    </row>
    <row r="32" spans="2:7" ht="15.95" customHeight="1" x14ac:dyDescent="0.2">
      <c r="B32" s="21">
        <v>4420</v>
      </c>
      <c r="C32" s="22">
        <v>11.5</v>
      </c>
      <c r="D32" s="3"/>
      <c r="E32" s="21">
        <v>4055</v>
      </c>
      <c r="F32" s="22">
        <v>11.5</v>
      </c>
    </row>
    <row r="33" spans="2:6" ht="15.95" customHeight="1" x14ac:dyDescent="0.2">
      <c r="B33" s="21">
        <v>6240</v>
      </c>
      <c r="C33" s="22">
        <v>10.5</v>
      </c>
      <c r="D33" s="3"/>
      <c r="E33" s="21">
        <v>5720</v>
      </c>
      <c r="F33" s="22">
        <v>10.5</v>
      </c>
    </row>
    <row r="34" spans="2:6" ht="15.95" customHeight="1" x14ac:dyDescent="0.2">
      <c r="B34" s="21">
        <v>7200</v>
      </c>
      <c r="C34" s="22">
        <v>9.5</v>
      </c>
      <c r="D34" s="3"/>
      <c r="E34" s="21">
        <v>6550</v>
      </c>
      <c r="F34" s="22">
        <v>9.5</v>
      </c>
    </row>
    <row r="35" spans="2:6" ht="15.95" customHeight="1" x14ac:dyDescent="0.2">
      <c r="B35" s="21">
        <v>8440</v>
      </c>
      <c r="C35" s="22">
        <v>8.5</v>
      </c>
      <c r="D35" s="3"/>
      <c r="E35" s="21">
        <v>7620</v>
      </c>
      <c r="F35" s="22">
        <v>8.5</v>
      </c>
    </row>
    <row r="36" spans="2:6" ht="15.95" customHeight="1" x14ac:dyDescent="0.2">
      <c r="B36" s="21">
        <v>8810</v>
      </c>
      <c r="C36" s="22">
        <v>7.5</v>
      </c>
      <c r="D36" s="3"/>
      <c r="E36" s="21">
        <v>7955</v>
      </c>
      <c r="F36" s="22">
        <v>7.5</v>
      </c>
    </row>
    <row r="37" spans="2:6" ht="15.95" customHeight="1" x14ac:dyDescent="0.2">
      <c r="B37" s="21">
        <v>9330</v>
      </c>
      <c r="C37" s="22">
        <v>6.5</v>
      </c>
      <c r="D37" s="3"/>
      <c r="E37" s="21">
        <v>8400</v>
      </c>
      <c r="F37" s="22">
        <v>6.5</v>
      </c>
    </row>
    <row r="38" spans="2:6" ht="15.95" customHeight="1" x14ac:dyDescent="0.2">
      <c r="B38" s="21">
        <v>9840</v>
      </c>
      <c r="C38" s="22">
        <v>5.5</v>
      </c>
      <c r="D38" s="3"/>
      <c r="E38" s="21">
        <v>8855</v>
      </c>
      <c r="F38" s="22">
        <v>5.5</v>
      </c>
    </row>
    <row r="39" spans="2:6" ht="15.95" customHeight="1" x14ac:dyDescent="0.2">
      <c r="B39" s="21">
        <v>10445</v>
      </c>
      <c r="C39" s="22">
        <v>4.5</v>
      </c>
      <c r="D39" s="3"/>
      <c r="E39" s="21">
        <v>9240</v>
      </c>
      <c r="F39" s="22">
        <v>4.5</v>
      </c>
    </row>
    <row r="40" spans="2:6" ht="15.95" customHeight="1" x14ac:dyDescent="0.2">
      <c r="B40" s="21">
        <v>15535</v>
      </c>
      <c r="C40" s="22">
        <v>3.5</v>
      </c>
      <c r="D40" s="3"/>
      <c r="E40" s="21">
        <v>13315</v>
      </c>
      <c r="F40" s="22">
        <v>3.5</v>
      </c>
    </row>
    <row r="41" spans="2:6" ht="15.95" customHeight="1" x14ac:dyDescent="0.2">
      <c r="B41" s="21">
        <v>16900</v>
      </c>
      <c r="C41" s="22">
        <v>2.5</v>
      </c>
      <c r="D41" s="3"/>
      <c r="E41" s="21">
        <v>14280</v>
      </c>
      <c r="F41" s="22">
        <v>2.5</v>
      </c>
    </row>
    <row r="42" spans="2:6" ht="15.95" customHeight="1" x14ac:dyDescent="0.2">
      <c r="B42" s="21">
        <v>17885</v>
      </c>
      <c r="C42" s="22">
        <v>1.5</v>
      </c>
      <c r="D42" s="3"/>
      <c r="E42" s="21">
        <v>15110</v>
      </c>
      <c r="F42" s="22">
        <v>1.5</v>
      </c>
    </row>
    <row r="43" spans="2:6" ht="15.95" customHeight="1" x14ac:dyDescent="0.2">
      <c r="B43" s="17">
        <v>21600</v>
      </c>
      <c r="C43" s="18">
        <v>0.5</v>
      </c>
      <c r="D43" s="3"/>
      <c r="E43" s="17">
        <v>18000</v>
      </c>
      <c r="F43" s="18">
        <v>0.5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2018-11-04T01:59:05Z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0459ea65-a3c9-4c78-adc1-79f3bf0cca82</vt:lpwstr>
  </property>
</Properties>
</file>