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/>
  <mc:AlternateContent xmlns:mc="http://schemas.openxmlformats.org/markup-compatibility/2006">
    <mc:Choice Requires="x15">
      <x15ac:absPath xmlns:x15ac="http://schemas.microsoft.com/office/spreadsheetml/2010/11/ac" url="F:\秋叶文档\课程开发文档\案例文件\1104制作新案例\SZ11-销售趋势预测图\"/>
    </mc:Choice>
  </mc:AlternateContent>
  <xr:revisionPtr revIDLastSave="0" documentId="13_ncr:1_{573C8BFD-CDC4-4C29-9D04-ED205F22CF74}" xr6:coauthVersionLast="38" xr6:coauthVersionMax="38" xr10:uidLastSave="{00000000-0000-0000-0000-000000000000}"/>
  <bookViews>
    <workbookView xWindow="0" yWindow="30" windowWidth="15480" windowHeight="8250" tabRatio="391" xr2:uid="{00000000-000D-0000-FFFF-FFFF00000000}"/>
  </bookViews>
  <sheets>
    <sheet name="样式1" sheetId="1" r:id="rId1"/>
    <sheet name="样式2" sheetId="2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" i="2" l="1"/>
  <c r="C5" i="2"/>
  <c r="C7" i="2"/>
  <c r="C8" i="2"/>
  <c r="C9" i="2"/>
  <c r="C10" i="2"/>
  <c r="C3" i="2"/>
  <c r="B2" i="2"/>
  <c r="F2" i="2" s="1"/>
  <c r="B3" i="2"/>
  <c r="B4" i="2"/>
  <c r="B5" i="2"/>
  <c r="B6" i="2"/>
  <c r="B7" i="2"/>
  <c r="B8" i="2"/>
  <c r="B9" i="2"/>
  <c r="B10" i="2"/>
  <c r="B11" i="2"/>
  <c r="B12" i="2"/>
  <c r="B13" i="2"/>
  <c r="C24" i="1"/>
  <c r="E31" i="1"/>
  <c r="F22" i="1"/>
  <c r="F21" i="1"/>
  <c r="F20" i="1"/>
  <c r="E30" i="1"/>
  <c r="E29" i="1"/>
  <c r="E28" i="1"/>
  <c r="E27" i="1"/>
  <c r="E26" i="1"/>
  <c r="E25" i="1"/>
  <c r="E24" i="1"/>
  <c r="D20" i="1"/>
  <c r="C31" i="1"/>
  <c r="C30" i="1"/>
  <c r="C29" i="1"/>
  <c r="C28" i="1"/>
  <c r="C27" i="1"/>
  <c r="C26" i="1"/>
  <c r="C25" i="1"/>
  <c r="D21" i="1"/>
  <c r="D22" i="1"/>
  <c r="F13" i="2" l="1"/>
  <c r="F11" i="2"/>
  <c r="F9" i="2"/>
  <c r="F7" i="2"/>
  <c r="F5" i="2"/>
  <c r="F3" i="2"/>
  <c r="F12" i="2"/>
  <c r="F10" i="2"/>
  <c r="F8" i="2"/>
  <c r="F6" i="2"/>
  <c r="F4" i="2"/>
  <c r="E2" i="2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D13" i="2"/>
  <c r="D11" i="2"/>
  <c r="D10" i="2"/>
  <c r="D12" i="2"/>
  <c r="D9" i="2"/>
  <c r="D8" i="2"/>
  <c r="D5" i="2"/>
  <c r="D3" i="2"/>
  <c r="D7" i="2"/>
  <c r="D6" i="2"/>
  <c r="D4" i="2"/>
  <c r="D2" i="2"/>
</calcChain>
</file>

<file path=xl/sharedStrings.xml><?xml version="1.0" encoding="utf-8"?>
<sst xmlns="http://schemas.openxmlformats.org/spreadsheetml/2006/main" count="116" uniqueCount="27">
  <si>
    <t>budget</t>
    <phoneticPr fontId="2" type="noConversion"/>
  </si>
  <si>
    <t>actual</t>
    <phoneticPr fontId="2" type="noConversion"/>
  </si>
  <si>
    <t>Jan</t>
    <phoneticPr fontId="2" type="noConversion"/>
  </si>
  <si>
    <t>Feb</t>
    <phoneticPr fontId="2" type="noConversion"/>
  </si>
  <si>
    <t>Mar</t>
    <phoneticPr fontId="2" type="noConversion"/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</si>
  <si>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</si>
  <si>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</si>
  <si>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</si>
  <si>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</si>
  <si>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</si>
  <si>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</si>
  <si>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</si>
  <si>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</si>
  <si>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</si>
  <si>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Actual_Sales A</t>
    <phoneticPr fontId="2" type="noConversion"/>
  </si>
  <si>
    <t>Budget_Sales A</t>
    <phoneticPr fontId="2" type="noConversion"/>
  </si>
  <si>
    <t>Actual_Sales B</t>
    <phoneticPr fontId="2" type="noConversion"/>
  </si>
  <si>
    <t>Budget_Sales B</t>
    <phoneticPr fontId="2" type="noConversion"/>
  </si>
  <si>
    <t>Sales-budget</t>
    <phoneticPr fontId="2" type="noConversion"/>
  </si>
  <si>
    <t>Sales-actual</t>
    <phoneticPr fontId="2" type="noConversion"/>
  </si>
  <si>
    <t>列1</t>
  </si>
  <si>
    <r>
      <rPr>
        <sz val="10"/>
        <color theme="1"/>
        <rFont val="宋体"/>
        <family val="3"/>
        <charset val="134"/>
      </rPr>
      <t>实际销售额累计</t>
    </r>
    <phoneticPr fontId="2" type="noConversion"/>
  </si>
  <si>
    <r>
      <rPr>
        <sz val="10"/>
        <color theme="1"/>
        <rFont val="宋体"/>
        <family val="3"/>
        <charset val="134"/>
      </rPr>
      <t>年销售额滚动预测</t>
    </r>
    <phoneticPr fontId="2" type="noConversion"/>
  </si>
  <si>
    <r>
      <rPr>
        <sz val="10"/>
        <color theme="1"/>
        <rFont val="宋体"/>
        <family val="3"/>
        <charset val="134"/>
      </rPr>
      <t>预算销售额累计</t>
    </r>
    <phoneticPr fontId="2" type="noConversion"/>
  </si>
  <si>
    <r>
      <rPr>
        <b/>
        <sz val="10"/>
        <color theme="0"/>
        <rFont val="宋体"/>
        <family val="3"/>
        <charset val="134"/>
      </rPr>
      <t>实际销售额累计</t>
    </r>
    <phoneticPr fontId="2" type="noConversion"/>
  </si>
  <si>
    <r>
      <rPr>
        <b/>
        <sz val="10"/>
        <color theme="0"/>
        <rFont val="宋体"/>
        <family val="3"/>
        <charset val="134"/>
      </rPr>
      <t>年销售额滚动预测</t>
    </r>
    <phoneticPr fontId="2" type="noConversion"/>
  </si>
  <si>
    <r>
      <rPr>
        <b/>
        <sz val="10"/>
        <color theme="0"/>
        <rFont val="宋体"/>
        <family val="3"/>
        <charset val="134"/>
      </rPr>
      <t>预算销售额累计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</si>
</sst>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6" formatCode="_ * #,##0_ ;_ * \-#,##0_ ;_ * &quot;-&quot;??_ ;_ @_ "/>
  </numFmts>
  <fonts count="8" x14ac:knownFonts="1"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sz val="10"/>
      <color theme="1"/>
      <name val="Arial"/>
      <family val="2"/>
      <charset val="134"/>
    </font>
    <font>
      <b/>
      <sz val="10"/>
      <color theme="0"/>
      <name val="Arial"/>
      <family val="2"/>
      <charset val="134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4" borderId="1" xfId="0" applyFont="1" applyFill="1" applyBorder="1" applyAlignment="1">
      <alignment horizontal="right" vertical="center"/>
    </xf>
    <xf numFmtId="0" fontId="4" fillId="3" borderId="0" xfId="0" applyFont="1" applyFill="1" applyBorder="1">
      <alignment vertical="center"/>
    </xf>
    <xf numFmtId="0" fontId="4" fillId="3" borderId="2" xfId="0" applyFont="1" applyFill="1" applyBorder="1" applyAlignment="1">
      <alignment horizontal="right" vertical="center"/>
    </xf>
    <xf numFmtId="0" fontId="3" fillId="4" borderId="3" xfId="0" applyFont="1" applyFill="1" applyBorder="1">
      <alignment vertical="center"/>
    </xf>
    <xf numFmtId="0" fontId="3" fillId="4" borderId="4" xfId="0" applyFont="1" applyFill="1" applyBorder="1" applyAlignment="1">
      <alignment horizontal="right" vertical="center"/>
    </xf>
    <xf numFmtId="0" fontId="3" fillId="4" borderId="5" xfId="0" applyFont="1" applyFill="1" applyBorder="1">
      <alignment vertical="center"/>
    </xf>
    <xf numFmtId="0" fontId="6" fillId="0" borderId="0" xfId="0" applyFont="1">
      <alignment vertical="center"/>
    </xf>
    <xf numFmtId="176" fontId="6" fillId="0" borderId="0" xfId="1" applyNumberFormat="1" applyFont="1">
      <alignment vertical="center"/>
    </xf>
    <xf numFmtId="176" fontId="6" fillId="0" borderId="0" xfId="1" applyNumberFormat="1" applyFont="1" applyAlignment="1">
      <alignment horizontal="right" vertical="center" wrapText="1"/>
    </xf>
    <xf numFmtId="176" fontId="6" fillId="7" borderId="1" xfId="1" applyNumberFormat="1" applyFont="1" applyFill="1" applyBorder="1">
      <alignment vertical="center"/>
    </xf>
    <xf numFmtId="0" fontId="5" fillId="5" borderId="0" xfId="0" applyFont="1" applyFill="1" applyBorder="1">
      <alignment vertical="center"/>
    </xf>
    <xf numFmtId="176" fontId="5" fillId="5" borderId="2" xfId="1" applyNumberFormat="1" applyFont="1" applyFill="1" applyBorder="1" applyAlignment="1">
      <alignment vertical="center" wrapText="1"/>
    </xf>
    <xf numFmtId="176" fontId="5" fillId="5" borderId="2" xfId="1" applyNumberFormat="1" applyFont="1" applyFill="1" applyBorder="1" applyAlignment="1">
      <alignment horizontal="center" vertical="center" wrapText="1"/>
    </xf>
    <xf numFmtId="0" fontId="6" fillId="6" borderId="3" xfId="0" applyFont="1" applyFill="1" applyBorder="1">
      <alignment vertical="center"/>
    </xf>
    <xf numFmtId="176" fontId="6" fillId="6" borderId="4" xfId="1" applyNumberFormat="1" applyFont="1" applyFill="1" applyBorder="1">
      <alignment vertical="center"/>
    </xf>
    <xf numFmtId="176" fontId="6" fillId="2" borderId="4" xfId="1" applyNumberFormat="1" applyFont="1" applyFill="1" applyBorder="1">
      <alignment vertical="center"/>
    </xf>
    <xf numFmtId="0" fontId="6" fillId="7" borderId="5" xfId="0" applyFont="1" applyFill="1" applyBorder="1">
      <alignment vertical="center"/>
    </xf>
    <xf numFmtId="0" fontId="6" fillId="6" borderId="5" xfId="0" applyFont="1" applyFill="1" applyBorder="1">
      <alignment vertical="center"/>
    </xf>
    <xf numFmtId="176" fontId="6" fillId="6" borderId="1" xfId="1" applyNumberFormat="1" applyFont="1" applyFill="1" applyBorder="1">
      <alignment vertical="center"/>
    </xf>
    <xf numFmtId="176" fontId="6" fillId="2" borderId="1" xfId="1" applyNumberFormat="1" applyFont="1" applyFill="1" applyBorder="1">
      <alignment vertical="center"/>
    </xf>
  </cellXfs>
  <cellStyles count="2">
    <cellStyle name="常规" xfId="0" builtinId="0"/>
    <cellStyle name="千位分隔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DFFD9D98-5F5E-4BD6-9D93-A5276B94C610}">
      <tableStyleElement type="wholeTable" dxfId="1"/>
      <tableStyleElement type="headerRow" dxfId="0"/>
    </tableStyle>
  </tableStyles>
  <colors>
    <mruColors>
      <color rgb="FFF0F0F0"/>
      <color rgb="FFFF8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样式1!$C$2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样式1!$B$3:$B$14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样式1!$C$3:$C$14</c:f>
              <c:numCache>
                <c:formatCode>General</c:formatCode>
                <c:ptCount val="12"/>
                <c:pt idx="0">
                  <c:v>49</c:v>
                </c:pt>
                <c:pt idx="1">
                  <c:v>38</c:v>
                </c:pt>
                <c:pt idx="2">
                  <c:v>54</c:v>
                </c:pt>
                <c:pt idx="3">
                  <c:v>60</c:v>
                </c:pt>
                <c:pt idx="4">
                  <c:v>76</c:v>
                </c:pt>
                <c:pt idx="5">
                  <c:v>46</c:v>
                </c:pt>
                <c:pt idx="6">
                  <c:v>15</c:v>
                </c:pt>
                <c:pt idx="7">
                  <c:v>36</c:v>
                </c:pt>
                <c:pt idx="8">
                  <c:v>29</c:v>
                </c:pt>
                <c:pt idx="9">
                  <c:v>50</c:v>
                </c:pt>
                <c:pt idx="10">
                  <c:v>39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9-42FA-9044-5F6FB4E66B54}"/>
            </c:ext>
          </c:extLst>
        </c:ser>
        <c:ser>
          <c:idx val="1"/>
          <c:order val="1"/>
          <c:tx>
            <c:strRef>
              <c:f>样式1!$D$2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strRef>
              <c:f>样式1!$B$3:$B$14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样式1!$D$3:$D$14</c:f>
              <c:numCache>
                <c:formatCode>General</c:formatCode>
                <c:ptCount val="12"/>
                <c:pt idx="0">
                  <c:v>15</c:v>
                </c:pt>
                <c:pt idx="1">
                  <c:v>29</c:v>
                </c:pt>
                <c:pt idx="2">
                  <c:v>26</c:v>
                </c:pt>
                <c:pt idx="3">
                  <c:v>88</c:v>
                </c:pt>
                <c:pt idx="4">
                  <c:v>13</c:v>
                </c:pt>
                <c:pt idx="5">
                  <c:v>37</c:v>
                </c:pt>
                <c:pt idx="6">
                  <c:v>49</c:v>
                </c:pt>
                <c:pt idx="7">
                  <c:v>32</c:v>
                </c:pt>
                <c:pt idx="8">
                  <c:v>71</c:v>
                </c:pt>
                <c:pt idx="9">
                  <c:v>93</c:v>
                </c:pt>
                <c:pt idx="10">
                  <c:v>21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9-42FA-9044-5F6FB4E66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43200"/>
        <c:axId val="163427456"/>
      </c:lineChart>
      <c:catAx>
        <c:axId val="161443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427456"/>
        <c:crosses val="autoZero"/>
        <c:auto val="1"/>
        <c:lblAlgn val="ctr"/>
        <c:lblOffset val="100"/>
        <c:noMultiLvlLbl val="0"/>
      </c:catAx>
      <c:valAx>
        <c:axId val="163427456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61443200"/>
        <c:crosses val="autoZero"/>
        <c:crossBetween val="between"/>
        <c:majorUnit val="20"/>
      </c:valAx>
    </c:plotArea>
    <c:legend>
      <c:legendPos val="t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50">
          <a:solidFill>
            <a:schemeClr val="tx1"/>
          </a:solidFill>
        </a:defRPr>
      </a:pPr>
      <a:endParaRPr lang="zh-CN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样式1!$C$19</c:f>
              <c:strCache>
                <c:ptCount val="1"/>
                <c:pt idx="0">
                  <c:v>Actual_Sales A</c:v>
                </c:pt>
              </c:strCache>
            </c:strRef>
          </c:tx>
          <c:spPr>
            <a:ln>
              <a:solidFill>
                <a:srgbClr val="FF800E"/>
              </a:solidFill>
            </a:ln>
          </c:spPr>
          <c:marker>
            <c:symbol val="none"/>
          </c:marker>
          <c:cat>
            <c:strRef>
              <c:f>样式1!$B$20:$B$31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样式1!$C$20:$C$31</c:f>
              <c:numCache>
                <c:formatCode>General</c:formatCode>
                <c:ptCount val="12"/>
                <c:pt idx="0">
                  <c:v>49</c:v>
                </c:pt>
                <c:pt idx="1">
                  <c:v>38</c:v>
                </c:pt>
                <c:pt idx="2">
                  <c:v>54</c:v>
                </c:pt>
                <c:pt idx="3">
                  <c:v>60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3C-416E-A21A-D70A29F84B54}"/>
            </c:ext>
          </c:extLst>
        </c:ser>
        <c:ser>
          <c:idx val="1"/>
          <c:order val="1"/>
          <c:tx>
            <c:strRef>
              <c:f>样式1!$D$19</c:f>
              <c:strCache>
                <c:ptCount val="1"/>
                <c:pt idx="0">
                  <c:v>Budget_Sales A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strRef>
              <c:f>样式1!$B$20:$B$31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样式1!$D$20:$D$31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60</c:v>
                </c:pt>
                <c:pt idx="4">
                  <c:v>76</c:v>
                </c:pt>
                <c:pt idx="5">
                  <c:v>46</c:v>
                </c:pt>
                <c:pt idx="6">
                  <c:v>15</c:v>
                </c:pt>
                <c:pt idx="7">
                  <c:v>36</c:v>
                </c:pt>
                <c:pt idx="8">
                  <c:v>29</c:v>
                </c:pt>
                <c:pt idx="9">
                  <c:v>50</c:v>
                </c:pt>
                <c:pt idx="10">
                  <c:v>39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3C-416E-A21A-D70A29F84B54}"/>
            </c:ext>
          </c:extLst>
        </c:ser>
        <c:ser>
          <c:idx val="2"/>
          <c:order val="2"/>
          <c:tx>
            <c:strRef>
              <c:f>样式1!$E$19</c:f>
              <c:strCache>
                <c:ptCount val="1"/>
                <c:pt idx="0">
                  <c:v>Actual_Sales B</c:v>
                </c:pt>
              </c:strCache>
            </c:strRef>
          </c:tx>
          <c:spPr>
            <a:ln>
              <a:solidFill>
                <a:srgbClr val="218B2D">
                  <a:shade val="95000"/>
                  <a:satMod val="105000"/>
                </a:srgbClr>
              </a:solidFill>
            </a:ln>
          </c:spPr>
          <c:marker>
            <c:symbol val="none"/>
          </c:marker>
          <c:cat>
            <c:strRef>
              <c:f>样式1!$B$20:$B$31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样式1!$E$20:$E$31</c:f>
              <c:numCache>
                <c:formatCode>General</c:formatCode>
                <c:ptCount val="12"/>
                <c:pt idx="0">
                  <c:v>15</c:v>
                </c:pt>
                <c:pt idx="1">
                  <c:v>29</c:v>
                </c:pt>
                <c:pt idx="2">
                  <c:v>81</c:v>
                </c:pt>
                <c:pt idx="3">
                  <c:v>54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3C-416E-A21A-D70A29F84B54}"/>
            </c:ext>
          </c:extLst>
        </c:ser>
        <c:ser>
          <c:idx val="3"/>
          <c:order val="3"/>
          <c:tx>
            <c:strRef>
              <c:f>样式1!$F$19</c:f>
              <c:strCache>
                <c:ptCount val="1"/>
                <c:pt idx="0">
                  <c:v>Budget_Sales B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strRef>
              <c:f>样式1!$B$20:$B$31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样式1!$F$20:$F$31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54</c:v>
                </c:pt>
                <c:pt idx="4">
                  <c:v>13</c:v>
                </c:pt>
                <c:pt idx="5">
                  <c:v>37</c:v>
                </c:pt>
                <c:pt idx="6">
                  <c:v>49</c:v>
                </c:pt>
                <c:pt idx="7">
                  <c:v>32</c:v>
                </c:pt>
                <c:pt idx="8">
                  <c:v>71</c:v>
                </c:pt>
                <c:pt idx="9">
                  <c:v>93</c:v>
                </c:pt>
                <c:pt idx="10">
                  <c:v>21</c:v>
                </c:pt>
                <c:pt idx="11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53C-416E-A21A-D70A29F84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60064"/>
        <c:axId val="180175232"/>
      </c:lineChart>
      <c:catAx>
        <c:axId val="179960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0175232"/>
        <c:crosses val="autoZero"/>
        <c:auto val="1"/>
        <c:lblAlgn val="ctr"/>
        <c:lblOffset val="100"/>
        <c:noMultiLvlLbl val="0"/>
      </c:catAx>
      <c:valAx>
        <c:axId val="180175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996006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18591090876382105"/>
          <c:y val="1.991417594647606E-2"/>
          <c:w val="0.59771519772682158"/>
          <c:h val="9.8197372696229371E-2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Rolling Forecast_Running Total Sales</a:t>
            </a:r>
            <a:endParaRPr lang="zh-CN" sz="16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3528064146620873E-2"/>
          <c:y val="0.1150962379702538"/>
          <c:w val="0.91965437310026954"/>
          <c:h val="0.79001103555237462"/>
        </c:manualLayout>
      </c:layout>
      <c:lineChart>
        <c:grouping val="standard"/>
        <c:varyColors val="0"/>
        <c:ser>
          <c:idx val="0"/>
          <c:order val="0"/>
          <c:tx>
            <c:strRef>
              <c:f>样式2!$F$1</c:f>
              <c:strCache>
                <c:ptCount val="1"/>
                <c:pt idx="0">
                  <c:v> 预算销售额累计 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  <c:marker>
            <c:symbol val="none"/>
          </c:marker>
          <c:dPt>
            <c:idx val="11"/>
            <c:bubble3D val="0"/>
            <c:spPr>
              <a:ln>
                <a:solidFill>
                  <a:schemeClr val="bg1">
                    <a:lumMod val="50000"/>
                  </a:schemeClr>
                </a:solidFill>
                <a:prstDash val="sysDot"/>
                <a:tailEnd type="stealth" w="lg" len="lg"/>
              </a:ln>
            </c:spPr>
            <c:extLst>
              <c:ext xmlns:c16="http://schemas.microsoft.com/office/drawing/2014/chart" uri="{C3380CC4-5D6E-409C-BE32-E72D297353CC}">
                <c16:uniqueId val="{00000000-6B9D-479A-992D-0FF5BFA0C46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9D-479A-992D-0FF5BFA0C4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9D-479A-992D-0FF5BFA0C4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9D-479A-992D-0FF5BFA0C4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9D-479A-992D-0FF5BFA0C4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9D-479A-992D-0FF5BFA0C46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9D-479A-992D-0FF5BFA0C46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9D-479A-992D-0FF5BFA0C46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B9D-479A-992D-0FF5BFA0C46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9D-479A-992D-0FF5BFA0C46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B9D-479A-992D-0FF5BFA0C46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9D-479A-992D-0FF5BFA0C465}"/>
                </c:ext>
              </c:extLst>
            </c:dLbl>
            <c:dLbl>
              <c:idx val="11"/>
              <c:layout>
                <c:manualLayout>
                  <c:x val="-4.1877677661426339E-2"/>
                  <c:y val="7.2560695538057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9D-479A-992D-0FF5BFA0C465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样式2!$A$2:$A$13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样式2!$F$2:$F$13</c:f>
              <c:numCache>
                <c:formatCode>_ * #,##0_ ;_ * \-#,##0_ ;_ * "-"??_ ;_ @_ </c:formatCode>
                <c:ptCount val="12"/>
                <c:pt idx="0">
                  <c:v>569</c:v>
                </c:pt>
                <c:pt idx="1">
                  <c:v>1012</c:v>
                </c:pt>
                <c:pt idx="2">
                  <c:v>1543</c:v>
                </c:pt>
                <c:pt idx="3">
                  <c:v>1773</c:v>
                </c:pt>
                <c:pt idx="4">
                  <c:v>2624</c:v>
                </c:pt>
                <c:pt idx="5">
                  <c:v>2865</c:v>
                </c:pt>
                <c:pt idx="6">
                  <c:v>3061</c:v>
                </c:pt>
                <c:pt idx="7">
                  <c:v>3430</c:v>
                </c:pt>
                <c:pt idx="8">
                  <c:v>3801</c:v>
                </c:pt>
                <c:pt idx="9">
                  <c:v>4554</c:v>
                </c:pt>
                <c:pt idx="10">
                  <c:v>5201</c:v>
                </c:pt>
                <c:pt idx="11">
                  <c:v>6051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9D-479A-992D-0FF5BFA0C465}"/>
            </c:ext>
          </c:extLst>
        </c:ser>
        <c:ser>
          <c:idx val="1"/>
          <c:order val="1"/>
          <c:tx>
            <c:strRef>
              <c:f>样式2!$D$1</c:f>
              <c:strCache>
                <c:ptCount val="1"/>
                <c:pt idx="0">
                  <c:v> 实际销售额累计 </c:v>
                </c:pt>
              </c:strCache>
            </c:strRef>
          </c:tx>
          <c:marker>
            <c:symbol val="none"/>
          </c:marker>
          <c:dPt>
            <c:idx val="11"/>
            <c:bubble3D val="0"/>
            <c:spPr>
              <a:ln>
                <a:tailEnd type="stealth" w="lg" len="lg"/>
              </a:ln>
            </c:spPr>
            <c:extLst>
              <c:ext xmlns:c16="http://schemas.microsoft.com/office/drawing/2014/chart" uri="{C3380CC4-5D6E-409C-BE32-E72D297353CC}">
                <c16:uniqueId val="{0000000D-6B9D-479A-992D-0FF5BFA0C465}"/>
              </c:ext>
            </c:extLst>
          </c:dPt>
          <c:cat>
            <c:strRef>
              <c:f>样式2!$A$2:$A$13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样式2!$D$2:$D$13</c:f>
              <c:numCache>
                <c:formatCode>_ * #,##0_ ;_ * \-#,##0_ ;_ * "-"??_ ;_ @_ </c:formatCode>
                <c:ptCount val="12"/>
                <c:pt idx="0">
                  <c:v>0</c:v>
                </c:pt>
                <c:pt idx="1">
                  <c:v>681</c:v>
                </c:pt>
                <c:pt idx="2">
                  <c:v>1585</c:v>
                </c:pt>
                <c:pt idx="3">
                  <c:v>2363</c:v>
                </c:pt>
                <c:pt idx="4">
                  <c:v>2363</c:v>
                </c:pt>
                <c:pt idx="5">
                  <c:v>3576</c:v>
                </c:pt>
                <c:pt idx="6">
                  <c:v>4517</c:v>
                </c:pt>
                <c:pt idx="7">
                  <c:v>5710</c:v>
                </c:pt>
                <c:pt idx="8">
                  <c:v>6528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9D-479A-992D-0FF5BFA0C465}"/>
            </c:ext>
          </c:extLst>
        </c:ser>
        <c:ser>
          <c:idx val="2"/>
          <c:order val="2"/>
          <c:tx>
            <c:strRef>
              <c:f>样式2!$E$1</c:f>
              <c:strCache>
                <c:ptCount val="1"/>
                <c:pt idx="0">
                  <c:v> 年销售额滚动预测 </c:v>
                </c:pt>
              </c:strCache>
            </c:strRef>
          </c:tx>
          <c:spPr>
            <a:ln>
              <a:solidFill>
                <a:srgbClr val="FF800E"/>
              </a:solidFill>
              <a:prstDash val="sysDot"/>
              <a:headEnd w="lg" len="lg"/>
              <a:tailEnd type="none"/>
            </a:ln>
          </c:spPr>
          <c:marker>
            <c:symbol val="none"/>
          </c:marker>
          <c:dPt>
            <c:idx val="11"/>
            <c:bubble3D val="0"/>
            <c:spPr>
              <a:ln>
                <a:solidFill>
                  <a:srgbClr val="FF800E"/>
                </a:solidFill>
                <a:prstDash val="sysDot"/>
                <a:headEnd w="lg" len="lg"/>
                <a:tailEnd type="stealth" w="lg" len="lg"/>
              </a:ln>
            </c:spPr>
            <c:extLst>
              <c:ext xmlns:c16="http://schemas.microsoft.com/office/drawing/2014/chart" uri="{C3380CC4-5D6E-409C-BE32-E72D297353CC}">
                <c16:uniqueId val="{0000000F-6B9D-479A-992D-0FF5BFA0C465}"/>
              </c:ext>
            </c:extLst>
          </c:dPt>
          <c:dLbls>
            <c:dLbl>
              <c:idx val="11"/>
              <c:layout>
                <c:manualLayout>
                  <c:x val="-3.9586726916867349E-2"/>
                  <c:y val="-3.08940288713910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B9D-479A-992D-0FF5BFA0C4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样式2!$A$2:$A$13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样式2!$E$2:$E$13</c:f>
              <c:numCache>
                <c:formatCode>_ * #,##0_ ;_ * \-#,##0_ ;_ * "-"??_ ;_ @_ 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6528</c:v>
                </c:pt>
                <c:pt idx="9">
                  <c:v>7281</c:v>
                </c:pt>
                <c:pt idx="10">
                  <c:v>7928</c:v>
                </c:pt>
                <c:pt idx="11">
                  <c:v>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9D-479A-992D-0FF5BFA0C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00960"/>
        <c:axId val="189636608"/>
      </c:lineChart>
      <c:catAx>
        <c:axId val="189400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89636608"/>
        <c:crosses val="autoZero"/>
        <c:auto val="1"/>
        <c:lblAlgn val="ctr"/>
        <c:lblOffset val="100"/>
        <c:noMultiLvlLbl val="0"/>
      </c:catAx>
      <c:valAx>
        <c:axId val="18963660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one"/>
        <c:spPr>
          <a:ln>
            <a:noFill/>
          </a:ln>
        </c:spPr>
        <c:crossAx val="189400960"/>
        <c:crosses val="autoZero"/>
        <c:crossBetween val="between"/>
      </c:valAx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.21638115846206246"/>
          <c:y val="0.11916529965004376"/>
          <c:w val="0.55935044378994614"/>
          <c:h val="0.12241190265418006"/>
        </c:manualLayout>
      </c:layout>
      <c:overlay val="0"/>
    </c:legend>
    <c:plotVisOnly val="1"/>
    <c:dispBlanksAs val="gap"/>
    <c:showDLblsOverMax val="0"/>
  </c:chart>
  <c:spPr>
    <a:solidFill>
      <a:srgbClr val="F0F0F0"/>
    </a:solidFill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</xdr:colOff>
      <xdr:row>18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190500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85724</xdr:colOff>
      <xdr:row>20</xdr:row>
      <xdr:rowOff>28575</xdr:rowOff>
    </xdr:from>
    <xdr:to>
      <xdr:col>6</xdr:col>
      <xdr:colOff>0</xdr:colOff>
      <xdr:row>30</xdr:row>
      <xdr:rowOff>161924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5724" y="3286125"/>
          <a:ext cx="6000751" cy="17525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/>
            <a:t>我们每年都要做分解到月的销售额预算，随着时间的推移，如当前</a:t>
          </a:r>
          <a:r>
            <a:rPr lang="en-US" altLang="zh-CN" sz="1100"/>
            <a:t>6</a:t>
          </a:r>
          <a:r>
            <a:rPr lang="zh-CN" altLang="en-US" sz="1100"/>
            <a:t>个月的销售额已实际发生时，就需要同时做</a:t>
          </a:r>
          <a:r>
            <a:rPr lang="en-US" altLang="zh-CN" sz="1100"/>
            <a:t>rolling</a:t>
          </a:r>
          <a:r>
            <a:rPr lang="en-US" altLang="zh-CN" sz="1100" baseline="0"/>
            <a:t> forecast </a:t>
          </a:r>
          <a:r>
            <a:rPr lang="zh-CN" altLang="en-US" sz="1100" baseline="0"/>
            <a:t>（销售额滚动预测），用实际发生值替代原先对应月的预算。</a:t>
          </a:r>
          <a:endParaRPr lang="en-US" altLang="zh-CN" sz="1100" baseline="0"/>
        </a:p>
        <a:p>
          <a:r>
            <a:rPr lang="zh-CN" altLang="en-US" sz="1100" baseline="0"/>
            <a:t>请对累计销售额（实际发生</a:t>
          </a:r>
          <a:r>
            <a:rPr lang="en-US" altLang="zh-CN" sz="1100" baseline="0"/>
            <a:t> &amp; </a:t>
          </a:r>
          <a:r>
            <a:rPr lang="zh-CN" altLang="en-US" sz="1100" baseline="0"/>
            <a:t>预测）做一条直线，要求实际发生部分为实线，预测部分为虚线。</a:t>
          </a:r>
          <a:endParaRPr lang="en-US" altLang="zh-CN" sz="1100" baseline="0"/>
        </a:p>
        <a:p>
          <a:r>
            <a:rPr lang="zh-CN" altLang="en-US" sz="1100" baseline="0"/>
            <a:t>题目不难，稍加点难度：</a:t>
          </a:r>
          <a:endParaRPr lang="en-US" altLang="zh-CN" sz="1100" baseline="0"/>
        </a:p>
        <a:p>
          <a:r>
            <a:rPr lang="en-US" altLang="zh-CN" sz="1100" baseline="0"/>
            <a:t>1. </a:t>
          </a:r>
          <a:r>
            <a:rPr lang="zh-CN" altLang="en-US" sz="1100" baseline="0"/>
            <a:t> 一张图；</a:t>
          </a:r>
          <a:endParaRPr lang="en-US" altLang="zh-CN" sz="1100" baseline="0"/>
        </a:p>
        <a:p>
          <a:r>
            <a:rPr lang="en-US" altLang="zh-CN" sz="1100" baseline="0"/>
            <a:t>2.  </a:t>
          </a:r>
          <a:r>
            <a:rPr lang="zh-CN" altLang="en-US" sz="1100" baseline="0"/>
            <a:t>销售额预算及实际值皆为</a:t>
          </a:r>
          <a:r>
            <a:rPr lang="en-US" altLang="zh-CN" sz="1100" baseline="0"/>
            <a:t>100~1000</a:t>
          </a:r>
          <a:r>
            <a:rPr lang="zh-CN" altLang="en-US" sz="1100" baseline="0"/>
            <a:t>的随机数，实际发生到哪个月也不定；</a:t>
          </a:r>
          <a:endParaRPr lang="en-US" altLang="zh-CN" sz="1100" baseline="0"/>
        </a:p>
        <a:p>
          <a:r>
            <a:rPr lang="en-US" altLang="zh-CN" sz="1100" baseline="0"/>
            <a:t>3.  </a:t>
          </a:r>
          <a:r>
            <a:rPr lang="zh-CN" altLang="en-US" sz="1100" baseline="0"/>
            <a:t>不能用</a:t>
          </a:r>
          <a:r>
            <a:rPr lang="en-US" altLang="zh-CN" sz="1100" baseline="0"/>
            <a:t>V</a:t>
          </a:r>
          <a:r>
            <a:rPr lang="zh-CN" altLang="en-US" sz="1100" baseline="0"/>
            <a:t>，可以用函数</a:t>
          </a:r>
          <a:endParaRPr lang="zh-CN" altLang="en-US" sz="1100"/>
        </a:p>
      </xdr:txBody>
    </xdr:sp>
    <xdr:clientData/>
  </xdr:twoCellAnchor>
  <xdr:twoCellAnchor>
    <xdr:from>
      <xdr:col>0</xdr:col>
      <xdr:colOff>38099</xdr:colOff>
      <xdr:row>13</xdr:row>
      <xdr:rowOff>133350</xdr:rowOff>
    </xdr:from>
    <xdr:to>
      <xdr:col>2</xdr:col>
      <xdr:colOff>533400</xdr:colOff>
      <xdr:row>19</xdr:row>
      <xdr:rowOff>38100</xdr:rowOff>
    </xdr:to>
    <xdr:sp macro="" textlink="">
      <xdr:nvSpPr>
        <xdr:cNvPr id="4" name="圆角矩形标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099" y="2733675"/>
          <a:ext cx="1400176" cy="990600"/>
        </a:xfrm>
        <a:prstGeom prst="wedgeRoundRectCallout">
          <a:avLst>
            <a:gd name="adj1" fmla="val 33882"/>
            <a:gd name="adj2" fmla="val -68825"/>
            <a:gd name="adj3" fmla="val 16667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zh-CN" altLang="en-US" sz="900">
              <a:solidFill>
                <a:schemeClr val="tx1"/>
              </a:solidFill>
            </a:rPr>
            <a:t>修改实际值为</a:t>
          </a:r>
          <a:r>
            <a:rPr lang="en-US" altLang="zh-CN" sz="900">
              <a:solidFill>
                <a:schemeClr val="tx1"/>
              </a:solidFill>
            </a:rPr>
            <a:t>0~1500</a:t>
          </a:r>
          <a:r>
            <a:rPr lang="zh-CN" altLang="en-US" sz="900">
              <a:solidFill>
                <a:schemeClr val="tx1"/>
              </a:solidFill>
            </a:rPr>
            <a:t>的随机数，使之更贴近现实，假定第一个月及随后任意某个月没开张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McKinsey1">
      <a:dk1>
        <a:sysClr val="windowText" lastClr="000000"/>
      </a:dk1>
      <a:lt1>
        <a:sysClr val="window" lastClr="FFFFFF"/>
      </a:lt1>
      <a:dk2>
        <a:srgbClr val="FFF9F1"/>
      </a:dk2>
      <a:lt2>
        <a:srgbClr val="F1F1F1"/>
      </a:lt2>
      <a:accent1>
        <a:srgbClr val="00828F"/>
      </a:accent1>
      <a:accent2>
        <a:srgbClr val="65C6CC"/>
      </a:accent2>
      <a:accent3>
        <a:srgbClr val="25A7DB"/>
      </a:accent3>
      <a:accent4>
        <a:srgbClr val="E06D26"/>
      </a:accent4>
      <a:accent5>
        <a:srgbClr val="9EB1BB"/>
      </a:accent5>
      <a:accent6>
        <a:srgbClr val="E2DFCA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1"/>
  <sheetViews>
    <sheetView showGridLines="0" tabSelected="1" workbookViewId="0"/>
  </sheetViews>
  <sheetFormatPr defaultRowHeight="15.95" customHeight="1" x14ac:dyDescent="0.2"/>
  <cols>
    <col min="1" max="1" width="2.625" style="1" customWidth="1"/>
    <col min="2" max="2" width="6.5" style="1" customWidth="1"/>
    <col min="3" max="3" width="13.75" style="1" bestFit="1" customWidth="1"/>
    <col min="4" max="4" width="14.375" style="1" bestFit="1" customWidth="1"/>
    <col min="5" max="5" width="13.75" style="1" bestFit="1" customWidth="1"/>
    <col min="6" max="6" width="14.375" style="1" bestFit="1" customWidth="1"/>
    <col min="7" max="7" width="2.625" style="1" customWidth="1"/>
    <col min="8" max="16384" width="9" style="1"/>
  </cols>
  <sheetData>
    <row r="2" spans="2:4" ht="15.95" customHeight="1" thickBot="1" x14ac:dyDescent="0.25">
      <c r="B2" s="3"/>
      <c r="C2" s="4" t="s">
        <v>0</v>
      </c>
      <c r="D2" s="4" t="s">
        <v>1</v>
      </c>
    </row>
    <row r="3" spans="2:4" ht="15.95" customHeight="1" thickTop="1" x14ac:dyDescent="0.2">
      <c r="B3" s="5" t="s">
        <v>2</v>
      </c>
      <c r="C3" s="6">
        <v>49</v>
      </c>
      <c r="D3" s="6">
        <v>15</v>
      </c>
    </row>
    <row r="4" spans="2:4" ht="15.95" customHeight="1" x14ac:dyDescent="0.2">
      <c r="B4" s="7" t="s">
        <v>3</v>
      </c>
      <c r="C4" s="2">
        <v>38</v>
      </c>
      <c r="D4" s="2">
        <v>29</v>
      </c>
    </row>
    <row r="5" spans="2:4" ht="15.95" customHeight="1" x14ac:dyDescent="0.2">
      <c r="B5" s="7" t="s">
        <v>4</v>
      </c>
      <c r="C5" s="2">
        <v>54</v>
      </c>
      <c r="D5" s="2">
        <v>26</v>
      </c>
    </row>
    <row r="6" spans="2:4" ht="15.95" customHeight="1" x14ac:dyDescent="0.2">
      <c r="B6" s="7" t="s">
        <v>5</v>
      </c>
      <c r="C6" s="2">
        <v>60</v>
      </c>
      <c r="D6" s="2">
        <v>88</v>
      </c>
    </row>
    <row r="7" spans="2:4" ht="15.95" customHeight="1" x14ac:dyDescent="0.2">
      <c r="B7" s="7" t="s">
        <v>6</v>
      </c>
      <c r="C7" s="2">
        <v>76</v>
      </c>
      <c r="D7" s="2">
        <v>13</v>
      </c>
    </row>
    <row r="8" spans="2:4" ht="15.95" customHeight="1" x14ac:dyDescent="0.2">
      <c r="B8" s="7" t="s">
        <v>7</v>
      </c>
      <c r="C8" s="2">
        <v>46</v>
      </c>
      <c r="D8" s="2">
        <v>37</v>
      </c>
    </row>
    <row r="9" spans="2:4" ht="15.95" customHeight="1" x14ac:dyDescent="0.2">
      <c r="B9" s="7" t="s">
        <v>8</v>
      </c>
      <c r="C9" s="2">
        <v>15</v>
      </c>
      <c r="D9" s="2">
        <v>49</v>
      </c>
    </row>
    <row r="10" spans="2:4" ht="15.95" customHeight="1" x14ac:dyDescent="0.2">
      <c r="B10" s="7" t="s">
        <v>9</v>
      </c>
      <c r="C10" s="2">
        <v>36</v>
      </c>
      <c r="D10" s="2">
        <v>32</v>
      </c>
    </row>
    <row r="11" spans="2:4" ht="15.95" customHeight="1" x14ac:dyDescent="0.2">
      <c r="B11" s="7" t="s">
        <v>10</v>
      </c>
      <c r="C11" s="2">
        <v>29</v>
      </c>
      <c r="D11" s="2">
        <v>71</v>
      </c>
    </row>
    <row r="12" spans="2:4" ht="15.95" customHeight="1" x14ac:dyDescent="0.2">
      <c r="B12" s="7" t="s">
        <v>11</v>
      </c>
      <c r="C12" s="2">
        <v>50</v>
      </c>
      <c r="D12" s="2">
        <v>93</v>
      </c>
    </row>
    <row r="13" spans="2:4" ht="15.95" customHeight="1" x14ac:dyDescent="0.2">
      <c r="B13" s="7" t="s">
        <v>12</v>
      </c>
      <c r="C13" s="2">
        <v>39</v>
      </c>
      <c r="D13" s="2">
        <v>21</v>
      </c>
    </row>
    <row r="14" spans="2:4" ht="15.95" customHeight="1" x14ac:dyDescent="0.2">
      <c r="B14" s="7" t="s">
        <v>13</v>
      </c>
      <c r="C14" s="2">
        <v>51</v>
      </c>
      <c r="D14" s="2">
        <v>69</v>
      </c>
    </row>
    <row r="19" spans="2:6" ht="15.95" customHeight="1" thickBot="1" x14ac:dyDescent="0.25">
      <c r="B19" s="3"/>
      <c r="C19" s="4" t="s">
        <v>14</v>
      </c>
      <c r="D19" s="4" t="s">
        <v>15</v>
      </c>
      <c r="E19" s="4" t="s">
        <v>16</v>
      </c>
      <c r="F19" s="4" t="s">
        <v>17</v>
      </c>
    </row>
    <row r="20" spans="2:6" ht="15.95" customHeight="1" thickTop="1" x14ac:dyDescent="0.2">
      <c r="B20" s="5" t="s">
        <v>2</v>
      </c>
      <c r="C20" s="6">
        <v>49</v>
      </c>
      <c r="D20" s="6" t="e">
        <f>NA()</f>
        <v>#N/A</v>
      </c>
      <c r="E20" s="6">
        <v>15</v>
      </c>
      <c r="F20" s="6" t="e">
        <f>NA()</f>
        <v>#N/A</v>
      </c>
    </row>
    <row r="21" spans="2:6" ht="15.95" customHeight="1" x14ac:dyDescent="0.2">
      <c r="B21" s="7" t="s">
        <v>3</v>
      </c>
      <c r="C21" s="2">
        <v>38</v>
      </c>
      <c r="D21" s="2" t="e">
        <f>NA()</f>
        <v>#N/A</v>
      </c>
      <c r="E21" s="2">
        <v>29</v>
      </c>
      <c r="F21" s="2" t="e">
        <f>NA()</f>
        <v>#N/A</v>
      </c>
    </row>
    <row r="22" spans="2:6" ht="15.95" customHeight="1" x14ac:dyDescent="0.2">
      <c r="B22" s="7" t="s">
        <v>4</v>
      </c>
      <c r="C22" s="2">
        <v>54</v>
      </c>
      <c r="D22" s="2" t="e">
        <f>NA()</f>
        <v>#N/A</v>
      </c>
      <c r="E22" s="2">
        <v>81</v>
      </c>
      <c r="F22" s="2" t="e">
        <f>NA()</f>
        <v>#N/A</v>
      </c>
    </row>
    <row r="23" spans="2:6" ht="15.95" customHeight="1" x14ac:dyDescent="0.2">
      <c r="B23" s="7" t="s">
        <v>5</v>
      </c>
      <c r="C23" s="2">
        <v>60</v>
      </c>
      <c r="D23" s="2">
        <v>60</v>
      </c>
      <c r="E23" s="2">
        <v>54</v>
      </c>
      <c r="F23" s="2">
        <v>54</v>
      </c>
    </row>
    <row r="24" spans="2:6" ht="15.95" customHeight="1" x14ac:dyDescent="0.2">
      <c r="B24" s="7" t="s">
        <v>6</v>
      </c>
      <c r="C24" s="2" t="e">
        <f>NA()</f>
        <v>#N/A</v>
      </c>
      <c r="D24" s="2">
        <v>76</v>
      </c>
      <c r="E24" s="2" t="e">
        <f>NA()</f>
        <v>#N/A</v>
      </c>
      <c r="F24" s="2">
        <v>13</v>
      </c>
    </row>
    <row r="25" spans="2:6" ht="15.95" customHeight="1" x14ac:dyDescent="0.2">
      <c r="B25" s="7" t="s">
        <v>7</v>
      </c>
      <c r="C25" s="2" t="e">
        <f>NA()</f>
        <v>#N/A</v>
      </c>
      <c r="D25" s="2">
        <v>46</v>
      </c>
      <c r="E25" s="2" t="e">
        <f>NA()</f>
        <v>#N/A</v>
      </c>
      <c r="F25" s="2">
        <v>37</v>
      </c>
    </row>
    <row r="26" spans="2:6" ht="15.95" customHeight="1" x14ac:dyDescent="0.2">
      <c r="B26" s="7" t="s">
        <v>8</v>
      </c>
      <c r="C26" s="2" t="e">
        <f>NA()</f>
        <v>#N/A</v>
      </c>
      <c r="D26" s="2">
        <v>15</v>
      </c>
      <c r="E26" s="2" t="e">
        <f>NA()</f>
        <v>#N/A</v>
      </c>
      <c r="F26" s="2">
        <v>49</v>
      </c>
    </row>
    <row r="27" spans="2:6" ht="15.95" customHeight="1" x14ac:dyDescent="0.2">
      <c r="B27" s="7" t="s">
        <v>9</v>
      </c>
      <c r="C27" s="2" t="e">
        <f>NA()</f>
        <v>#N/A</v>
      </c>
      <c r="D27" s="2">
        <v>36</v>
      </c>
      <c r="E27" s="2" t="e">
        <f>NA()</f>
        <v>#N/A</v>
      </c>
      <c r="F27" s="2">
        <v>32</v>
      </c>
    </row>
    <row r="28" spans="2:6" ht="15.95" customHeight="1" x14ac:dyDescent="0.2">
      <c r="B28" s="7" t="s">
        <v>10</v>
      </c>
      <c r="C28" s="2" t="e">
        <f>NA()</f>
        <v>#N/A</v>
      </c>
      <c r="D28" s="2">
        <v>29</v>
      </c>
      <c r="E28" s="2" t="e">
        <f>NA()</f>
        <v>#N/A</v>
      </c>
      <c r="F28" s="2">
        <v>71</v>
      </c>
    </row>
    <row r="29" spans="2:6" ht="15.95" customHeight="1" x14ac:dyDescent="0.2">
      <c r="B29" s="7" t="s">
        <v>11</v>
      </c>
      <c r="C29" s="2" t="e">
        <f>NA()</f>
        <v>#N/A</v>
      </c>
      <c r="D29" s="2">
        <v>50</v>
      </c>
      <c r="E29" s="2" t="e">
        <f>NA()</f>
        <v>#N/A</v>
      </c>
      <c r="F29" s="2">
        <v>93</v>
      </c>
    </row>
    <row r="30" spans="2:6" ht="15.95" customHeight="1" x14ac:dyDescent="0.2">
      <c r="B30" s="7" t="s">
        <v>12</v>
      </c>
      <c r="C30" s="2" t="e">
        <f>NA()</f>
        <v>#N/A</v>
      </c>
      <c r="D30" s="2">
        <v>39</v>
      </c>
      <c r="E30" s="2" t="e">
        <f>NA()</f>
        <v>#N/A</v>
      </c>
      <c r="F30" s="2">
        <v>21</v>
      </c>
    </row>
    <row r="31" spans="2:6" ht="15.95" customHeight="1" x14ac:dyDescent="0.2">
      <c r="B31" s="7" t="s">
        <v>13</v>
      </c>
      <c r="C31" s="2" t="e">
        <f>NA()</f>
        <v>#N/A</v>
      </c>
      <c r="D31" s="2">
        <v>51</v>
      </c>
      <c r="E31" s="2" t="e">
        <f>NA()</f>
        <v>#N/A</v>
      </c>
      <c r="F31" s="2">
        <v>69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/>
  </sheetViews>
  <sheetFormatPr defaultRowHeight="12.75" x14ac:dyDescent="0.2"/>
  <cols>
    <col min="1" max="1" width="5.25" style="8" customWidth="1"/>
    <col min="2" max="2" width="14.125" style="9" customWidth="1"/>
    <col min="3" max="3" width="13.5" style="9" customWidth="1"/>
    <col min="4" max="4" width="15.125" style="9" customWidth="1"/>
    <col min="5" max="5" width="16.75" style="9" customWidth="1"/>
    <col min="6" max="6" width="15.125" style="9" customWidth="1"/>
    <col min="7" max="7" width="9" style="9"/>
    <col min="8" max="16384" width="9" style="8"/>
  </cols>
  <sheetData>
    <row r="1" spans="1:6" ht="13.5" thickBot="1" x14ac:dyDescent="0.25">
      <c r="A1" s="12"/>
      <c r="B1" s="13" t="s">
        <v>18</v>
      </c>
      <c r="C1" s="13" t="s">
        <v>19</v>
      </c>
      <c r="D1" s="14" t="s">
        <v>24</v>
      </c>
      <c r="E1" s="14" t="s">
        <v>25</v>
      </c>
      <c r="F1" s="14" t="s">
        <v>26</v>
      </c>
    </row>
    <row r="2" spans="1:6" ht="13.5" thickTop="1" x14ac:dyDescent="0.2">
      <c r="A2" s="15" t="s">
        <v>2</v>
      </c>
      <c r="B2" s="16">
        <f ca="1">RANDBETWEEN(100,1000)</f>
        <v>569</v>
      </c>
      <c r="C2" s="17">
        <v>0</v>
      </c>
      <c r="D2" s="16">
        <f>IF(C2&lt;&gt;"",SUM($C$2:C2),NA())</f>
        <v>0</v>
      </c>
      <c r="E2" s="16" t="e">
        <f ca="1">IF(COUNT($C$2:C2),IF(SUM($C$2:C2)&lt;SUM($C$2:C3),NA(),IF(SUM($C$2:C2)=SUM($C$2:C3)+ROW()-(COUNT($C$2:$C$13)+1),SUM($C$2:$C$13),E1+B2)),SUM($B$2:B2))</f>
        <v>#N/A</v>
      </c>
      <c r="F2" s="16">
        <f ca="1">SUM($B$2:B2)</f>
        <v>569</v>
      </c>
    </row>
    <row r="3" spans="1:6" x14ac:dyDescent="0.2">
      <c r="A3" s="18" t="s">
        <v>3</v>
      </c>
      <c r="B3" s="11">
        <f t="shared" ref="B3:B8" ca="1" si="0">RANDBETWEEN(100,1000)</f>
        <v>443</v>
      </c>
      <c r="C3" s="11">
        <f t="shared" ref="C3:C10" ca="1" si="1">RANDBETWEEN(0,1500)</f>
        <v>681</v>
      </c>
      <c r="D3" s="11">
        <f ca="1">IF(C3&lt;&gt;"",SUM($C$2:C3),NA())</f>
        <v>681</v>
      </c>
      <c r="E3" s="11" t="e">
        <f ca="1">IF(COUNT($C$2:C3),IF(SUM($C$2:C3)&lt;SUM($C$2:C4),NA(),IF(SUM($C$2:C3)=SUM($C$2:C4)+ROW()-(COUNT($C$2:$C$13)+1),SUM($C$2:$C$13),E2+B3)),SUM($B$2:B3))</f>
        <v>#N/A</v>
      </c>
      <c r="F3" s="11">
        <f ca="1">SUM($B$2:B3)</f>
        <v>1012</v>
      </c>
    </row>
    <row r="4" spans="1:6" x14ac:dyDescent="0.2">
      <c r="A4" s="19" t="s">
        <v>4</v>
      </c>
      <c r="B4" s="20">
        <f t="shared" ca="1" si="0"/>
        <v>531</v>
      </c>
      <c r="C4" s="20">
        <f t="shared" ca="1" si="1"/>
        <v>904</v>
      </c>
      <c r="D4" s="20">
        <f ca="1">IF(C4&lt;&gt;"",SUM($C$2:C4),NA())</f>
        <v>1585</v>
      </c>
      <c r="E4" s="20" t="e">
        <f ca="1">IF(COUNT($C$2:C4),IF(SUM($C$2:C4)&lt;SUM($C$2:C5),NA(),IF(SUM($C$2:C4)=SUM($C$2:C5)+ROW()-(COUNT($C$2:$C$13)+1),SUM($C$2:$C$13),E3+B4)),SUM($B$2:B4))</f>
        <v>#N/A</v>
      </c>
      <c r="F4" s="20">
        <f ca="1">SUM($B$2:B4)</f>
        <v>1543</v>
      </c>
    </row>
    <row r="5" spans="1:6" x14ac:dyDescent="0.2">
      <c r="A5" s="18" t="s">
        <v>5</v>
      </c>
      <c r="B5" s="11">
        <f t="shared" ca="1" si="0"/>
        <v>230</v>
      </c>
      <c r="C5" s="11">
        <f t="shared" ca="1" si="1"/>
        <v>778</v>
      </c>
      <c r="D5" s="11">
        <f ca="1">IF(C5&lt;&gt;"",SUM($C$2:C5),NA())</f>
        <v>2363</v>
      </c>
      <c r="E5" s="11" t="e">
        <f ca="1">IF(COUNT($C$2:C5),IF(SUM($C$2:C5)&lt;SUM($C$2:C6),NA(),IF(SUM($C$2:C5)=SUM($C$2:C6)+ROW()-(COUNT($C$2:$C$13)+1),SUM($C$2:$C$13),E4+B5)),SUM($B$2:B5))</f>
        <v>#N/A</v>
      </c>
      <c r="F5" s="11">
        <f ca="1">SUM($B$2:B5)</f>
        <v>1773</v>
      </c>
    </row>
    <row r="6" spans="1:6" x14ac:dyDescent="0.2">
      <c r="A6" s="19" t="s">
        <v>6</v>
      </c>
      <c r="B6" s="20">
        <f t="shared" ca="1" si="0"/>
        <v>851</v>
      </c>
      <c r="C6" s="21">
        <v>0</v>
      </c>
      <c r="D6" s="20">
        <f ca="1">IF(C6&lt;&gt;"",SUM($C$2:C6),NA())</f>
        <v>2363</v>
      </c>
      <c r="E6" s="20" t="e">
        <f ca="1">IF(COUNT($C$2:C6),IF(SUM($C$2:C6)&lt;SUM($C$2:C7),NA(),IF(SUM($C$2:C6)=SUM($C$2:C7)+ROW()-(COUNT($C$2:$C$13)+1),SUM($C$2:$C$13),E5+B6)),SUM($B$2:B6))</f>
        <v>#N/A</v>
      </c>
      <c r="F6" s="20">
        <f ca="1">SUM($B$2:B6)</f>
        <v>2624</v>
      </c>
    </row>
    <row r="7" spans="1:6" x14ac:dyDescent="0.2">
      <c r="A7" s="18" t="s">
        <v>7</v>
      </c>
      <c r="B7" s="11">
        <f t="shared" ca="1" si="0"/>
        <v>241</v>
      </c>
      <c r="C7" s="11">
        <f t="shared" ca="1" si="1"/>
        <v>1213</v>
      </c>
      <c r="D7" s="11">
        <f ca="1">IF(C7&lt;&gt;"",SUM($C$2:C7),NA())</f>
        <v>3576</v>
      </c>
      <c r="E7" s="11" t="e">
        <f ca="1">IF(COUNT($C$2:C7),IF(SUM($C$2:C7)&lt;SUM($C$2:C8),NA(),IF(SUM($C$2:C7)=SUM($C$2:C8)+ROW()-(COUNT($C$2:$C$13)+1),SUM($C$2:$C$13),E6+B7)),SUM($B$2:B7))</f>
        <v>#N/A</v>
      </c>
      <c r="F7" s="11">
        <f ca="1">SUM($B$2:B7)</f>
        <v>2865</v>
      </c>
    </row>
    <row r="8" spans="1:6" x14ac:dyDescent="0.2">
      <c r="A8" s="19" t="s">
        <v>8</v>
      </c>
      <c r="B8" s="20">
        <f t="shared" ca="1" si="0"/>
        <v>196</v>
      </c>
      <c r="C8" s="20">
        <f t="shared" ca="1" si="1"/>
        <v>941</v>
      </c>
      <c r="D8" s="20">
        <f ca="1">IF(C8&lt;&gt;"",SUM($C$2:C8),NA())</f>
        <v>4517</v>
      </c>
      <c r="E8" s="20" t="e">
        <f ca="1">IF(COUNT($C$2:C8),IF(SUM($C$2:C8)&lt;SUM($C$2:C9),NA(),IF(SUM($C$2:C8)=SUM($C$2:C9)+ROW()-(COUNT($C$2:$C$13)+1),SUM($C$2:$C$13),E7+B8)),SUM($B$2:B8))</f>
        <v>#N/A</v>
      </c>
      <c r="F8" s="20">
        <f ca="1">SUM($B$2:B8)</f>
        <v>3061</v>
      </c>
    </row>
    <row r="9" spans="1:6" x14ac:dyDescent="0.2">
      <c r="A9" s="18" t="s">
        <v>9</v>
      </c>
      <c r="B9" s="11">
        <f t="shared" ref="B9:B13" ca="1" si="2">RANDBETWEEN(100,1000)</f>
        <v>369</v>
      </c>
      <c r="C9" s="11">
        <f t="shared" ca="1" si="1"/>
        <v>1193</v>
      </c>
      <c r="D9" s="11">
        <f ca="1">IF(C9&lt;&gt;"",SUM($C$2:C9),NA())</f>
        <v>5710</v>
      </c>
      <c r="E9" s="11" t="e">
        <f ca="1">IF(COUNT($C$2:C9),IF(SUM($C$2:C9)&lt;SUM($C$2:C10),NA(),IF(SUM($C$2:C9)=SUM($C$2:C10)+ROW()-(COUNT($C$2:$C$13)+1),SUM($C$2:$C$13),E8+B9)),SUM($B$2:B9))</f>
        <v>#N/A</v>
      </c>
      <c r="F9" s="11">
        <f ca="1">SUM($B$2:B9)</f>
        <v>3430</v>
      </c>
    </row>
    <row r="10" spans="1:6" x14ac:dyDescent="0.2">
      <c r="A10" s="19" t="s">
        <v>10</v>
      </c>
      <c r="B10" s="20">
        <f t="shared" ca="1" si="2"/>
        <v>371</v>
      </c>
      <c r="C10" s="20">
        <f t="shared" ca="1" si="1"/>
        <v>818</v>
      </c>
      <c r="D10" s="20">
        <f ca="1">IF(C10&lt;&gt;"",SUM($C$2:C10),NA())</f>
        <v>6528</v>
      </c>
      <c r="E10" s="20">
        <f ca="1">IF(COUNT($C$2:C10),IF(SUM($C$2:C10)&lt;SUM($C$2:C11),NA(),IF(SUM($C$2:C10)=SUM($C$2:C11)+ROW()-(COUNT($C$2:$C$13)+1),SUM($C$2:$C$13),E9+B10)),SUM($B$2:B10))</f>
        <v>6528</v>
      </c>
      <c r="F10" s="20">
        <f ca="1">SUM($B$2:B10)</f>
        <v>3801</v>
      </c>
    </row>
    <row r="11" spans="1:6" x14ac:dyDescent="0.2">
      <c r="A11" s="18" t="s">
        <v>11</v>
      </c>
      <c r="B11" s="11">
        <f t="shared" ca="1" si="2"/>
        <v>753</v>
      </c>
      <c r="C11" s="11"/>
      <c r="D11" s="11" t="e">
        <f>IF(C11&lt;&gt;"",SUM($C$2:C11),NA())</f>
        <v>#N/A</v>
      </c>
      <c r="E11" s="11">
        <f ca="1">IF(COUNT($C$2:C11),IF(SUM($C$2:C11)&lt;SUM($C$2:C12),NA(),IF(SUM($C$2:C11)=SUM($C$2:C12)+ROW()-(COUNT($C$2:$C$13)+1),SUM($C$2:$C$13),E10+B11)),SUM($B$2:B11))</f>
        <v>7281</v>
      </c>
      <c r="F11" s="11">
        <f ca="1">SUM($B$2:B11)</f>
        <v>4554</v>
      </c>
    </row>
    <row r="12" spans="1:6" x14ac:dyDescent="0.2">
      <c r="A12" s="19" t="s">
        <v>12</v>
      </c>
      <c r="B12" s="20">
        <f t="shared" ca="1" si="2"/>
        <v>647</v>
      </c>
      <c r="C12" s="20"/>
      <c r="D12" s="20" t="e">
        <f>IF(C12&lt;&gt;"",SUM($C$2:C12),NA())</f>
        <v>#N/A</v>
      </c>
      <c r="E12" s="20">
        <f ca="1">IF(COUNT($C$2:C12),IF(SUM($C$2:C12)&lt;SUM($C$2:C13),NA(),IF(SUM($C$2:C12)=SUM($C$2:C13)+ROW()-(COUNT($C$2:$C$13)+1),SUM($C$2:$C$13),E11+B12)),SUM($B$2:B12))</f>
        <v>7928</v>
      </c>
      <c r="F12" s="20">
        <f ca="1">SUM($B$2:B12)</f>
        <v>5201</v>
      </c>
    </row>
    <row r="13" spans="1:6" x14ac:dyDescent="0.2">
      <c r="A13" s="18" t="s">
        <v>13</v>
      </c>
      <c r="B13" s="11">
        <f t="shared" ca="1" si="2"/>
        <v>850</v>
      </c>
      <c r="C13" s="11"/>
      <c r="D13" s="11" t="e">
        <f>IF(C13&lt;&gt;"",SUM($C$2:C13),NA())</f>
        <v>#N/A</v>
      </c>
      <c r="E13" s="11">
        <f ca="1">IF(COUNT($C$2:C13),IF(SUM($C$2:C13)&lt;SUM($C$2:C14),NA(),IF(SUM($C$2:C13)=SUM($C$2:C14)+ROW()-(COUNT($C$2:$C$13)+1),SUM($C$2:$C$13),E12+B13)),SUM($B$2:B13))</f>
        <v>8778</v>
      </c>
      <c r="F13" s="11">
        <f ca="1">SUM($B$2:B13)</f>
        <v>6051</v>
      </c>
    </row>
    <row r="16" spans="1:6" x14ac:dyDescent="0.2">
      <c r="D16" s="10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样式1</vt:lpstr>
      <vt:lpstr>样式2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bj01zx121</dc:creator>
  <cp:lastModifiedBy>Administrator</cp:lastModifiedBy>
  <dcterms:created xsi:type="dcterms:W3CDTF">2012-01-20T02:28:05Z</dcterms:created>
  <dcterms:modified xsi:type="dcterms:W3CDTF">2018-11-06T13:13:37Z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abe27605-6c3c-468b-bfe1-d44a60816ede</vt:lpwstr>
  </property>
</Properties>
</file>