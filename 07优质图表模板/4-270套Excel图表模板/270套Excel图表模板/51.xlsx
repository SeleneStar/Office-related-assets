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activeTab="1"/>
  </bookViews>
  <sheets>
    <sheet name="【ok】Z16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2" l="1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2" i="1" l="1"/>
  <c r="E33" i="1"/>
  <c r="E34" i="1"/>
  <c r="E35" i="1"/>
  <c r="E36" i="1"/>
  <c r="E37" i="1"/>
  <c r="E38" i="1"/>
  <c r="E39" i="1"/>
  <c r="E40" i="1"/>
  <c r="E41" i="1"/>
  <c r="E42" i="1"/>
  <c r="E31" i="1"/>
  <c r="D32" i="1"/>
  <c r="D33" i="1"/>
  <c r="D34" i="1"/>
  <c r="D35" i="1"/>
  <c r="D36" i="1"/>
  <c r="D37" i="1"/>
  <c r="D38" i="1"/>
  <c r="D39" i="1"/>
  <c r="D40" i="1"/>
  <c r="D41" i="1"/>
  <c r="D42" i="1"/>
  <c r="D31" i="1"/>
  <c r="C32" i="1"/>
  <c r="C33" i="1"/>
  <c r="C34" i="1"/>
  <c r="C35" i="1"/>
  <c r="C36" i="1"/>
  <c r="C37" i="1"/>
  <c r="C38" i="1"/>
  <c r="C39" i="1"/>
  <c r="C40" i="1"/>
  <c r="C41" i="1"/>
  <c r="C42" i="1"/>
  <c r="C31" i="1"/>
  <c r="D4" i="1"/>
  <c r="D5" i="1"/>
  <c r="D6" i="1"/>
  <c r="D7" i="1"/>
  <c r="D8" i="1"/>
  <c r="D9" i="1"/>
  <c r="D10" i="1"/>
  <c r="D11" i="1"/>
  <c r="D12" i="1"/>
  <c r="D13" i="1"/>
  <c r="D14" i="1"/>
  <c r="D3" i="1"/>
  <c r="C4" i="1"/>
  <c r="C5" i="1"/>
  <c r="C6" i="1"/>
  <c r="C7" i="1"/>
  <c r="C8" i="1"/>
  <c r="C9" i="1"/>
  <c r="C10" i="1"/>
  <c r="C11" i="1"/>
  <c r="C12" i="1"/>
  <c r="C13" i="1"/>
  <c r="C14" i="1"/>
  <c r="C3" i="1"/>
  <c r="E15" i="1"/>
  <c r="E2" i="1"/>
  <c r="E3" i="1" l="1"/>
  <c r="E4" i="1"/>
  <c r="E5" i="1"/>
  <c r="E6" i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<sst xmlns="http://schemas.openxmlformats.org/spreadsheetml/2006/main" count="59" uniqueCount="17">
  <si>
    <t xml:space="preserve"> 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</si>
  <si>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</si>
  <si>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</si>
  <si>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</si>
  <si>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</si>
  <si>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</si>
  <si>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</si>
  <si>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</si>
  <si>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</si>
  <si>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</si>
  <si>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</si>
  <si>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</si>
  <si>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</si>
  <si>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工资总额</t>
    <phoneticPr fontId="1" type="noConversion"/>
  </si>
  <si>
    <t>平均值</t>
    <phoneticPr fontId="1" type="noConversion"/>
  </si>
  <si>
    <t>最小值</t>
    <phoneticPr fontId="1" type="noConversion"/>
  </si>
  <si>
    <t>最大值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</si>
</sst>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 sz="1600">
                <a:latin typeface="微软雅黑" panose="020B0503020204020204" pitchFamily="34" charset="-122"/>
                <a:ea typeface="微软雅黑" panose="020B0503020204020204" pitchFamily="34" charset="-122"/>
              </a:rPr>
              <a:t>1-12</a:t>
            </a:r>
            <a:r>
              <a:rPr lang="zh-CN" altLang="en-US" sz="1600">
                <a:latin typeface="微软雅黑" panose="020B0503020204020204" pitchFamily="34" charset="-122"/>
                <a:ea typeface="微软雅黑" panose="020B0503020204020204" pitchFamily="34" charset="-122"/>
              </a:rPr>
              <a:t>月工资柱形图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6833008710956851E-2"/>
          <c:y val="0.13736066163250629"/>
          <c:w val="0.83007203232069615"/>
          <c:h val="0.6152882184225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【ok】Z16!$B$1</c:f>
              <c:strCache>
                <c:ptCount val="1"/>
                <c:pt idx="0">
                  <c:v>工资总额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【ok】Z16!$A$2:$A$15</c:f>
              <c:strCache>
                <c:ptCount val="13"/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【ok】Z16!$B$2:$B$15</c:f>
              <c:numCache>
                <c:formatCode>General</c:formatCode>
                <c:ptCount val="14"/>
                <c:pt idx="1">
                  <c:v>43</c:v>
                </c:pt>
                <c:pt idx="2">
                  <c:v>29</c:v>
                </c:pt>
                <c:pt idx="3">
                  <c:v>35</c:v>
                </c:pt>
                <c:pt idx="4">
                  <c:v>40</c:v>
                </c:pt>
                <c:pt idx="5">
                  <c:v>33</c:v>
                </c:pt>
                <c:pt idx="6">
                  <c:v>22</c:v>
                </c:pt>
                <c:pt idx="7">
                  <c:v>33</c:v>
                </c:pt>
                <c:pt idx="8">
                  <c:v>38</c:v>
                </c:pt>
                <c:pt idx="9">
                  <c:v>45</c:v>
                </c:pt>
                <c:pt idx="10">
                  <c:v>23</c:v>
                </c:pt>
                <c:pt idx="11">
                  <c:v>20</c:v>
                </c:pt>
                <c:pt idx="12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-1158214192"/>
        <c:axId val="-1158212560"/>
      </c:barChart>
      <c:barChart>
        <c:barDir val="col"/>
        <c:grouping val="clustered"/>
        <c:varyColors val="0"/>
        <c:ser>
          <c:idx val="1"/>
          <c:order val="1"/>
          <c:tx>
            <c:strRef>
              <c:f>【ok】Z16!$C$1</c:f>
              <c:strCache>
                <c:ptCount val="1"/>
                <c:pt idx="0">
                  <c:v>最大值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【ok】Z16!$A$3:$A$14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【ok】Z16!$C$2:$C$15</c:f>
              <c:numCache>
                <c:formatCode>General</c:formatCode>
                <c:ptCount val="14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45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【ok】Z16!$D$1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【ok】Z16!$A$3:$A$14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【ok】Z16!$D$2:$D$15</c:f>
              <c:numCache>
                <c:formatCode>General</c:formatCode>
                <c:ptCount val="14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100"/>
        <c:axId val="-1158217456"/>
        <c:axId val="-1158212016"/>
      </c:barChart>
      <c:lineChart>
        <c:grouping val="standard"/>
        <c:varyColors val="0"/>
        <c:ser>
          <c:idx val="3"/>
          <c:order val="3"/>
          <c:tx>
            <c:strRef>
              <c:f>【ok】Z16!$E$1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4.68933177022275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【ok】Z16!$A$2:$A$15</c:f>
              <c:strCache>
                <c:ptCount val="13"/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【ok】Z16!$E$2:$E$15</c:f>
              <c:numCache>
                <c:formatCode>0.00_ </c:formatCode>
                <c:ptCount val="14"/>
                <c:pt idx="0">
                  <c:v>31.583333333333332</c:v>
                </c:pt>
                <c:pt idx="1">
                  <c:v>31.583333333333332</c:v>
                </c:pt>
                <c:pt idx="2">
                  <c:v>31.583333333333332</c:v>
                </c:pt>
                <c:pt idx="3">
                  <c:v>31.583333333333332</c:v>
                </c:pt>
                <c:pt idx="4">
                  <c:v>31.583333333333332</c:v>
                </c:pt>
                <c:pt idx="5">
                  <c:v>31.583333333333332</c:v>
                </c:pt>
                <c:pt idx="6">
                  <c:v>31.583333333333332</c:v>
                </c:pt>
                <c:pt idx="7">
                  <c:v>31.583333333333332</c:v>
                </c:pt>
                <c:pt idx="8">
                  <c:v>31.583333333333332</c:v>
                </c:pt>
                <c:pt idx="9">
                  <c:v>31.583333333333332</c:v>
                </c:pt>
                <c:pt idx="10">
                  <c:v>31.583333333333332</c:v>
                </c:pt>
                <c:pt idx="11">
                  <c:v>31.583333333333332</c:v>
                </c:pt>
                <c:pt idx="12">
                  <c:v>31.583333333333332</c:v>
                </c:pt>
                <c:pt idx="13">
                  <c:v>31.583333333333332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58214192"/>
        <c:axId val="-1158212560"/>
      </c:lineChart>
      <c:catAx>
        <c:axId val="-115821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158212560"/>
        <c:crosses val="autoZero"/>
        <c:auto val="1"/>
        <c:lblAlgn val="ctr"/>
        <c:lblOffset val="100"/>
        <c:noMultiLvlLbl val="0"/>
      </c:catAx>
      <c:valAx>
        <c:axId val="-1158212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158214192"/>
        <c:crosses val="autoZero"/>
        <c:crossBetween val="between"/>
      </c:valAx>
      <c:valAx>
        <c:axId val="-11582120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158217456"/>
        <c:crosses val="max"/>
        <c:crossBetween val="between"/>
      </c:valAx>
      <c:catAx>
        <c:axId val="-115821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15821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734271199687365E-2"/>
          <c:y val="0.9213408194525845"/>
          <c:w val="0.45954692556634302"/>
          <c:h val="5.30163936859447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1-12</a:t>
            </a:r>
            <a:r>
              <a:rPr lang="zh-CN" altLang="en-US" sz="1600" b="1"/>
              <a:t>月工资柱形图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7973856209150325E-2"/>
          <c:y val="0.12398571892242778"/>
          <c:w val="0.85543991889593196"/>
          <c:h val="0.64034685813899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【ok】Z16!$B$30</c:f>
              <c:strCache>
                <c:ptCount val="1"/>
                <c:pt idx="0">
                  <c:v>工资总额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【ok】Z16!$B$31:$B$42</c:f>
              <c:numCache>
                <c:formatCode>General</c:formatCode>
                <c:ptCount val="12"/>
                <c:pt idx="0">
                  <c:v>43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33</c:v>
                </c:pt>
                <c:pt idx="5">
                  <c:v>30</c:v>
                </c:pt>
                <c:pt idx="6">
                  <c:v>33</c:v>
                </c:pt>
                <c:pt idx="7">
                  <c:v>38</c:v>
                </c:pt>
                <c:pt idx="8">
                  <c:v>45</c:v>
                </c:pt>
                <c:pt idx="9">
                  <c:v>23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-559705744"/>
        <c:axId val="-559704112"/>
      </c:barChart>
      <c:barChart>
        <c:barDir val="col"/>
        <c:grouping val="clustered"/>
        <c:varyColors val="0"/>
        <c:ser>
          <c:idx val="1"/>
          <c:order val="1"/>
          <c:tx>
            <c:strRef>
              <c:f>【ok】Z16!$C$30</c:f>
              <c:strCache>
                <c:ptCount val="1"/>
                <c:pt idx="0">
                  <c:v>最大值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【ok】Z16!$C$31:$C$42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【ok】Z16!$D$30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【ok】Z16!$D$31:$D$42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100"/>
        <c:axId val="-559704656"/>
        <c:axId val="-559705200"/>
      </c:barChart>
      <c:lineChart>
        <c:grouping val="standard"/>
        <c:varyColors val="0"/>
        <c:ser>
          <c:idx val="3"/>
          <c:order val="3"/>
          <c:tx>
            <c:strRef>
              <c:f>【ok】Z16!$E$30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5708451146716933E-3"/>
                  <c:y val="-1.51929504709814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【ok】Z16!$E$31:$E$42</c:f>
              <c:numCache>
                <c:formatCode>0.00_ </c:formatCode>
                <c:ptCount val="12"/>
                <c:pt idx="0">
                  <c:v>32.25</c:v>
                </c:pt>
                <c:pt idx="1">
                  <c:v>32.25</c:v>
                </c:pt>
                <c:pt idx="2">
                  <c:v>32.25</c:v>
                </c:pt>
                <c:pt idx="3">
                  <c:v>32.25</c:v>
                </c:pt>
                <c:pt idx="4">
                  <c:v>32.25</c:v>
                </c:pt>
                <c:pt idx="5">
                  <c:v>32.25</c:v>
                </c:pt>
                <c:pt idx="6">
                  <c:v>32.25</c:v>
                </c:pt>
                <c:pt idx="7">
                  <c:v>32.25</c:v>
                </c:pt>
                <c:pt idx="8">
                  <c:v>32.25</c:v>
                </c:pt>
                <c:pt idx="9">
                  <c:v>32.25</c:v>
                </c:pt>
                <c:pt idx="10">
                  <c:v>32.25</c:v>
                </c:pt>
                <c:pt idx="11">
                  <c:v>32.25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59705744"/>
        <c:axId val="-559704112"/>
      </c:lineChart>
      <c:catAx>
        <c:axId val="-5597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559704112"/>
        <c:crosses val="autoZero"/>
        <c:auto val="1"/>
        <c:lblAlgn val="ctr"/>
        <c:lblOffset val="100"/>
        <c:noMultiLvlLbl val="0"/>
      </c:catAx>
      <c:valAx>
        <c:axId val="-559704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559705744"/>
        <c:crosses val="autoZero"/>
        <c:crossBetween val="between"/>
      </c:valAx>
      <c:valAx>
        <c:axId val="-55970520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559704656"/>
        <c:crosses val="max"/>
        <c:crossBetween val="between"/>
      </c:valAx>
      <c:catAx>
        <c:axId val="-55970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5970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44320643763559E-2"/>
          <c:y val="0.93384561343797112"/>
          <c:w val="0.48519362186788156"/>
          <c:h val="5.3066409151686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1-12</a:t>
            </a:r>
            <a:r>
              <a:rPr lang="zh-CN" altLang="en-US" sz="1600" b="1"/>
              <a:t>月工资柱形图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7973856209150325E-2"/>
          <c:y val="0.12398571892242778"/>
          <c:w val="0.85543991889593196"/>
          <c:h val="0.64034685813899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【ok】Z16!$B$30</c:f>
              <c:strCache>
                <c:ptCount val="1"/>
                <c:pt idx="0">
                  <c:v>工资总额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【ok】Z16!$B$31:$B$42</c:f>
              <c:numCache>
                <c:formatCode>General</c:formatCode>
                <c:ptCount val="12"/>
                <c:pt idx="0">
                  <c:v>43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33</c:v>
                </c:pt>
                <c:pt idx="5">
                  <c:v>30</c:v>
                </c:pt>
                <c:pt idx="6">
                  <c:v>33</c:v>
                </c:pt>
                <c:pt idx="7">
                  <c:v>38</c:v>
                </c:pt>
                <c:pt idx="8">
                  <c:v>45</c:v>
                </c:pt>
                <c:pt idx="9">
                  <c:v>23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-574631568"/>
        <c:axId val="-752192800"/>
      </c:barChart>
      <c:barChart>
        <c:barDir val="col"/>
        <c:grouping val="clustered"/>
        <c:varyColors val="0"/>
        <c:ser>
          <c:idx val="1"/>
          <c:order val="1"/>
          <c:tx>
            <c:strRef>
              <c:f>【ok】Z16!$C$30</c:f>
              <c:strCache>
                <c:ptCount val="1"/>
                <c:pt idx="0">
                  <c:v>最大值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【ok】Z16!$C$31:$C$42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【ok】Z16!$D$30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【ok】Z16!$D$31:$D$42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100"/>
        <c:axId val="-752194432"/>
        <c:axId val="-752192256"/>
      </c:barChart>
      <c:lineChart>
        <c:grouping val="standard"/>
        <c:varyColors val="0"/>
        <c:ser>
          <c:idx val="3"/>
          <c:order val="3"/>
          <c:tx>
            <c:strRef>
              <c:f>【ok】Z16!$E$30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5708451146716933E-3"/>
                  <c:y val="-1.51929504709814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【ok】Z16!$A$31:$A$42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【ok】Z16!$E$31:$E$42</c:f>
              <c:numCache>
                <c:formatCode>0.00_ </c:formatCode>
                <c:ptCount val="12"/>
                <c:pt idx="0">
                  <c:v>32.25</c:v>
                </c:pt>
                <c:pt idx="1">
                  <c:v>32.25</c:v>
                </c:pt>
                <c:pt idx="2">
                  <c:v>32.25</c:v>
                </c:pt>
                <c:pt idx="3">
                  <c:v>32.25</c:v>
                </c:pt>
                <c:pt idx="4">
                  <c:v>32.25</c:v>
                </c:pt>
                <c:pt idx="5">
                  <c:v>32.25</c:v>
                </c:pt>
                <c:pt idx="6">
                  <c:v>32.25</c:v>
                </c:pt>
                <c:pt idx="7">
                  <c:v>32.25</c:v>
                </c:pt>
                <c:pt idx="8">
                  <c:v>32.25</c:v>
                </c:pt>
                <c:pt idx="9">
                  <c:v>32.25</c:v>
                </c:pt>
                <c:pt idx="10">
                  <c:v>32.25</c:v>
                </c:pt>
                <c:pt idx="11">
                  <c:v>32.25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4631568"/>
        <c:axId val="-752192800"/>
      </c:lineChart>
      <c:catAx>
        <c:axId val="-5746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752192800"/>
        <c:crosses val="autoZero"/>
        <c:auto val="1"/>
        <c:lblAlgn val="ctr"/>
        <c:lblOffset val="100"/>
        <c:noMultiLvlLbl val="0"/>
      </c:catAx>
      <c:valAx>
        <c:axId val="-752192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574631568"/>
        <c:crosses val="autoZero"/>
        <c:crossBetween val="between"/>
      </c:valAx>
      <c:valAx>
        <c:axId val="-7521922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752194432"/>
        <c:crosses val="max"/>
        <c:crossBetween val="between"/>
      </c:valAx>
      <c:catAx>
        <c:axId val="-75219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75219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44320643763559E-2"/>
          <c:y val="0.93384561343797112"/>
          <c:w val="0.48519362186788156"/>
          <c:h val="5.3066409151686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6"/>
                <c:pt idx="0">
                  <c:v>43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33</c:v>
                </c:pt>
                <c:pt idx="5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459657104"/>
        <c:axId val="-459664176"/>
      </c:barChart>
      <c:scatterChart>
        <c:scatterStyle val="lineMarker"/>
        <c:varyColors val="0"/>
        <c:ser>
          <c:idx val="1"/>
          <c:order val="1"/>
          <c:tx>
            <c:strRef>
              <c:f>Sheet1!$C$2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2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Sheet1!$C$3:$C$8</c:f>
              <c:numCache>
                <c:formatCode>General</c:formatCode>
                <c:ptCount val="6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2197696"/>
        <c:axId val="-752191712"/>
      </c:scatterChart>
      <c:catAx>
        <c:axId val="-4596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459664176"/>
        <c:crosses val="autoZero"/>
        <c:auto val="1"/>
        <c:lblAlgn val="ctr"/>
        <c:lblOffset val="100"/>
        <c:noMultiLvlLbl val="0"/>
      </c:catAx>
      <c:valAx>
        <c:axId val="-4596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459657104"/>
        <c:crosses val="autoZero"/>
        <c:crossBetween val="between"/>
      </c:valAx>
      <c:valAx>
        <c:axId val="-752191712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752197696"/>
        <c:crosses val="max"/>
        <c:crossBetween val="midCat"/>
      </c:valAx>
      <c:valAx>
        <c:axId val="-752197696"/>
        <c:scaling>
          <c:orientation val="minMax"/>
        </c:scaling>
        <c:delete val="1"/>
        <c:axPos val="b"/>
        <c:majorTickMark val="out"/>
        <c:minorTickMark val="none"/>
        <c:tickLblPos val="nextTo"/>
        <c:crossAx val="-75219171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110490</xdr:rowOff>
    </xdr:from>
    <xdr:to>
      <xdr:col>17</xdr:col>
      <xdr:colOff>91440</xdr:colOff>
      <xdr:row>23</xdr:row>
      <xdr:rowOff>129540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487680</xdr:colOff>
      <xdr:row>28</xdr:row>
      <xdr:rowOff>45720</xdr:rowOff>
    </xdr:from>
    <xdr:to>
      <xdr:col>16</xdr:col>
      <xdr:colOff>472440</xdr:colOff>
      <xdr:row>50</xdr:row>
      <xdr:rowOff>60960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28</xdr:row>
      <xdr:rowOff>45720</xdr:rowOff>
    </xdr:from>
    <xdr:to>
      <xdr:col>16</xdr:col>
      <xdr:colOff>472440</xdr:colOff>
      <xdr:row>50</xdr:row>
      <xdr:rowOff>60960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7</xdr:row>
      <xdr:rowOff>41910</xdr:rowOff>
    </xdr:from>
    <xdr:to>
      <xdr:col>12</xdr:col>
      <xdr:colOff>438150</xdr:colOff>
      <xdr:row>22</xdr:row>
      <xdr:rowOff>41910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zoomScaleNormal="100" workbookViewId="0">
      <selection activeCell="V37" sqref="A1:XFD1048576"/>
    </sheetView>
  </sheetViews>
  <sheetFormatPr defaultRowHeight="14.4" x14ac:dyDescent="0.25"/>
  <cols>
    <col min="1" max="1" width="8.88671875" style="1"/>
    <col min="2" max="5" width="11.77734375" style="1" customWidth="1"/>
    <col min="6" max="16384" width="8.88671875" style="1"/>
  </cols>
  <sheetData>
    <row r="1" spans="1:20" x14ac:dyDescent="0.25">
      <c r="A1" s="1" t="s">
        <v>0</v>
      </c>
      <c r="B1" s="1" t="s">
        <v>13</v>
      </c>
      <c r="C1" s="1" t="s">
        <v>16</v>
      </c>
      <c r="D1" s="1" t="s">
        <v>15</v>
      </c>
      <c r="E1" s="1" t="s">
        <v>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E2" s="3">
        <f t="shared" ref="E2:E15" si="0">AVERAGE($B$3:$B$14)</f>
        <v>31.583333333333332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 t="s">
        <v>1</v>
      </c>
      <c r="B3" s="1">
        <v>43</v>
      </c>
      <c r="C3" s="2" t="e">
        <f>IF(B3&lt;&gt;MAX($B$3:$B$14),#N/A,B3)</f>
        <v>#N/A</v>
      </c>
      <c r="D3" s="1" t="e">
        <f>IF(B3&lt;&gt;MIN($B$3:$B$14),#N/A,B3)</f>
        <v>#N/A</v>
      </c>
      <c r="E3" s="3">
        <f t="shared" si="0"/>
        <v>31.583333333333332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1" t="s">
        <v>2</v>
      </c>
      <c r="B4" s="1">
        <v>29</v>
      </c>
      <c r="C4" s="2" t="e">
        <f t="shared" ref="C4:C14" si="1">IF(B4&lt;&gt;MAX($B$3:$B$14),#N/A,B4)</f>
        <v>#N/A</v>
      </c>
      <c r="D4" s="1" t="e">
        <f t="shared" ref="D4:D14" si="2">IF(B4&lt;&gt;MIN($B$3:$B$14),#N/A,B4)</f>
        <v>#N/A</v>
      </c>
      <c r="E4" s="3">
        <f t="shared" si="0"/>
        <v>31.583333333333332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1" t="s">
        <v>3</v>
      </c>
      <c r="B5" s="1">
        <v>35</v>
      </c>
      <c r="C5" s="2" t="e">
        <f t="shared" si="1"/>
        <v>#N/A</v>
      </c>
      <c r="D5" s="1" t="e">
        <f t="shared" si="2"/>
        <v>#N/A</v>
      </c>
      <c r="E5" s="3">
        <f t="shared" si="0"/>
        <v>31.583333333333332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1" t="s">
        <v>4</v>
      </c>
      <c r="B6" s="1">
        <v>40</v>
      </c>
      <c r="C6" s="2" t="e">
        <f t="shared" si="1"/>
        <v>#N/A</v>
      </c>
      <c r="D6" s="1" t="e">
        <f t="shared" si="2"/>
        <v>#N/A</v>
      </c>
      <c r="E6" s="3">
        <f t="shared" si="0"/>
        <v>31.583333333333332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1" t="s">
        <v>5</v>
      </c>
      <c r="B7" s="1">
        <v>33</v>
      </c>
      <c r="C7" s="2" t="e">
        <f t="shared" si="1"/>
        <v>#N/A</v>
      </c>
      <c r="D7" s="1" t="e">
        <f t="shared" si="2"/>
        <v>#N/A</v>
      </c>
      <c r="E7" s="3">
        <f t="shared" si="0"/>
        <v>31.583333333333332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5">
      <c r="A8" s="1" t="s">
        <v>6</v>
      </c>
      <c r="B8" s="1">
        <v>22</v>
      </c>
      <c r="C8" s="2" t="e">
        <f t="shared" si="1"/>
        <v>#N/A</v>
      </c>
      <c r="D8" s="1" t="e">
        <f t="shared" si="2"/>
        <v>#N/A</v>
      </c>
      <c r="E8" s="3">
        <f t="shared" si="0"/>
        <v>31.583333333333332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s="1" t="s">
        <v>7</v>
      </c>
      <c r="B9" s="1">
        <v>33</v>
      </c>
      <c r="C9" s="2" t="e">
        <f t="shared" si="1"/>
        <v>#N/A</v>
      </c>
      <c r="D9" s="1" t="e">
        <f t="shared" si="2"/>
        <v>#N/A</v>
      </c>
      <c r="E9" s="3">
        <f t="shared" si="0"/>
        <v>31.583333333333332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5">
      <c r="A10" s="1" t="s">
        <v>8</v>
      </c>
      <c r="B10" s="1">
        <v>38</v>
      </c>
      <c r="C10" s="2" t="e">
        <f t="shared" si="1"/>
        <v>#N/A</v>
      </c>
      <c r="D10" s="1" t="e">
        <f t="shared" si="2"/>
        <v>#N/A</v>
      </c>
      <c r="E10" s="3">
        <f t="shared" si="0"/>
        <v>31.583333333333332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A11" s="1" t="s">
        <v>9</v>
      </c>
      <c r="B11" s="1">
        <v>45</v>
      </c>
      <c r="C11" s="2">
        <f t="shared" si="1"/>
        <v>45</v>
      </c>
      <c r="D11" s="1" t="e">
        <f t="shared" si="2"/>
        <v>#N/A</v>
      </c>
      <c r="E11" s="3">
        <f t="shared" si="0"/>
        <v>31.583333333333332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5">
      <c r="A12" s="1" t="s">
        <v>10</v>
      </c>
      <c r="B12" s="1">
        <v>23</v>
      </c>
      <c r="C12" s="2" t="e">
        <f t="shared" si="1"/>
        <v>#N/A</v>
      </c>
      <c r="D12" s="1" t="e">
        <f t="shared" si="2"/>
        <v>#N/A</v>
      </c>
      <c r="E12" s="3">
        <f t="shared" si="0"/>
        <v>31.583333333333332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1" t="s">
        <v>11</v>
      </c>
      <c r="B13" s="1">
        <v>20</v>
      </c>
      <c r="C13" s="2" t="e">
        <f t="shared" si="1"/>
        <v>#N/A</v>
      </c>
      <c r="D13" s="1" t="e">
        <f t="shared" si="2"/>
        <v>#N/A</v>
      </c>
      <c r="E13" s="3">
        <f t="shared" si="0"/>
        <v>31.583333333333332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5">
      <c r="A14" s="1" t="s">
        <v>12</v>
      </c>
      <c r="B14" s="1">
        <v>18</v>
      </c>
      <c r="C14" s="2" t="e">
        <f t="shared" si="1"/>
        <v>#N/A</v>
      </c>
      <c r="D14" s="1">
        <f t="shared" si="2"/>
        <v>18</v>
      </c>
      <c r="E14" s="3">
        <f t="shared" si="0"/>
        <v>31.583333333333332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5">
      <c r="E15" s="3">
        <f t="shared" si="0"/>
        <v>31.583333333333332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1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1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1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1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1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1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1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1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1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1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1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1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1" x14ac:dyDescent="0.25">
      <c r="A30" s="1" t="s">
        <v>0</v>
      </c>
      <c r="B30" s="1" t="s">
        <v>13</v>
      </c>
      <c r="C30" s="1" t="s">
        <v>16</v>
      </c>
      <c r="D30" s="1" t="s">
        <v>15</v>
      </c>
      <c r="E30" s="1" t="s">
        <v>14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1" x14ac:dyDescent="0.25">
      <c r="A31" s="1" t="s">
        <v>1</v>
      </c>
      <c r="B31" s="1">
        <v>43</v>
      </c>
      <c r="C31" s="2" t="e">
        <f>IF(B31&lt;&gt;MAX($B$31:$B$42),#N/A,B31)</f>
        <v>#N/A</v>
      </c>
      <c r="D31" s="1" t="e">
        <f>IF(B31&lt;&gt;MIN($B$31:$B$42),#N/A,B31)</f>
        <v>#N/A</v>
      </c>
      <c r="E31" s="3">
        <f>AVERAGE($B$31:$B$42)</f>
        <v>32.25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1" x14ac:dyDescent="0.25">
      <c r="A32" s="1" t="s">
        <v>2</v>
      </c>
      <c r="B32" s="1">
        <v>29</v>
      </c>
      <c r="C32" s="2" t="e">
        <f t="shared" ref="C32:C42" si="3">IF(B32&lt;&gt;MAX($B$31:$B$42),#N/A,B32)</f>
        <v>#N/A</v>
      </c>
      <c r="D32" s="1" t="e">
        <f t="shared" ref="D32:D42" si="4">IF(B32&lt;&gt;MIN($B$31:$B$42),#N/A,B32)</f>
        <v>#N/A</v>
      </c>
      <c r="E32" s="3">
        <f t="shared" ref="E32:E42" si="5">AVERAGE($B$31:$B$42)</f>
        <v>32.25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5">
      <c r="A33" s="1" t="s">
        <v>3</v>
      </c>
      <c r="B33" s="1">
        <v>35</v>
      </c>
      <c r="C33" s="2" t="e">
        <f t="shared" si="3"/>
        <v>#N/A</v>
      </c>
      <c r="D33" s="1" t="e">
        <f t="shared" si="4"/>
        <v>#N/A</v>
      </c>
      <c r="E33" s="3">
        <f t="shared" si="5"/>
        <v>32.25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5">
      <c r="A34" s="1" t="s">
        <v>4</v>
      </c>
      <c r="B34" s="1">
        <v>40</v>
      </c>
      <c r="C34" s="2" t="e">
        <f t="shared" si="3"/>
        <v>#N/A</v>
      </c>
      <c r="D34" s="1" t="e">
        <f t="shared" si="4"/>
        <v>#N/A</v>
      </c>
      <c r="E34" s="3">
        <f t="shared" si="5"/>
        <v>32.25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5">
      <c r="A35" s="1" t="s">
        <v>5</v>
      </c>
      <c r="B35" s="1">
        <v>33</v>
      </c>
      <c r="C35" s="2" t="e">
        <f t="shared" si="3"/>
        <v>#N/A</v>
      </c>
      <c r="D35" s="1" t="e">
        <f t="shared" si="4"/>
        <v>#N/A</v>
      </c>
      <c r="E35" s="3">
        <f t="shared" si="5"/>
        <v>32.25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5">
      <c r="A36" s="1" t="s">
        <v>6</v>
      </c>
      <c r="B36" s="1">
        <v>30</v>
      </c>
      <c r="C36" s="2" t="e">
        <f t="shared" si="3"/>
        <v>#N/A</v>
      </c>
      <c r="D36" s="1" t="e">
        <f t="shared" si="4"/>
        <v>#N/A</v>
      </c>
      <c r="E36" s="3">
        <f t="shared" si="5"/>
        <v>32.25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20" x14ac:dyDescent="0.25">
      <c r="A37" s="1" t="s">
        <v>7</v>
      </c>
      <c r="B37" s="1">
        <v>33</v>
      </c>
      <c r="C37" s="2" t="e">
        <f t="shared" si="3"/>
        <v>#N/A</v>
      </c>
      <c r="D37" s="1" t="e">
        <f t="shared" si="4"/>
        <v>#N/A</v>
      </c>
      <c r="E37" s="3">
        <f t="shared" si="5"/>
        <v>32.25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20" x14ac:dyDescent="0.25">
      <c r="A38" s="1" t="s">
        <v>8</v>
      </c>
      <c r="B38" s="1">
        <v>38</v>
      </c>
      <c r="C38" s="2" t="e">
        <f t="shared" si="3"/>
        <v>#N/A</v>
      </c>
      <c r="D38" s="1" t="e">
        <f t="shared" si="4"/>
        <v>#N/A</v>
      </c>
      <c r="E38" s="3">
        <f t="shared" si="5"/>
        <v>32.25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20" x14ac:dyDescent="0.25">
      <c r="A39" s="1" t="s">
        <v>9</v>
      </c>
      <c r="B39" s="1">
        <v>45</v>
      </c>
      <c r="C39" s="2">
        <f t="shared" si="3"/>
        <v>45</v>
      </c>
      <c r="D39" s="1" t="e">
        <f t="shared" si="4"/>
        <v>#N/A</v>
      </c>
      <c r="E39" s="3">
        <f t="shared" si="5"/>
        <v>32.25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20" x14ac:dyDescent="0.25">
      <c r="A40" s="1" t="s">
        <v>10</v>
      </c>
      <c r="B40" s="1">
        <v>23</v>
      </c>
      <c r="C40" s="2" t="e">
        <f t="shared" si="3"/>
        <v>#N/A</v>
      </c>
      <c r="D40" s="1" t="e">
        <f t="shared" si="4"/>
        <v>#N/A</v>
      </c>
      <c r="E40" s="3">
        <f t="shared" si="5"/>
        <v>32.25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20" x14ac:dyDescent="0.25">
      <c r="A41" s="1" t="s">
        <v>11</v>
      </c>
      <c r="B41" s="1">
        <v>20</v>
      </c>
      <c r="C41" s="2" t="e">
        <f t="shared" si="3"/>
        <v>#N/A</v>
      </c>
      <c r="D41" s="1" t="e">
        <f t="shared" si="4"/>
        <v>#N/A</v>
      </c>
      <c r="E41" s="3">
        <f t="shared" si="5"/>
        <v>32.25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20" x14ac:dyDescent="0.25">
      <c r="A42" s="1" t="s">
        <v>12</v>
      </c>
      <c r="B42" s="1">
        <v>18</v>
      </c>
      <c r="C42" s="2" t="e">
        <f t="shared" si="3"/>
        <v>#N/A</v>
      </c>
      <c r="D42" s="1">
        <f t="shared" si="4"/>
        <v>18</v>
      </c>
      <c r="E42" s="3">
        <f t="shared" si="5"/>
        <v>32.25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20" x14ac:dyDescent="0.25"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20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0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20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0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20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6:19" x14ac:dyDescent="0.25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6:19" x14ac:dyDescent="0.25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6:19" x14ac:dyDescent="0.25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6:19" x14ac:dyDescent="0.25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6:19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6:19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6:19" x14ac:dyDescent="0.2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6:19" x14ac:dyDescent="0.25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6:19" x14ac:dyDescent="0.25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6:19" x14ac:dyDescent="0.2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6:19" x14ac:dyDescent="0.25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6:19" x14ac:dyDescent="0.25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6:19" x14ac:dyDescent="0.25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6:19" x14ac:dyDescent="0.25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6:19" x14ac:dyDescent="0.2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6:19" x14ac:dyDescent="0.25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6:19" x14ac:dyDescent="0.25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6:19" x14ac:dyDescent="0.25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6:19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6:19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6:19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6:19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6:19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6:19" x14ac:dyDescent="0.25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6:19" x14ac:dyDescent="0.25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6:19" x14ac:dyDescent="0.25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6:19" x14ac:dyDescent="0.25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6:19" x14ac:dyDescent="0.25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6:19" x14ac:dyDescent="0.25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6:19" x14ac:dyDescent="0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6:19" x14ac:dyDescent="0.25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6:19" x14ac:dyDescent="0.25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6:19" x14ac:dyDescent="0.25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6:19" x14ac:dyDescent="0.25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6:19" x14ac:dyDescent="0.25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workbookViewId="0">
      <selection activeCell="P19" sqref="P19"/>
    </sheetView>
  </sheetViews>
  <sheetFormatPr defaultRowHeight="14.4" x14ac:dyDescent="0.25"/>
  <cols>
    <col min="1" max="1" width="8.88671875" style="1"/>
    <col min="2" max="5" width="11.77734375" style="1" customWidth="1"/>
    <col min="6" max="16384" width="8.88671875" style="1"/>
  </cols>
  <sheetData>
    <row r="1" spans="1:20" x14ac:dyDescent="0.25">
      <c r="A1" s="1" t="s">
        <v>0</v>
      </c>
      <c r="B1" s="1" t="s">
        <v>13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B2" s="1">
        <v>2016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 t="s">
        <v>1</v>
      </c>
      <c r="B3" s="1">
        <v>43</v>
      </c>
      <c r="C3" s="1">
        <v>33</v>
      </c>
      <c r="D3" s="1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1" t="s">
        <v>2</v>
      </c>
      <c r="B4" s="1">
        <v>29</v>
      </c>
      <c r="C4" s="1">
        <v>33</v>
      </c>
      <c r="D4" s="1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1" t="s">
        <v>3</v>
      </c>
      <c r="B5" s="1">
        <v>35</v>
      </c>
      <c r="C5" s="1">
        <v>33</v>
      </c>
      <c r="D5" s="1">
        <v>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1" t="s">
        <v>4</v>
      </c>
      <c r="B6" s="1">
        <v>40</v>
      </c>
      <c r="C6" s="1">
        <v>33</v>
      </c>
      <c r="D6" s="1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1" t="s">
        <v>5</v>
      </c>
      <c r="B7" s="1">
        <v>33</v>
      </c>
      <c r="C7" s="1">
        <v>33</v>
      </c>
      <c r="D7" s="1">
        <v>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5">
      <c r="A8" s="1" t="s">
        <v>6</v>
      </c>
      <c r="B8" s="1">
        <v>22</v>
      </c>
      <c r="C8" s="1">
        <v>33</v>
      </c>
      <c r="D8" s="1">
        <v>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C9" s="2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5"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1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1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1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1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1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1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1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1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1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1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1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1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1" x14ac:dyDescent="0.25">
      <c r="A30" s="1" t="s">
        <v>0</v>
      </c>
      <c r="B30" s="1" t="s">
        <v>13</v>
      </c>
      <c r="C30" s="1" t="s">
        <v>16</v>
      </c>
      <c r="D30" s="1" t="s">
        <v>15</v>
      </c>
      <c r="E30" s="1" t="s">
        <v>14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1" x14ac:dyDescent="0.25">
      <c r="A31" s="1" t="s">
        <v>1</v>
      </c>
      <c r="B31" s="1">
        <v>43</v>
      </c>
      <c r="C31" s="2" t="e">
        <f>IF(B31&lt;&gt;MAX($B$31:$B$42),#N/A,B31)</f>
        <v>#N/A</v>
      </c>
      <c r="D31" s="1" t="e">
        <f>IF(B31&lt;&gt;MIN($B$31:$B$42),#N/A,B31)</f>
        <v>#N/A</v>
      </c>
      <c r="E31" s="3">
        <f>AVERAGE($B$31:$B$42)</f>
        <v>32.25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1" x14ac:dyDescent="0.25">
      <c r="A32" s="1" t="s">
        <v>2</v>
      </c>
      <c r="B32" s="1">
        <v>29</v>
      </c>
      <c r="C32" s="2" t="e">
        <f t="shared" ref="C32:C42" si="0">IF(B32&lt;&gt;MAX($B$31:$B$42),#N/A,B32)</f>
        <v>#N/A</v>
      </c>
      <c r="D32" s="1" t="e">
        <f t="shared" ref="D32:D42" si="1">IF(B32&lt;&gt;MIN($B$31:$B$42),#N/A,B32)</f>
        <v>#N/A</v>
      </c>
      <c r="E32" s="3">
        <f t="shared" ref="E32:E42" si="2">AVERAGE($B$31:$B$42)</f>
        <v>32.25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5">
      <c r="A33" s="1" t="s">
        <v>3</v>
      </c>
      <c r="B33" s="1">
        <v>35</v>
      </c>
      <c r="C33" s="2" t="e">
        <f t="shared" si="0"/>
        <v>#N/A</v>
      </c>
      <c r="D33" s="1" t="e">
        <f t="shared" si="1"/>
        <v>#N/A</v>
      </c>
      <c r="E33" s="3">
        <f t="shared" si="2"/>
        <v>32.25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5">
      <c r="A34" s="1" t="s">
        <v>4</v>
      </c>
      <c r="B34" s="1">
        <v>40</v>
      </c>
      <c r="C34" s="2" t="e">
        <f t="shared" si="0"/>
        <v>#N/A</v>
      </c>
      <c r="D34" s="1" t="e">
        <f t="shared" si="1"/>
        <v>#N/A</v>
      </c>
      <c r="E34" s="3">
        <f t="shared" si="2"/>
        <v>32.25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5">
      <c r="A35" s="1" t="s">
        <v>5</v>
      </c>
      <c r="B35" s="1">
        <v>33</v>
      </c>
      <c r="C35" s="2" t="e">
        <f t="shared" si="0"/>
        <v>#N/A</v>
      </c>
      <c r="D35" s="1" t="e">
        <f t="shared" si="1"/>
        <v>#N/A</v>
      </c>
      <c r="E35" s="3">
        <f t="shared" si="2"/>
        <v>32.25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5">
      <c r="A36" s="1" t="s">
        <v>6</v>
      </c>
      <c r="B36" s="1">
        <v>30</v>
      </c>
      <c r="C36" s="2" t="e">
        <f t="shared" si="0"/>
        <v>#N/A</v>
      </c>
      <c r="D36" s="1" t="e">
        <f t="shared" si="1"/>
        <v>#N/A</v>
      </c>
      <c r="E36" s="3">
        <f t="shared" si="2"/>
        <v>32.25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20" x14ac:dyDescent="0.25">
      <c r="A37" s="1" t="s">
        <v>7</v>
      </c>
      <c r="B37" s="1">
        <v>33</v>
      </c>
      <c r="C37" s="2" t="e">
        <f t="shared" si="0"/>
        <v>#N/A</v>
      </c>
      <c r="D37" s="1" t="e">
        <f t="shared" si="1"/>
        <v>#N/A</v>
      </c>
      <c r="E37" s="3">
        <f t="shared" si="2"/>
        <v>32.25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20" x14ac:dyDescent="0.25">
      <c r="A38" s="1" t="s">
        <v>8</v>
      </c>
      <c r="B38" s="1">
        <v>38</v>
      </c>
      <c r="C38" s="2" t="e">
        <f t="shared" si="0"/>
        <v>#N/A</v>
      </c>
      <c r="D38" s="1" t="e">
        <f t="shared" si="1"/>
        <v>#N/A</v>
      </c>
      <c r="E38" s="3">
        <f t="shared" si="2"/>
        <v>32.25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20" x14ac:dyDescent="0.25">
      <c r="A39" s="1" t="s">
        <v>9</v>
      </c>
      <c r="B39" s="1">
        <v>45</v>
      </c>
      <c r="C39" s="2">
        <f t="shared" si="0"/>
        <v>45</v>
      </c>
      <c r="D39" s="1" t="e">
        <f t="shared" si="1"/>
        <v>#N/A</v>
      </c>
      <c r="E39" s="3">
        <f t="shared" si="2"/>
        <v>32.25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20" x14ac:dyDescent="0.25">
      <c r="A40" s="1" t="s">
        <v>10</v>
      </c>
      <c r="B40" s="1">
        <v>23</v>
      </c>
      <c r="C40" s="2" t="e">
        <f t="shared" si="0"/>
        <v>#N/A</v>
      </c>
      <c r="D40" s="1" t="e">
        <f t="shared" si="1"/>
        <v>#N/A</v>
      </c>
      <c r="E40" s="3">
        <f t="shared" si="2"/>
        <v>32.25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20" x14ac:dyDescent="0.25">
      <c r="A41" s="1" t="s">
        <v>11</v>
      </c>
      <c r="B41" s="1">
        <v>20</v>
      </c>
      <c r="C41" s="2" t="e">
        <f t="shared" si="0"/>
        <v>#N/A</v>
      </c>
      <c r="D41" s="1" t="e">
        <f t="shared" si="1"/>
        <v>#N/A</v>
      </c>
      <c r="E41" s="3">
        <f t="shared" si="2"/>
        <v>32.25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20" x14ac:dyDescent="0.25">
      <c r="A42" s="1" t="s">
        <v>12</v>
      </c>
      <c r="B42" s="1">
        <v>18</v>
      </c>
      <c r="C42" s="2" t="e">
        <f t="shared" si="0"/>
        <v>#N/A</v>
      </c>
      <c r="D42" s="1">
        <f t="shared" si="1"/>
        <v>18</v>
      </c>
      <c r="E42" s="3">
        <f t="shared" si="2"/>
        <v>32.25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20" x14ac:dyDescent="0.25"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20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0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20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0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20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6:19" x14ac:dyDescent="0.25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6:19" x14ac:dyDescent="0.25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6:19" x14ac:dyDescent="0.25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6:19" x14ac:dyDescent="0.25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6:19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6:19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6:19" x14ac:dyDescent="0.2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6:19" x14ac:dyDescent="0.25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6:19" x14ac:dyDescent="0.25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6:19" x14ac:dyDescent="0.2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6:19" x14ac:dyDescent="0.25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6:19" x14ac:dyDescent="0.25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6:19" x14ac:dyDescent="0.25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6:19" x14ac:dyDescent="0.25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6:19" x14ac:dyDescent="0.2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6:19" x14ac:dyDescent="0.25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6:19" x14ac:dyDescent="0.25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6:19" x14ac:dyDescent="0.25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6:19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6:19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6:19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6:19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6:19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6:19" x14ac:dyDescent="0.25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6:19" x14ac:dyDescent="0.25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6:19" x14ac:dyDescent="0.25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6:19" x14ac:dyDescent="0.25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6:19" x14ac:dyDescent="0.25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6:19" x14ac:dyDescent="0.25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6:19" x14ac:dyDescent="0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6:19" x14ac:dyDescent="0.25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6:19" x14ac:dyDescent="0.25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6:19" x14ac:dyDescent="0.25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6:19" x14ac:dyDescent="0.25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6:19" x14ac:dyDescent="0.25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【ok】Z16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2018-05-16T07:43:12Z</dcterms:created>
  <dcterms:modified xsi:type="dcterms:W3CDTF">2018-05-26T12:27:33Z</dcterms:modified>
</cp:coreProperties>
</file>