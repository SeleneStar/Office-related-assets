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804EA41F-E3DA-476D-BE1A-98D75C593FC2}" xr6:coauthVersionLast="38" xr6:coauthVersionMax="38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3" i="2" l="1"/>
  <c r="H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<sst xmlns="http://schemas.openxmlformats.org/spreadsheetml/2006/main" count="88" uniqueCount="48">
  <si>
    <t>RF 2017</t>
  </si>
  <si>
    <t>RF 2018 August</t>
  </si>
  <si>
    <t>Schweiz</t>
  </si>
  <si>
    <t>Spain</t>
  </si>
  <si>
    <t>Denmark</t>
  </si>
  <si>
    <t>Greece</t>
  </si>
  <si>
    <t>Finnland</t>
  </si>
  <si>
    <t>Italy</t>
  </si>
  <si>
    <t>CZ</t>
  </si>
  <si>
    <t>NO</t>
  </si>
  <si>
    <t>Schweden</t>
  </si>
  <si>
    <t>Belgium</t>
  </si>
  <si>
    <t>SK</t>
  </si>
  <si>
    <t>BG</t>
  </si>
  <si>
    <t>SI</t>
  </si>
  <si>
    <t>France</t>
  </si>
  <si>
    <t>PT</t>
  </si>
  <si>
    <t>Austria</t>
  </si>
  <si>
    <t>PL</t>
  </si>
  <si>
    <t>UK</t>
  </si>
  <si>
    <t>Germany</t>
  </si>
  <si>
    <t>Netherlands</t>
  </si>
  <si>
    <t>RO</t>
  </si>
  <si>
    <t>Japan</t>
  </si>
  <si>
    <t>New Zealand</t>
  </si>
  <si>
    <t>Australia</t>
  </si>
  <si>
    <t>Thailand</t>
  </si>
  <si>
    <t>Indonesia</t>
  </si>
  <si>
    <t>Singapore</t>
  </si>
  <si>
    <t>Malaysia</t>
  </si>
  <si>
    <t>India</t>
  </si>
  <si>
    <t>South Korea</t>
  </si>
  <si>
    <r>
      <t>[</t>
    </r>
    <r>
      <rPr>
        <sz val="10"/>
        <color theme="1"/>
        <rFont val="微软雅黑"/>
        <family val="2"/>
        <charset val="134"/>
      </rPr>
      <t>颜色</t>
    </r>
    <r>
      <rPr>
        <sz val="10"/>
        <color theme="1"/>
        <rFont val="Arial"/>
        <family val="2"/>
      </rPr>
      <t>10]</t>
    </r>
    <r>
      <rPr>
        <sz val="10"/>
        <color theme="1"/>
        <rFont val="Segoe UI Symbol"/>
        <family val="2"/>
      </rPr>
      <t>▲</t>
    </r>
    <r>
      <rPr>
        <sz val="10"/>
        <color theme="1"/>
        <rFont val="Arial"/>
        <family val="2"/>
      </rPr>
      <t>;[</t>
    </r>
    <r>
      <rPr>
        <sz val="10"/>
        <color theme="1"/>
        <rFont val="微软雅黑"/>
        <family val="2"/>
        <charset val="134"/>
      </rPr>
      <t>颜色</t>
    </r>
    <r>
      <rPr>
        <sz val="10"/>
        <color theme="1"/>
        <rFont val="Arial"/>
        <family val="2"/>
      </rPr>
      <t>3]</t>
    </r>
    <r>
      <rPr>
        <sz val="10"/>
        <color theme="1"/>
        <rFont val="Segoe UI Symbol"/>
        <family val="2"/>
      </rPr>
      <t>▼</t>
    </r>
    <r>
      <rPr>
        <sz val="10"/>
        <color theme="1"/>
        <rFont val="Arial"/>
        <family val="2"/>
      </rPr>
      <t>;-</t>
    </r>
    <phoneticPr fontId="1" type="noConversion"/>
  </si>
  <si>
    <t>2017数值x</t>
    <phoneticPr fontId="1" type="noConversion"/>
  </si>
  <si>
    <t>2017数值y</t>
    <phoneticPr fontId="1" type="noConversion"/>
  </si>
  <si>
    <r>
      <t>2017</t>
    </r>
    <r>
      <rPr>
        <sz val="10"/>
        <color theme="1"/>
        <rFont val="微软雅黑"/>
        <family val="2"/>
        <charset val="134"/>
      </rPr>
      <t>标签x</t>
    </r>
    <phoneticPr fontId="1" type="noConversion"/>
  </si>
  <si>
    <r>
      <t>2017</t>
    </r>
    <r>
      <rPr>
        <sz val="10"/>
        <color theme="1"/>
        <rFont val="微软雅黑"/>
        <family val="2"/>
        <charset val="134"/>
      </rPr>
      <t>标签y</t>
    </r>
    <phoneticPr fontId="1" type="noConversion"/>
  </si>
  <si>
    <t>2018数值x</t>
  </si>
  <si>
    <t>2018数值y</t>
  </si>
  <si>
    <t>2018标签x</t>
  </si>
  <si>
    <t>2018标签y</t>
  </si>
  <si>
    <t>箭头x</t>
    <phoneticPr fontId="1" type="noConversion"/>
  </si>
  <si>
    <t>箭头标签</t>
    <phoneticPr fontId="1" type="noConversion"/>
  </si>
  <si>
    <t>箭头y</t>
    <phoneticPr fontId="1" type="noConversion"/>
  </si>
  <si>
    <t>y</t>
    <phoneticPr fontId="1" type="noConversion"/>
  </si>
  <si>
    <r>
      <rPr>
        <sz val="10"/>
        <color theme="1"/>
        <rFont val="等线"/>
        <family val="2"/>
      </rPr>
      <t>标签</t>
    </r>
    <r>
      <rPr>
        <sz val="10"/>
        <color theme="1"/>
        <rFont val="Arial"/>
        <family val="2"/>
      </rPr>
      <t>x</t>
    </r>
    <phoneticPr fontId="1" type="noConversion"/>
  </si>
  <si>
    <r>
      <rPr>
        <sz val="10"/>
        <color theme="1"/>
        <rFont val="等线"/>
        <family val="2"/>
      </rPr>
      <t>上升</t>
    </r>
    <phoneticPr fontId="1" type="noConversion"/>
  </si>
  <si>
    <r>
      <rPr>
        <sz val="10"/>
        <color theme="1"/>
        <rFont val="等线"/>
        <family val="2"/>
      </rPr>
      <t>减少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</si>
</sst>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Segoe UI Symbol"/>
      <family val="2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theme="1" tint="0.49998474074526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medium">
        <color theme="1" tint="0.499984740745262"/>
      </bottom>
      <diagonal/>
    </border>
    <border>
      <left/>
      <right/>
      <top style="medium">
        <color theme="1" tint="0.34998626667073579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medium">
        <color theme="1" tint="0.3499862666707357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right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4BB7CED-67D2-4B8C-83F1-00814774999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092033950301664E-2"/>
          <c:y val="1.5402600318126947E-2"/>
          <c:w val="0.8987716876299553"/>
          <c:h val="0.93963277681156232"/>
        </c:manualLayout>
      </c:layout>
      <c:scatterChart>
        <c:scatterStyle val="lineMarker"/>
        <c:varyColors val="0"/>
        <c:ser>
          <c:idx val="0"/>
          <c:order val="0"/>
          <c:tx>
            <c:v>2017数值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Sheet1!$E$2:$E$22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xVal>
          <c:yVal>
            <c:numRef>
              <c:f>Sheet1!$F$2:$F$22</c:f>
              <c:numCache>
                <c:formatCode>General</c:formatCode>
                <c:ptCount val="21"/>
                <c:pt idx="0">
                  <c:v>1.56</c:v>
                </c:pt>
                <c:pt idx="1">
                  <c:v>1.33</c:v>
                </c:pt>
                <c:pt idx="2">
                  <c:v>1.31</c:v>
                </c:pt>
                <c:pt idx="3">
                  <c:v>1.31</c:v>
                </c:pt>
                <c:pt idx="4">
                  <c:v>1.29</c:v>
                </c:pt>
                <c:pt idx="5">
                  <c:v>1.22</c:v>
                </c:pt>
                <c:pt idx="6">
                  <c:v>1.22</c:v>
                </c:pt>
                <c:pt idx="7">
                  <c:v>1.22</c:v>
                </c:pt>
                <c:pt idx="8">
                  <c:v>1.21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1.19</c:v>
                </c:pt>
                <c:pt idx="14">
                  <c:v>1.18</c:v>
                </c:pt>
                <c:pt idx="15">
                  <c:v>1.17</c:v>
                </c:pt>
                <c:pt idx="16">
                  <c:v>1.17</c:v>
                </c:pt>
                <c:pt idx="17">
                  <c:v>1.1599999999999999</c:v>
                </c:pt>
                <c:pt idx="18">
                  <c:v>1.1499999999999999</c:v>
                </c:pt>
                <c:pt idx="19">
                  <c:v>1.1299999999999999</c:v>
                </c:pt>
                <c:pt idx="20">
                  <c:v>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A7-4C8B-A922-769A81A4F7B9}"/>
            </c:ext>
          </c:extLst>
        </c:ser>
        <c:ser>
          <c:idx val="1"/>
          <c:order val="1"/>
          <c:tx>
            <c:v>2017标签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B8522D2-8A3B-435F-9970-1341BA9C2EA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1A7-4C8B-A922-769A81A4F7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7AD197-C403-40C3-AD5A-FF65E41227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1A7-4C8B-A922-769A81A4F7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158546-7639-418F-AB1B-B622E876D2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1A7-4C8B-A922-769A81A4F7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D78DD6-0539-4359-A4EB-5A2E40EB9C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1A7-4C8B-A922-769A81A4F7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6A5BAC-BF54-4EE4-8745-7F93326B1B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1A7-4C8B-A922-769A81A4F7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9133F0F-E4E1-43B7-8D7C-A63DC03B61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1A7-4C8B-A922-769A81A4F7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89506C4-854B-4935-A9FD-22F8E93BFB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1A7-4C8B-A922-769A81A4F7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6109824-70B8-4239-B739-7CC79E8C63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1A7-4C8B-A922-769A81A4F7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E721FD3-9C76-4CBA-B0D2-44E6A8A1639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1A7-4C8B-A922-769A81A4F7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F3A6255-1F9C-4BAC-8AB1-454E4A167F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1A7-4C8B-A922-769A81A4F7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AEFA263-70B2-4802-942F-09789393E8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1A7-4C8B-A922-769A81A4F7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BC7535-48F7-4214-AB82-7CBFA860025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1A7-4C8B-A922-769A81A4F7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CBA104B-4992-40A4-B81E-0B56E73A33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1A7-4C8B-A922-769A81A4F7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4A5F3D2-FBE1-4168-9DBB-7D16D9C199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1A7-4C8B-A922-769A81A4F7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F05CE87-641E-431C-AC4B-E9328FB17E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1A7-4C8B-A922-769A81A4F7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10D9B2A-2B36-4E66-A1BC-18003CB0BE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1A7-4C8B-A922-769A81A4F7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6C488AC-952C-41CB-AB48-AA186A8886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1A7-4C8B-A922-769A81A4F7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1F2933A-E9B1-4186-AF61-F3ED25E7B0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1A7-4C8B-A922-769A81A4F7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BD83D77-1A53-403D-BF16-90BCE089FD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1A7-4C8B-A922-769A81A4F7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4419FAD-33B0-41A8-80C2-D3E691A45F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1A7-4C8B-A922-769A81A4F7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083D45F-428A-4622-B517-5293CBD079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1A7-4C8B-A922-769A81A4F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Sheet1!$G$2:$G$22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xVal>
          <c:yVal>
            <c:numRef>
              <c:f>Sheet1!$H$2:$H$22</c:f>
              <c:numCache>
                <c:formatCode>General</c:formatCode>
                <c:ptCount val="21"/>
                <c:pt idx="0">
                  <c:v>1.56</c:v>
                </c:pt>
                <c:pt idx="1">
                  <c:v>1.33</c:v>
                </c:pt>
                <c:pt idx="2">
                  <c:v>1.31</c:v>
                </c:pt>
                <c:pt idx="3">
                  <c:v>1.31</c:v>
                </c:pt>
                <c:pt idx="4">
                  <c:v>1.29</c:v>
                </c:pt>
                <c:pt idx="5">
                  <c:v>1.22</c:v>
                </c:pt>
                <c:pt idx="6">
                  <c:v>1.22</c:v>
                </c:pt>
                <c:pt idx="7">
                  <c:v>1.22</c:v>
                </c:pt>
                <c:pt idx="8">
                  <c:v>1.21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1.19</c:v>
                </c:pt>
                <c:pt idx="14">
                  <c:v>1.18</c:v>
                </c:pt>
                <c:pt idx="15">
                  <c:v>1.17</c:v>
                </c:pt>
                <c:pt idx="16">
                  <c:v>1.17</c:v>
                </c:pt>
                <c:pt idx="17">
                  <c:v>1.1599999999999999</c:v>
                </c:pt>
                <c:pt idx="18">
                  <c:v>1.1499999999999999</c:v>
                </c:pt>
                <c:pt idx="19">
                  <c:v>1.1299999999999999</c:v>
                </c:pt>
                <c:pt idx="20">
                  <c:v>1.06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Sheet1!$A$2:$A$22</c15:f>
                <c15:dlblRangeCache>
                  <c:ptCount val="21"/>
                  <c:pt idx="0">
                    <c:v>Schweiz</c:v>
                  </c:pt>
                  <c:pt idx="1">
                    <c:v>Spain</c:v>
                  </c:pt>
                  <c:pt idx="2">
                    <c:v>Denmark</c:v>
                  </c:pt>
                  <c:pt idx="3">
                    <c:v>Greece</c:v>
                  </c:pt>
                  <c:pt idx="4">
                    <c:v>Finnland</c:v>
                  </c:pt>
                  <c:pt idx="5">
                    <c:v>Italy</c:v>
                  </c:pt>
                  <c:pt idx="6">
                    <c:v>CZ</c:v>
                  </c:pt>
                  <c:pt idx="7">
                    <c:v>NO</c:v>
                  </c:pt>
                  <c:pt idx="8">
                    <c:v>Schweden</c:v>
                  </c:pt>
                  <c:pt idx="9">
                    <c:v>Belgium</c:v>
                  </c:pt>
                  <c:pt idx="10">
                    <c:v>SK</c:v>
                  </c:pt>
                  <c:pt idx="11">
                    <c:v>BG</c:v>
                  </c:pt>
                  <c:pt idx="12">
                    <c:v>SI</c:v>
                  </c:pt>
                  <c:pt idx="13">
                    <c:v>France</c:v>
                  </c:pt>
                  <c:pt idx="14">
                    <c:v>PT</c:v>
                  </c:pt>
                  <c:pt idx="15">
                    <c:v>Austria</c:v>
                  </c:pt>
                  <c:pt idx="16">
                    <c:v>PL</c:v>
                  </c:pt>
                  <c:pt idx="17">
                    <c:v>UK</c:v>
                  </c:pt>
                  <c:pt idx="18">
                    <c:v>Germany</c:v>
                  </c:pt>
                  <c:pt idx="19">
                    <c:v>Netherlands</c:v>
                  </c:pt>
                  <c:pt idx="20">
                    <c:v>RO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1A7-4C8B-A922-769A81A4F7B9}"/>
            </c:ext>
          </c:extLst>
        </c:ser>
        <c:ser>
          <c:idx val="2"/>
          <c:order val="2"/>
          <c:tx>
            <c:v>2018标签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AC66618-0C07-454E-AF24-90E82740E86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51A7-4C8B-A922-769A81A4F7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1D12501-ECB1-4C5A-8B0B-A5B2997A7E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1A7-4C8B-A922-769A81A4F7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DB3179-9031-4616-B625-ED13E1E30AD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1A7-4C8B-A922-769A81A4F7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706BF9-0D42-4EF2-BBEA-BB7751A7F9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1A7-4C8B-A922-769A81A4F7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276E07-FD58-409B-811B-FE9A35EA35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1A7-4C8B-A922-769A81A4F7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95CFC78-B0E5-4ACF-8410-FACC9F9780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1A7-4C8B-A922-769A81A4F7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95D339F-DDDB-4A6D-AD93-204C7AE349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1A7-4C8B-A922-769A81A4F7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4E736B0-E595-4A56-903B-2E439A6DFE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1A7-4C8B-A922-769A81A4F7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FBC5B65-8C1D-48F6-8333-BAE4134130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1A7-4C8B-A922-769A81A4F7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BE7DC94-2E2E-42CA-BFE3-54D8BB2FD6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1A7-4C8B-A922-769A81A4F7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50ED756-463E-4A7B-8DD6-683F294A41F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1A7-4C8B-A922-769A81A4F7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761461D-148A-4510-A095-806E7EAB7F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1A7-4C8B-A922-769A81A4F7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5219E5B-098A-4C31-B52B-4CD51F45F2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1A7-4C8B-A922-769A81A4F7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7B57B8E-A46D-4164-AB57-B5DE78CB91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1A7-4C8B-A922-769A81A4F7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517198F-D834-48CE-AD47-676496DE92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1A7-4C8B-A922-769A81A4F7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DAF0C22-A100-4A72-8144-8DBB8CD089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1A7-4C8B-A922-769A81A4F7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BA3B371-FB98-4DB9-AEF0-8A71812AF6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1A7-4C8B-A922-769A81A4F7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2FEBF6E-C49A-4E76-9606-01BC934F38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1A7-4C8B-A922-769A81A4F7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4B92E9A-22A3-489C-B0B8-7D424BA89A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1A7-4C8B-A922-769A81A4F7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DBF5F75-42CD-46B8-9363-011D6280B2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1A7-4C8B-A922-769A81A4F7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9B04173-E429-4A16-9FB3-415DBE62F6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1A7-4C8B-A922-769A81A4F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Sheet1!$I$2:$I$22</c:f>
              <c:numCache>
                <c:formatCode>General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xVal>
          <c:yVal>
            <c:numRef>
              <c:f>Sheet1!$J$2:$J$22</c:f>
              <c:numCache>
                <c:formatCode>General</c:formatCode>
                <c:ptCount val="21"/>
                <c:pt idx="0">
                  <c:v>1.54</c:v>
                </c:pt>
                <c:pt idx="1">
                  <c:v>1.31</c:v>
                </c:pt>
                <c:pt idx="2">
                  <c:v>1.33</c:v>
                </c:pt>
                <c:pt idx="3">
                  <c:v>1.3</c:v>
                </c:pt>
                <c:pt idx="4">
                  <c:v>1.29</c:v>
                </c:pt>
                <c:pt idx="5">
                  <c:v>1.24</c:v>
                </c:pt>
                <c:pt idx="6">
                  <c:v>1.21</c:v>
                </c:pt>
                <c:pt idx="7">
                  <c:v>1.21</c:v>
                </c:pt>
                <c:pt idx="8">
                  <c:v>1.2</c:v>
                </c:pt>
                <c:pt idx="9">
                  <c:v>1.22</c:v>
                </c:pt>
                <c:pt idx="10">
                  <c:v>1.23</c:v>
                </c:pt>
                <c:pt idx="11">
                  <c:v>1.23</c:v>
                </c:pt>
                <c:pt idx="12">
                  <c:v>1.22</c:v>
                </c:pt>
                <c:pt idx="13">
                  <c:v>1.2</c:v>
                </c:pt>
                <c:pt idx="14">
                  <c:v>1.2</c:v>
                </c:pt>
                <c:pt idx="15">
                  <c:v>1.18</c:v>
                </c:pt>
                <c:pt idx="16">
                  <c:v>1.19</c:v>
                </c:pt>
                <c:pt idx="17">
                  <c:v>1.1399999999999999</c:v>
                </c:pt>
                <c:pt idx="18">
                  <c:v>1.18</c:v>
                </c:pt>
                <c:pt idx="19">
                  <c:v>1.1599999999999999</c:v>
                </c:pt>
                <c:pt idx="20">
                  <c:v>1.1399999999999999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Sheet1!$A$2:$A$22</c15:f>
                <c15:dlblRangeCache>
                  <c:ptCount val="21"/>
                  <c:pt idx="0">
                    <c:v>Schweiz</c:v>
                  </c:pt>
                  <c:pt idx="1">
                    <c:v>Spain</c:v>
                  </c:pt>
                  <c:pt idx="2">
                    <c:v>Denmark</c:v>
                  </c:pt>
                  <c:pt idx="3">
                    <c:v>Greece</c:v>
                  </c:pt>
                  <c:pt idx="4">
                    <c:v>Finnland</c:v>
                  </c:pt>
                  <c:pt idx="5">
                    <c:v>Italy</c:v>
                  </c:pt>
                  <c:pt idx="6">
                    <c:v>CZ</c:v>
                  </c:pt>
                  <c:pt idx="7">
                    <c:v>NO</c:v>
                  </c:pt>
                  <c:pt idx="8">
                    <c:v>Schweden</c:v>
                  </c:pt>
                  <c:pt idx="9">
                    <c:v>Belgium</c:v>
                  </c:pt>
                  <c:pt idx="10">
                    <c:v>SK</c:v>
                  </c:pt>
                  <c:pt idx="11">
                    <c:v>BG</c:v>
                  </c:pt>
                  <c:pt idx="12">
                    <c:v>SI</c:v>
                  </c:pt>
                  <c:pt idx="13">
                    <c:v>France</c:v>
                  </c:pt>
                  <c:pt idx="14">
                    <c:v>PT</c:v>
                  </c:pt>
                  <c:pt idx="15">
                    <c:v>Austria</c:v>
                  </c:pt>
                  <c:pt idx="16">
                    <c:v>PL</c:v>
                  </c:pt>
                  <c:pt idx="17">
                    <c:v>UK</c:v>
                  </c:pt>
                  <c:pt idx="18">
                    <c:v>Germany</c:v>
                  </c:pt>
                  <c:pt idx="19">
                    <c:v>Netherlands</c:v>
                  </c:pt>
                  <c:pt idx="20">
                    <c:v>RO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1A7-4C8B-A922-769A81A4F7B9}"/>
            </c:ext>
          </c:extLst>
        </c:ser>
        <c:ser>
          <c:idx val="3"/>
          <c:order val="3"/>
          <c:tx>
            <c:v>2018数值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Sheet1!$K$2:$K$22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</c:numCache>
            </c:numRef>
          </c:xVal>
          <c:yVal>
            <c:numRef>
              <c:f>Sheet1!$L$2:$L$22</c:f>
              <c:numCache>
                <c:formatCode>General</c:formatCode>
                <c:ptCount val="21"/>
                <c:pt idx="0">
                  <c:v>1.54</c:v>
                </c:pt>
                <c:pt idx="1">
                  <c:v>1.31</c:v>
                </c:pt>
                <c:pt idx="2">
                  <c:v>1.33</c:v>
                </c:pt>
                <c:pt idx="3">
                  <c:v>1.3</c:v>
                </c:pt>
                <c:pt idx="4">
                  <c:v>1.29</c:v>
                </c:pt>
                <c:pt idx="5">
                  <c:v>1.24</c:v>
                </c:pt>
                <c:pt idx="6">
                  <c:v>1.21</c:v>
                </c:pt>
                <c:pt idx="7">
                  <c:v>1.21</c:v>
                </c:pt>
                <c:pt idx="8">
                  <c:v>1.2</c:v>
                </c:pt>
                <c:pt idx="9">
                  <c:v>1.22</c:v>
                </c:pt>
                <c:pt idx="10">
                  <c:v>1.23</c:v>
                </c:pt>
                <c:pt idx="11">
                  <c:v>1.23</c:v>
                </c:pt>
                <c:pt idx="12">
                  <c:v>1.22</c:v>
                </c:pt>
                <c:pt idx="13">
                  <c:v>1.2</c:v>
                </c:pt>
                <c:pt idx="14">
                  <c:v>1.2</c:v>
                </c:pt>
                <c:pt idx="15">
                  <c:v>1.18</c:v>
                </c:pt>
                <c:pt idx="16">
                  <c:v>1.19</c:v>
                </c:pt>
                <c:pt idx="17">
                  <c:v>1.1399999999999999</c:v>
                </c:pt>
                <c:pt idx="18">
                  <c:v>1.18</c:v>
                </c:pt>
                <c:pt idx="19">
                  <c:v>1.1599999999999999</c:v>
                </c:pt>
                <c:pt idx="20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A7-4C8B-A922-769A81A4F7B9}"/>
            </c:ext>
          </c:extLst>
        </c:ser>
        <c:ser>
          <c:idx val="4"/>
          <c:order val="4"/>
          <c:tx>
            <c:v>箭头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958DF26-7103-426B-9D93-4E54E1DDA2C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51A7-4C8B-A922-769A81A4F7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C34D25F-5B18-4801-A9CD-2449F0D0D7B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1A7-4C8B-A922-769A81A4F7B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CC1D1B-92CE-4450-8BC3-C48DB53DB4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1A7-4C8B-A922-769A81A4F7B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6AD516-EEEC-46D8-A4A7-639C4E454D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1A7-4C8B-A922-769A81A4F7B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989A852-CC06-4A07-BA61-AB15F452CB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1A7-4C8B-A922-769A81A4F7B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941E446-5082-46E9-8935-5C227A8AFF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1A7-4C8B-A922-769A81A4F7B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64DD42-7263-421E-A5C4-381051F9FE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1A7-4C8B-A922-769A81A4F7B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ABE75F1-0516-4FD6-A771-CBAC9CF4AE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1A7-4C8B-A922-769A81A4F7B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42E8CAD-53B9-483D-BD7E-DE1B55A65F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1A7-4C8B-A922-769A81A4F7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6F6C31A-73CB-4507-AE95-1FC9F80F7A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1A7-4C8B-A922-769A81A4F7B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25A48DB-5AB6-46E2-B786-5E49868B68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1A7-4C8B-A922-769A81A4F7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4FC3078-9B31-4657-A0E0-B632ADC6923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1A7-4C8B-A922-769A81A4F7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2DF131D-3B61-42A4-8751-F98E28655E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1A7-4C8B-A922-769A81A4F7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DD30B5B-7DA1-4EA8-A927-E27C3E41A6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1A7-4C8B-A922-769A81A4F7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D0089F0-224C-4CBB-AD76-D43D553385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1A7-4C8B-A922-769A81A4F7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0E9298C-E791-4E73-BAEE-F36A9D9266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1A7-4C8B-A922-769A81A4F7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2AB312C-CA7F-45A6-81AA-7A15164EAC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1A7-4C8B-A922-769A81A4F7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AC9835A-B87C-4E06-9C89-3399F0DDA7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1A7-4C8B-A922-769A81A4F7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951C56E-FAC3-411E-B376-CE9CA726B3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1A7-4C8B-A922-769A81A4F7B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B3C7F15-0C1A-4D6C-B0C5-E82EEA0A4F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1A7-4C8B-A922-769A81A4F7B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CE002D0-9748-44D7-8DC0-BCF803C8C24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1A7-4C8B-A922-769A81A4F7B9}"/>
                </c:ext>
              </c:extLst>
            </c:dLbl>
            <c:numFmt formatCode="[Color10]\▲;[Color3]\▼;\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Sheet1!$M$2:$M$22</c:f>
              <c:numCache>
                <c:formatCode>General</c:formatCode>
                <c:ptCount val="21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</c:numCache>
            </c:numRef>
          </c:xVal>
          <c:yVal>
            <c:numRef>
              <c:f>Sheet1!$N$2:$N$22</c:f>
              <c:numCache>
                <c:formatCode>General</c:formatCode>
                <c:ptCount val="21"/>
                <c:pt idx="0">
                  <c:v>1.54</c:v>
                </c:pt>
                <c:pt idx="1">
                  <c:v>1.31</c:v>
                </c:pt>
                <c:pt idx="2">
                  <c:v>1.33</c:v>
                </c:pt>
                <c:pt idx="3">
                  <c:v>1.3</c:v>
                </c:pt>
                <c:pt idx="4">
                  <c:v>1.29</c:v>
                </c:pt>
                <c:pt idx="5">
                  <c:v>1.24</c:v>
                </c:pt>
                <c:pt idx="6">
                  <c:v>1.21</c:v>
                </c:pt>
                <c:pt idx="7">
                  <c:v>1.21</c:v>
                </c:pt>
                <c:pt idx="8">
                  <c:v>1.2</c:v>
                </c:pt>
                <c:pt idx="9">
                  <c:v>1.22</c:v>
                </c:pt>
                <c:pt idx="10">
                  <c:v>1.23</c:v>
                </c:pt>
                <c:pt idx="11">
                  <c:v>1.23</c:v>
                </c:pt>
                <c:pt idx="12">
                  <c:v>1.22</c:v>
                </c:pt>
                <c:pt idx="13">
                  <c:v>1.2</c:v>
                </c:pt>
                <c:pt idx="14">
                  <c:v>1.2</c:v>
                </c:pt>
                <c:pt idx="15">
                  <c:v>1.18</c:v>
                </c:pt>
                <c:pt idx="16">
                  <c:v>1.19</c:v>
                </c:pt>
                <c:pt idx="17">
                  <c:v>1.1399999999999999</c:v>
                </c:pt>
                <c:pt idx="18">
                  <c:v>1.18</c:v>
                </c:pt>
                <c:pt idx="19">
                  <c:v>1.1599999999999999</c:v>
                </c:pt>
                <c:pt idx="20">
                  <c:v>1.1399999999999999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Sheet1!$O$2:$O$22</c15:f>
                <c15:dlblRangeCache>
                  <c:ptCount val="21"/>
                  <c:pt idx="0">
                    <c:v>-0.02</c:v>
                  </c:pt>
                  <c:pt idx="1">
                    <c:v>-0.02</c:v>
                  </c:pt>
                  <c:pt idx="2">
                    <c:v>0.02</c:v>
                  </c:pt>
                  <c:pt idx="3">
                    <c:v>-0.01</c:v>
                  </c:pt>
                  <c:pt idx="4">
                    <c:v>0</c:v>
                  </c:pt>
                  <c:pt idx="5">
                    <c:v>0.02</c:v>
                  </c:pt>
                  <c:pt idx="6">
                    <c:v>-0.01</c:v>
                  </c:pt>
                  <c:pt idx="7">
                    <c:v>-0.01</c:v>
                  </c:pt>
                  <c:pt idx="8">
                    <c:v>-0.01</c:v>
                  </c:pt>
                  <c:pt idx="9">
                    <c:v>0.02</c:v>
                  </c:pt>
                  <c:pt idx="10">
                    <c:v>0.03</c:v>
                  </c:pt>
                  <c:pt idx="11">
                    <c:v>0.03</c:v>
                  </c:pt>
                  <c:pt idx="12">
                    <c:v>0.02</c:v>
                  </c:pt>
                  <c:pt idx="13">
                    <c:v>0.01</c:v>
                  </c:pt>
                  <c:pt idx="14">
                    <c:v>0.02</c:v>
                  </c:pt>
                  <c:pt idx="15">
                    <c:v>0.01</c:v>
                  </c:pt>
                  <c:pt idx="16">
                    <c:v>0.02</c:v>
                  </c:pt>
                  <c:pt idx="17">
                    <c:v>-0.02</c:v>
                  </c:pt>
                  <c:pt idx="18">
                    <c:v>0.03</c:v>
                  </c:pt>
                  <c:pt idx="19">
                    <c:v>0.03</c:v>
                  </c:pt>
                  <c:pt idx="20">
                    <c:v>0.08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1A7-4C8B-A922-769A81A4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039952"/>
        <c:axId val="891040280"/>
      </c:scatterChart>
      <c:valAx>
        <c:axId val="891039952"/>
        <c:scaling>
          <c:orientation val="minMax"/>
          <c:max val="6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91040280"/>
        <c:crosses val="autoZero"/>
        <c:crossBetween val="midCat"/>
      </c:valAx>
      <c:valAx>
        <c:axId val="89104028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91039952"/>
        <c:crossesAt val="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altLang="zh-CN" sz="1600"/>
              <a:t>EU</a:t>
            </a:r>
          </a:p>
        </c:rich>
      </c:tx>
      <c:layout>
        <c:manualLayout>
          <c:xMode val="edge"/>
          <c:yMode val="edge"/>
          <c:x val="0.47054389034703997"/>
          <c:y val="2.89855072463768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567238990959464"/>
          <c:y val="0.1306741983339039"/>
          <c:w val="0.80016112569262177"/>
          <c:h val="0.78242725094145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RF 2017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plus"/>
            <c:errValType val="cust"/>
            <c:noEndCap val="0"/>
            <c:plus>
              <c:numRef>
                <c:f>Sheet2!$G$2:$G$22</c:f>
                <c:numCache>
                  <c:formatCode>General</c:formatCode>
                  <c:ptCount val="21"/>
                  <c:pt idx="0">
                    <c:v>#N/A</c:v>
                  </c:pt>
                  <c:pt idx="1">
                    <c:v>#N/A</c:v>
                  </c:pt>
                  <c:pt idx="2">
                    <c:v>2.0000000000000018E-2</c:v>
                  </c:pt>
                  <c:pt idx="3">
                    <c:v>#N/A</c:v>
                  </c:pt>
                  <c:pt idx="4">
                    <c:v>0</c:v>
                  </c:pt>
                  <c:pt idx="5">
                    <c:v>2.0000000000000018E-2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2.0000000000000018E-2</c:v>
                  </c:pt>
                  <c:pt idx="10">
                    <c:v>3.0000000000000027E-2</c:v>
                  </c:pt>
                  <c:pt idx="11">
                    <c:v>3.0000000000000027E-2</c:v>
                  </c:pt>
                  <c:pt idx="12">
                    <c:v>2.0000000000000018E-2</c:v>
                  </c:pt>
                  <c:pt idx="13">
                    <c:v>1.0000000000000009E-2</c:v>
                  </c:pt>
                  <c:pt idx="14">
                    <c:v>2.0000000000000018E-2</c:v>
                  </c:pt>
                  <c:pt idx="15">
                    <c:v>1.0000000000000009E-2</c:v>
                  </c:pt>
                  <c:pt idx="16">
                    <c:v>2.0000000000000018E-2</c:v>
                  </c:pt>
                  <c:pt idx="17">
                    <c:v>#N/A</c:v>
                  </c:pt>
                  <c:pt idx="18">
                    <c:v>3.0000000000000027E-2</c:v>
                  </c:pt>
                  <c:pt idx="19">
                    <c:v>3.0000000000000027E-2</c:v>
                  </c:pt>
                  <c:pt idx="20">
                    <c:v>7.9999999999999849E-2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Sheet2!$B$2:$B$22</c:f>
              <c:numCache>
                <c:formatCode>General</c:formatCode>
                <c:ptCount val="21"/>
                <c:pt idx="0">
                  <c:v>1.56</c:v>
                </c:pt>
                <c:pt idx="1">
                  <c:v>1.33</c:v>
                </c:pt>
                <c:pt idx="2">
                  <c:v>1.31</c:v>
                </c:pt>
                <c:pt idx="3">
                  <c:v>1.31</c:v>
                </c:pt>
                <c:pt idx="4">
                  <c:v>1.29</c:v>
                </c:pt>
                <c:pt idx="5">
                  <c:v>1.22</c:v>
                </c:pt>
                <c:pt idx="6">
                  <c:v>1.22</c:v>
                </c:pt>
                <c:pt idx="7">
                  <c:v>1.22</c:v>
                </c:pt>
                <c:pt idx="8">
                  <c:v>1.21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1.19</c:v>
                </c:pt>
                <c:pt idx="14">
                  <c:v>1.18</c:v>
                </c:pt>
                <c:pt idx="15">
                  <c:v>1.17</c:v>
                </c:pt>
                <c:pt idx="16">
                  <c:v>1.17</c:v>
                </c:pt>
                <c:pt idx="17">
                  <c:v>1.1599999999999999</c:v>
                </c:pt>
                <c:pt idx="18">
                  <c:v>1.1499999999999999</c:v>
                </c:pt>
                <c:pt idx="19">
                  <c:v>1.1299999999999999</c:v>
                </c:pt>
                <c:pt idx="20">
                  <c:v>1.06</c:v>
                </c:pt>
              </c:numCache>
            </c:numRef>
          </c:xVal>
          <c:yVal>
            <c:numRef>
              <c:f>Sheet2!$E$2:$E$22</c:f>
              <c:numCache>
                <c:formatCode>General</c:formatCode>
                <c:ptCount val="21"/>
                <c:pt idx="0">
                  <c:v>20.5</c:v>
                </c:pt>
                <c:pt idx="1">
                  <c:v>19.5</c:v>
                </c:pt>
                <c:pt idx="2">
                  <c:v>18.5</c:v>
                </c:pt>
                <c:pt idx="3">
                  <c:v>17.5</c:v>
                </c:pt>
                <c:pt idx="4">
                  <c:v>16.5</c:v>
                </c:pt>
                <c:pt idx="5">
                  <c:v>15.5</c:v>
                </c:pt>
                <c:pt idx="6">
                  <c:v>14.5</c:v>
                </c:pt>
                <c:pt idx="7">
                  <c:v>13.5</c:v>
                </c:pt>
                <c:pt idx="8">
                  <c:v>12.5</c:v>
                </c:pt>
                <c:pt idx="9">
                  <c:v>11.5</c:v>
                </c:pt>
                <c:pt idx="10">
                  <c:v>10.5</c:v>
                </c:pt>
                <c:pt idx="11">
                  <c:v>9.5</c:v>
                </c:pt>
                <c:pt idx="12">
                  <c:v>8.5</c:v>
                </c:pt>
                <c:pt idx="13">
                  <c:v>7.5</c:v>
                </c:pt>
                <c:pt idx="14">
                  <c:v>6.5</c:v>
                </c:pt>
                <c:pt idx="15">
                  <c:v>5.5</c:v>
                </c:pt>
                <c:pt idx="16">
                  <c:v>4.5</c:v>
                </c:pt>
                <c:pt idx="17">
                  <c:v>3.5</c:v>
                </c:pt>
                <c:pt idx="18">
                  <c:v>2.5</c:v>
                </c:pt>
                <c:pt idx="19">
                  <c:v>1.5</c:v>
                </c:pt>
                <c:pt idx="2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A-43E5-8D73-C12079412FF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RF 2018 August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x"/>
            <c:errBarType val="plus"/>
            <c:errValType val="cust"/>
            <c:noEndCap val="1"/>
            <c:plus>
              <c:numRef>
                <c:f>Sheet2!$H$2:$H$22</c:f>
                <c:numCache>
                  <c:formatCode>General</c:formatCode>
                  <c:ptCount val="21"/>
                  <c:pt idx="0">
                    <c:v>2.0000000000000018E-2</c:v>
                  </c:pt>
                  <c:pt idx="1">
                    <c:v>2.0000000000000018E-2</c:v>
                  </c:pt>
                  <c:pt idx="2">
                    <c:v>#N/A</c:v>
                  </c:pt>
                  <c:pt idx="3">
                    <c:v>1.0000000000000009E-2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1.0000000000000009E-2</c:v>
                  </c:pt>
                  <c:pt idx="7">
                    <c:v>1.0000000000000009E-2</c:v>
                  </c:pt>
                  <c:pt idx="8">
                    <c:v>1.0000000000000009E-2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2.0000000000000018E-2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Sheet2!$C$2:$C$22</c:f>
              <c:numCache>
                <c:formatCode>General</c:formatCode>
                <c:ptCount val="21"/>
                <c:pt idx="0">
                  <c:v>1.54</c:v>
                </c:pt>
                <c:pt idx="1">
                  <c:v>1.31</c:v>
                </c:pt>
                <c:pt idx="2">
                  <c:v>1.33</c:v>
                </c:pt>
                <c:pt idx="3">
                  <c:v>1.3</c:v>
                </c:pt>
                <c:pt idx="4">
                  <c:v>1.29</c:v>
                </c:pt>
                <c:pt idx="5">
                  <c:v>1.24</c:v>
                </c:pt>
                <c:pt idx="6">
                  <c:v>1.21</c:v>
                </c:pt>
                <c:pt idx="7">
                  <c:v>1.21</c:v>
                </c:pt>
                <c:pt idx="8">
                  <c:v>1.2</c:v>
                </c:pt>
                <c:pt idx="9">
                  <c:v>1.22</c:v>
                </c:pt>
                <c:pt idx="10">
                  <c:v>1.23</c:v>
                </c:pt>
                <c:pt idx="11">
                  <c:v>1.23</c:v>
                </c:pt>
                <c:pt idx="12">
                  <c:v>1.22</c:v>
                </c:pt>
                <c:pt idx="13">
                  <c:v>1.2</c:v>
                </c:pt>
                <c:pt idx="14">
                  <c:v>1.2</c:v>
                </c:pt>
                <c:pt idx="15">
                  <c:v>1.18</c:v>
                </c:pt>
                <c:pt idx="16">
                  <c:v>1.19</c:v>
                </c:pt>
                <c:pt idx="17">
                  <c:v>1.1399999999999999</c:v>
                </c:pt>
                <c:pt idx="18">
                  <c:v>1.18</c:v>
                </c:pt>
                <c:pt idx="19">
                  <c:v>1.1599999999999999</c:v>
                </c:pt>
                <c:pt idx="20">
                  <c:v>1.1399999999999999</c:v>
                </c:pt>
              </c:numCache>
            </c:numRef>
          </c:xVal>
          <c:yVal>
            <c:numRef>
              <c:f>Sheet2!$E$2:$E$22</c:f>
              <c:numCache>
                <c:formatCode>General</c:formatCode>
                <c:ptCount val="21"/>
                <c:pt idx="0">
                  <c:v>20.5</c:v>
                </c:pt>
                <c:pt idx="1">
                  <c:v>19.5</c:v>
                </c:pt>
                <c:pt idx="2">
                  <c:v>18.5</c:v>
                </c:pt>
                <c:pt idx="3">
                  <c:v>17.5</c:v>
                </c:pt>
                <c:pt idx="4">
                  <c:v>16.5</c:v>
                </c:pt>
                <c:pt idx="5">
                  <c:v>15.5</c:v>
                </c:pt>
                <c:pt idx="6">
                  <c:v>14.5</c:v>
                </c:pt>
                <c:pt idx="7">
                  <c:v>13.5</c:v>
                </c:pt>
                <c:pt idx="8">
                  <c:v>12.5</c:v>
                </c:pt>
                <c:pt idx="9">
                  <c:v>11.5</c:v>
                </c:pt>
                <c:pt idx="10">
                  <c:v>10.5</c:v>
                </c:pt>
                <c:pt idx="11">
                  <c:v>9.5</c:v>
                </c:pt>
                <c:pt idx="12">
                  <c:v>8.5</c:v>
                </c:pt>
                <c:pt idx="13">
                  <c:v>7.5</c:v>
                </c:pt>
                <c:pt idx="14">
                  <c:v>6.5</c:v>
                </c:pt>
                <c:pt idx="15">
                  <c:v>5.5</c:v>
                </c:pt>
                <c:pt idx="16">
                  <c:v>4.5</c:v>
                </c:pt>
                <c:pt idx="17">
                  <c:v>3.5</c:v>
                </c:pt>
                <c:pt idx="18">
                  <c:v>2.5</c:v>
                </c:pt>
                <c:pt idx="19">
                  <c:v>1.5</c:v>
                </c:pt>
                <c:pt idx="2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1A-43E5-8D73-C12079412FF5}"/>
            </c:ext>
          </c:extLst>
        </c:ser>
        <c:ser>
          <c:idx val="2"/>
          <c:order val="2"/>
          <c:tx>
            <c:v>国家标签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88F8E76D-7053-4B15-BC8A-28F04C6F8DB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11A-43E5-8D73-C12079412FF5}"/>
                </c:ext>
              </c:extLst>
            </c:dLbl>
            <c:dLbl>
              <c:idx val="1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0EEC3C7E-937C-4ACE-AB46-F10DB52BFC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11A-43E5-8D73-C12079412FF5}"/>
                </c:ext>
              </c:extLst>
            </c:dLbl>
            <c:dLbl>
              <c:idx val="2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4AE11661-026C-4FEC-989A-1D4CDB489D5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11A-43E5-8D73-C12079412FF5}"/>
                </c:ext>
              </c:extLst>
            </c:dLbl>
            <c:dLbl>
              <c:idx val="3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CA2069AC-81A8-486B-AB78-564D1079999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11A-43E5-8D73-C12079412FF5}"/>
                </c:ext>
              </c:extLst>
            </c:dLbl>
            <c:dLbl>
              <c:idx val="4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6B9E95C0-18EF-4A30-9484-7FB88A86F41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11A-43E5-8D73-C12079412FF5}"/>
                </c:ext>
              </c:extLst>
            </c:dLbl>
            <c:dLbl>
              <c:idx val="5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8BBFA68E-BF6A-422F-AF97-1CD49C46E2A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11A-43E5-8D73-C12079412FF5}"/>
                </c:ext>
              </c:extLst>
            </c:dLbl>
            <c:dLbl>
              <c:idx val="6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FEB5E5AA-052D-4914-AF94-7E812103A3A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11A-43E5-8D73-C12079412FF5}"/>
                </c:ext>
              </c:extLst>
            </c:dLbl>
            <c:dLbl>
              <c:idx val="7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AF9EF084-4D2A-4258-A071-46CED0BD524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11A-43E5-8D73-C12079412FF5}"/>
                </c:ext>
              </c:extLst>
            </c:dLbl>
            <c:dLbl>
              <c:idx val="8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B0571D9E-C465-46EA-A8B6-3E2D76C28F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11A-43E5-8D73-C12079412FF5}"/>
                </c:ext>
              </c:extLst>
            </c:dLbl>
            <c:dLbl>
              <c:idx val="9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B63E0163-90AD-430E-A8A8-F23662D45F8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11A-43E5-8D73-C12079412FF5}"/>
                </c:ext>
              </c:extLst>
            </c:dLbl>
            <c:dLbl>
              <c:idx val="10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8960960E-6FF6-4AD9-9CBD-0AF9C06216A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11A-43E5-8D73-C12079412FF5}"/>
                </c:ext>
              </c:extLst>
            </c:dLbl>
            <c:dLbl>
              <c:idx val="11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9D504C7B-497A-41E8-A0FC-6991A2A931A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11A-43E5-8D73-C12079412FF5}"/>
                </c:ext>
              </c:extLst>
            </c:dLbl>
            <c:dLbl>
              <c:idx val="12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B4AEFBA7-C42C-4C21-B8A4-057D911E966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11A-43E5-8D73-C12079412FF5}"/>
                </c:ext>
              </c:extLst>
            </c:dLbl>
            <c:dLbl>
              <c:idx val="13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754FB7C5-2738-4E2E-BE4E-E0616ECD12F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511A-43E5-8D73-C12079412FF5}"/>
                </c:ext>
              </c:extLst>
            </c:dLbl>
            <c:dLbl>
              <c:idx val="14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5EF2B6CD-A455-49A4-8182-B2FE3FDE0A4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11A-43E5-8D73-C12079412FF5}"/>
                </c:ext>
              </c:extLst>
            </c:dLbl>
            <c:dLbl>
              <c:idx val="15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423A367D-4E31-482C-9EB7-A71C65FFD0F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11A-43E5-8D73-C12079412FF5}"/>
                </c:ext>
              </c:extLst>
            </c:dLbl>
            <c:dLbl>
              <c:idx val="16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29BDE600-92B9-4CBC-BEBD-A1F74A7E9B8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11A-43E5-8D73-C12079412FF5}"/>
                </c:ext>
              </c:extLst>
            </c:dLbl>
            <c:dLbl>
              <c:idx val="17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2EBECA74-F9B4-4BC1-A03A-2E5E186A2C2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511A-43E5-8D73-C12079412FF5}"/>
                </c:ext>
              </c:extLst>
            </c:dLbl>
            <c:dLbl>
              <c:idx val="18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A9715F6F-A859-4CD8-960A-660413B82F6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11A-43E5-8D73-C12079412FF5}"/>
                </c:ext>
              </c:extLst>
            </c:dLbl>
            <c:dLbl>
              <c:idx val="19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F751C26B-6715-4347-B3F5-1801B32F972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511A-43E5-8D73-C12079412FF5}"/>
                </c:ext>
              </c:extLst>
            </c:dLbl>
            <c:dLbl>
              <c:idx val="20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AA12251C-8313-4C17-A178-2CFE088EC89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511A-43E5-8D73-C12079412F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Sheet2!$F$2:$F$22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xVal>
          <c:yVal>
            <c:numRef>
              <c:f>Sheet2!$E$2:$E$22</c:f>
              <c:numCache>
                <c:formatCode>General</c:formatCode>
                <c:ptCount val="21"/>
                <c:pt idx="0">
                  <c:v>20.5</c:v>
                </c:pt>
                <c:pt idx="1">
                  <c:v>19.5</c:v>
                </c:pt>
                <c:pt idx="2">
                  <c:v>18.5</c:v>
                </c:pt>
                <c:pt idx="3">
                  <c:v>17.5</c:v>
                </c:pt>
                <c:pt idx="4">
                  <c:v>16.5</c:v>
                </c:pt>
                <c:pt idx="5">
                  <c:v>15.5</c:v>
                </c:pt>
                <c:pt idx="6">
                  <c:v>14.5</c:v>
                </c:pt>
                <c:pt idx="7">
                  <c:v>13.5</c:v>
                </c:pt>
                <c:pt idx="8">
                  <c:v>12.5</c:v>
                </c:pt>
                <c:pt idx="9">
                  <c:v>11.5</c:v>
                </c:pt>
                <c:pt idx="10">
                  <c:v>10.5</c:v>
                </c:pt>
                <c:pt idx="11">
                  <c:v>9.5</c:v>
                </c:pt>
                <c:pt idx="12">
                  <c:v>8.5</c:v>
                </c:pt>
                <c:pt idx="13">
                  <c:v>7.5</c:v>
                </c:pt>
                <c:pt idx="14">
                  <c:v>6.5</c:v>
                </c:pt>
                <c:pt idx="15">
                  <c:v>5.5</c:v>
                </c:pt>
                <c:pt idx="16">
                  <c:v>4.5</c:v>
                </c:pt>
                <c:pt idx="17">
                  <c:v>3.5</c:v>
                </c:pt>
                <c:pt idx="18">
                  <c:v>2.5</c:v>
                </c:pt>
                <c:pt idx="19">
                  <c:v>1.5</c:v>
                </c:pt>
                <c:pt idx="20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Sheet2!$A$2:$A$22</c15:f>
                <c15:dlblRangeCache>
                  <c:ptCount val="21"/>
                  <c:pt idx="0">
                    <c:v>Schweiz</c:v>
                  </c:pt>
                  <c:pt idx="1">
                    <c:v>Spain</c:v>
                  </c:pt>
                  <c:pt idx="2">
                    <c:v>Denmark</c:v>
                  </c:pt>
                  <c:pt idx="3">
                    <c:v>Greece</c:v>
                  </c:pt>
                  <c:pt idx="4">
                    <c:v>Finnland</c:v>
                  </c:pt>
                  <c:pt idx="5">
                    <c:v>Italy</c:v>
                  </c:pt>
                  <c:pt idx="6">
                    <c:v>CZ</c:v>
                  </c:pt>
                  <c:pt idx="7">
                    <c:v>NO</c:v>
                  </c:pt>
                  <c:pt idx="8">
                    <c:v>Schweden</c:v>
                  </c:pt>
                  <c:pt idx="9">
                    <c:v>Belgium</c:v>
                  </c:pt>
                  <c:pt idx="10">
                    <c:v>SK</c:v>
                  </c:pt>
                  <c:pt idx="11">
                    <c:v>BG</c:v>
                  </c:pt>
                  <c:pt idx="12">
                    <c:v>SI</c:v>
                  </c:pt>
                  <c:pt idx="13">
                    <c:v>France</c:v>
                  </c:pt>
                  <c:pt idx="14">
                    <c:v>PT</c:v>
                  </c:pt>
                  <c:pt idx="15">
                    <c:v>Austria</c:v>
                  </c:pt>
                  <c:pt idx="16">
                    <c:v>PL</c:v>
                  </c:pt>
                  <c:pt idx="17">
                    <c:v>UK</c:v>
                  </c:pt>
                  <c:pt idx="18">
                    <c:v>Germany</c:v>
                  </c:pt>
                  <c:pt idx="19">
                    <c:v>Netherlands</c:v>
                  </c:pt>
                  <c:pt idx="20">
                    <c:v>RO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11A-43E5-8D73-C12079412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347488"/>
        <c:axId val="980345848"/>
      </c:scatterChart>
      <c:valAx>
        <c:axId val="98034748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80345848"/>
        <c:crosses val="autoZero"/>
        <c:crossBetween val="midCat"/>
      </c:valAx>
      <c:valAx>
        <c:axId val="980345848"/>
        <c:scaling>
          <c:orientation val="minMax"/>
          <c:max val="21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80347488"/>
        <c:crosses val="autoZero"/>
        <c:crossBetween val="midCat"/>
      </c:val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5090806357538631"/>
          <c:y val="0.44055736740001322"/>
          <c:w val="0.19695683872849226"/>
          <c:h val="9.732739929247974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altLang="zh-CN" sz="1600"/>
              <a:t>Asia</a:t>
            </a:r>
          </a:p>
        </c:rich>
      </c:tx>
      <c:layout>
        <c:manualLayout>
          <c:xMode val="edge"/>
          <c:yMode val="edge"/>
          <c:x val="0.46153342811315251"/>
          <c:y val="3.1746031746031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030201953922427"/>
          <c:y val="0.14258215223097112"/>
          <c:w val="0.80016112569262177"/>
          <c:h val="0.7610406824146981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RF 2017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75000"/>
                </a:schemeClr>
              </a:solidFill>
              <a:ln w="9525">
                <a:noFill/>
              </a:ln>
              <a:effectLst/>
            </c:spPr>
          </c:marker>
          <c:errBars>
            <c:errDir val="x"/>
            <c:errBarType val="plus"/>
            <c:errValType val="cust"/>
            <c:noEndCap val="1"/>
            <c:plus>
              <c:numRef>
                <c:f>Sheet2!$G$25:$G$33</c:f>
                <c:numCache>
                  <c:formatCode>General</c:formatCode>
                  <c:ptCount val="9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4.0000000000000036E-2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2.0000000000000018E-2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Sheet2!$B$25:$B$33</c:f>
              <c:numCache>
                <c:formatCode>General</c:formatCode>
                <c:ptCount val="9"/>
                <c:pt idx="0">
                  <c:v>1.85</c:v>
                </c:pt>
                <c:pt idx="1">
                  <c:v>1.79</c:v>
                </c:pt>
                <c:pt idx="2">
                  <c:v>1.73</c:v>
                </c:pt>
                <c:pt idx="3">
                  <c:v>1.63</c:v>
                </c:pt>
                <c:pt idx="4">
                  <c:v>1.63</c:v>
                </c:pt>
                <c:pt idx="5">
                  <c:v>1.47</c:v>
                </c:pt>
                <c:pt idx="6">
                  <c:v>1.47</c:v>
                </c:pt>
                <c:pt idx="7">
                  <c:v>1.46</c:v>
                </c:pt>
                <c:pt idx="8">
                  <c:v>1.21</c:v>
                </c:pt>
              </c:numCache>
            </c:numRef>
          </c:xVal>
          <c:yVal>
            <c:numRef>
              <c:f>Sheet2!$E$25:$E$33</c:f>
              <c:numCache>
                <c:formatCode>General</c:formatCode>
                <c:ptCount val="9"/>
                <c:pt idx="0">
                  <c:v>8.5</c:v>
                </c:pt>
                <c:pt idx="1">
                  <c:v>7.5</c:v>
                </c:pt>
                <c:pt idx="2">
                  <c:v>6.5</c:v>
                </c:pt>
                <c:pt idx="3">
                  <c:v>5.5</c:v>
                </c:pt>
                <c:pt idx="4">
                  <c:v>4.5</c:v>
                </c:pt>
                <c:pt idx="5">
                  <c:v>3.5</c:v>
                </c:pt>
                <c:pt idx="6">
                  <c:v>2.5</c:v>
                </c:pt>
                <c:pt idx="7">
                  <c:v>1.5</c:v>
                </c:pt>
                <c:pt idx="8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8-41EA-89B6-A83910E5CC3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RF 2018 August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x"/>
            <c:errBarType val="plus"/>
            <c:errValType val="cust"/>
            <c:noEndCap val="1"/>
            <c:plus>
              <c:numRef>
                <c:f>Sheet2!$H$25:$H$33</c:f>
                <c:numCache>
                  <c:formatCode>General</c:formatCode>
                  <c:ptCount val="9"/>
                  <c:pt idx="0">
                    <c:v>3.0000000000000027E-2</c:v>
                  </c:pt>
                  <c:pt idx="1">
                    <c:v>2.0000000000000018E-2</c:v>
                  </c:pt>
                  <c:pt idx="2">
                    <c:v>7.0000000000000062E-2</c:v>
                  </c:pt>
                  <c:pt idx="3">
                    <c:v>1.9999999999999796E-2</c:v>
                  </c:pt>
                  <c:pt idx="4">
                    <c:v>#N/A</c:v>
                  </c:pt>
                  <c:pt idx="5">
                    <c:v>1.0000000000000009E-2</c:v>
                  </c:pt>
                  <c:pt idx="6">
                    <c:v>1.0000000000000009E-2</c:v>
                  </c:pt>
                  <c:pt idx="7">
                    <c:v>0.12999999999999989</c:v>
                  </c:pt>
                  <c:pt idx="8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numRef>
              <c:f>Sheet2!$C$25:$C$33</c:f>
              <c:numCache>
                <c:formatCode>General</c:formatCode>
                <c:ptCount val="9"/>
                <c:pt idx="0">
                  <c:v>1.82</c:v>
                </c:pt>
                <c:pt idx="1">
                  <c:v>1.77</c:v>
                </c:pt>
                <c:pt idx="2">
                  <c:v>1.66</c:v>
                </c:pt>
                <c:pt idx="3">
                  <c:v>1.61</c:v>
                </c:pt>
                <c:pt idx="4">
                  <c:v>1.67</c:v>
                </c:pt>
                <c:pt idx="5">
                  <c:v>1.46</c:v>
                </c:pt>
                <c:pt idx="6">
                  <c:v>1.46</c:v>
                </c:pt>
                <c:pt idx="7">
                  <c:v>1.33</c:v>
                </c:pt>
                <c:pt idx="8">
                  <c:v>1.23</c:v>
                </c:pt>
              </c:numCache>
            </c:numRef>
          </c:xVal>
          <c:yVal>
            <c:numRef>
              <c:f>Sheet2!$E$25:$E$33</c:f>
              <c:numCache>
                <c:formatCode>General</c:formatCode>
                <c:ptCount val="9"/>
                <c:pt idx="0">
                  <c:v>8.5</c:v>
                </c:pt>
                <c:pt idx="1">
                  <c:v>7.5</c:v>
                </c:pt>
                <c:pt idx="2">
                  <c:v>6.5</c:v>
                </c:pt>
                <c:pt idx="3">
                  <c:v>5.5</c:v>
                </c:pt>
                <c:pt idx="4">
                  <c:v>4.5</c:v>
                </c:pt>
                <c:pt idx="5">
                  <c:v>3.5</c:v>
                </c:pt>
                <c:pt idx="6">
                  <c:v>2.5</c:v>
                </c:pt>
                <c:pt idx="7">
                  <c:v>1.5</c:v>
                </c:pt>
                <c:pt idx="8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A8-41EA-89B6-A83910E5CC38}"/>
            </c:ext>
          </c:extLst>
        </c:ser>
        <c:ser>
          <c:idx val="2"/>
          <c:order val="2"/>
          <c:tx>
            <c:v>国家标签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70FC8AA5-9B35-4EC8-B52F-D443328D8EA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3A8-41EA-89B6-A83910E5CC38}"/>
                </c:ext>
              </c:extLst>
            </c:dLbl>
            <c:dLbl>
              <c:idx val="1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72568C9A-3CBF-48AD-8225-F567CB16C39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3A8-41EA-89B6-A83910E5CC38}"/>
                </c:ext>
              </c:extLst>
            </c:dLbl>
            <c:dLbl>
              <c:idx val="2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0DF24C30-4EA7-42E8-89F7-47824EC809C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3A8-41EA-89B6-A83910E5CC38}"/>
                </c:ext>
              </c:extLst>
            </c:dLbl>
            <c:dLbl>
              <c:idx val="3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C1046252-F8B9-4BB7-BA42-715F85B028C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3A8-41EA-89B6-A83910E5CC38}"/>
                </c:ext>
              </c:extLst>
            </c:dLbl>
            <c:dLbl>
              <c:idx val="4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D657000E-D41C-444D-A4F9-39084C2F64C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3A8-41EA-89B6-A83910E5CC38}"/>
                </c:ext>
              </c:extLst>
            </c:dLbl>
            <c:dLbl>
              <c:idx val="5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412FB7E3-6641-44D2-AD90-698B49F4F54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3A8-41EA-89B6-A83910E5CC38}"/>
                </c:ext>
              </c:extLst>
            </c:dLbl>
            <c:dLbl>
              <c:idx val="6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7D6DDFC4-D94D-4417-B8E0-5D29BC2E6D8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3A8-41EA-89B6-A83910E5CC38}"/>
                </c:ext>
              </c:extLst>
            </c:dLbl>
            <c:dLbl>
              <c:idx val="7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BD04C5EE-E8BD-4F1A-8503-3A986A90F66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3A8-41EA-89B6-A83910E5CC38}"/>
                </c:ext>
              </c:extLst>
            </c:dLbl>
            <c:dLbl>
              <c:idx val="8"/>
              <c:layout>
                <c:manualLayout>
                  <c:x val="-0.15972222222222221"/>
                  <c:y val="0"/>
                </c:manualLayout>
              </c:layout>
              <c:tx>
                <c:rich>
                  <a:bodyPr/>
                  <a:lstStyle/>
                  <a:p>
                    <a:fld id="{A9FD53E6-3606-40A9-A82D-5A3C274E2E1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3A8-41EA-89B6-A83910E5CC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Sheet2!$F$25:$F$33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xVal>
          <c:yVal>
            <c:numRef>
              <c:f>Sheet2!$E$25:$E$33</c:f>
              <c:numCache>
                <c:formatCode>General</c:formatCode>
                <c:ptCount val="9"/>
                <c:pt idx="0">
                  <c:v>8.5</c:v>
                </c:pt>
                <c:pt idx="1">
                  <c:v>7.5</c:v>
                </c:pt>
                <c:pt idx="2">
                  <c:v>6.5</c:v>
                </c:pt>
                <c:pt idx="3">
                  <c:v>5.5</c:v>
                </c:pt>
                <c:pt idx="4">
                  <c:v>4.5</c:v>
                </c:pt>
                <c:pt idx="5">
                  <c:v>3.5</c:v>
                </c:pt>
                <c:pt idx="6">
                  <c:v>2.5</c:v>
                </c:pt>
                <c:pt idx="7">
                  <c:v>1.5</c:v>
                </c:pt>
                <c:pt idx="8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Sheet2!$A$25:$A$33</c15:f>
                <c15:dlblRangeCache>
                  <c:ptCount val="9"/>
                  <c:pt idx="0">
                    <c:v>Japan</c:v>
                  </c:pt>
                  <c:pt idx="1">
                    <c:v>New Zealand</c:v>
                  </c:pt>
                  <c:pt idx="2">
                    <c:v>Australia</c:v>
                  </c:pt>
                  <c:pt idx="3">
                    <c:v>Thailand</c:v>
                  </c:pt>
                  <c:pt idx="4">
                    <c:v>Indonesia</c:v>
                  </c:pt>
                  <c:pt idx="5">
                    <c:v>Singapore</c:v>
                  </c:pt>
                  <c:pt idx="6">
                    <c:v>Malaysia</c:v>
                  </c:pt>
                  <c:pt idx="7">
                    <c:v>India</c:v>
                  </c:pt>
                  <c:pt idx="8">
                    <c:v>South Korea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E3A8-41EA-89B6-A83910E5C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347488"/>
        <c:axId val="980345848"/>
      </c:scatterChart>
      <c:valAx>
        <c:axId val="98034748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80345848"/>
        <c:crosses val="autoZero"/>
        <c:crossBetween val="midCat"/>
      </c:valAx>
      <c:valAx>
        <c:axId val="980345848"/>
        <c:scaling>
          <c:orientation val="minMax"/>
          <c:max val="9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80347488"/>
        <c:crosses val="autoZero"/>
        <c:crossBetween val="midCat"/>
      </c:valAx>
      <c:spPr>
        <a:noFill/>
        <a:ln w="6350">
          <a:solidFill>
            <a:schemeClr val="bg1">
              <a:lumMod val="75000"/>
            </a:schemeClr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5090806357538653"/>
          <c:y val="0.70219131859272244"/>
          <c:w val="0.19695683872849226"/>
          <c:h val="0.1206510779982332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371475</xdr:colOff>
      <xdr:row>0</xdr:row>
      <xdr:rowOff>0</xdr:rowOff>
    </xdr:from>
    <xdr:to>
      <xdr:col>23</xdr:col>
      <xdr:colOff>424815</xdr:colOff>
      <xdr:row>24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22B5538-146D-4BB1-B2F0-6D236D50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0" y="0"/>
          <a:ext cx="5539740" cy="49149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11</xdr:col>
      <xdr:colOff>0</xdr:colOff>
      <xdr:row>63</xdr:row>
      <xdr:rowOff>200024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950E23C-0CCA-4E29-9E36-29EE85150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AB04DF8-4AFF-45AD-A19F-2D0FF11A8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17</xdr:col>
      <xdr:colOff>0</xdr:colOff>
      <xdr:row>46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1F30AE7-A128-4D17-BB7A-1709E9E68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showGridLines="0" topLeftCell="A19" workbookViewId="0"/>
  </sheetViews>
  <sheetFormatPr defaultRowHeight="15.95" customHeight="1" x14ac:dyDescent="0.2"/>
  <cols>
    <col min="1" max="1" width="10.125" style="1" bestFit="1" customWidth="1"/>
    <col min="2" max="2" width="9.625" style="2" customWidth="1"/>
    <col min="3" max="3" width="13.625" style="2" customWidth="1"/>
    <col min="4" max="4" width="4.625" style="1" customWidth="1"/>
    <col min="5" max="15" width="9.625" style="2" customWidth="1"/>
    <col min="16" max="16384" width="9" style="1"/>
  </cols>
  <sheetData>
    <row r="1" spans="1:15" ht="15.95" customHeight="1" x14ac:dyDescent="0.2">
      <c r="B1" s="2" t="s">
        <v>0</v>
      </c>
      <c r="C1" s="2" t="s">
        <v>1</v>
      </c>
      <c r="E1" s="4" t="s">
        <v>33</v>
      </c>
      <c r="F1" s="4" t="s">
        <v>34</v>
      </c>
      <c r="G1" s="2" t="s">
        <v>35</v>
      </c>
      <c r="H1" s="2" t="s">
        <v>36</v>
      </c>
      <c r="I1" s="2" t="s">
        <v>39</v>
      </c>
      <c r="J1" s="2" t="s">
        <v>40</v>
      </c>
      <c r="K1" s="4" t="s">
        <v>37</v>
      </c>
      <c r="L1" s="4" t="s">
        <v>38</v>
      </c>
      <c r="M1" s="4" t="s">
        <v>41</v>
      </c>
      <c r="N1" s="4" t="s">
        <v>43</v>
      </c>
      <c r="O1" s="4" t="s">
        <v>42</v>
      </c>
    </row>
    <row r="2" spans="1:15" ht="15.95" customHeight="1" x14ac:dyDescent="0.2">
      <c r="A2" s="1" t="s">
        <v>2</v>
      </c>
      <c r="B2" s="2">
        <v>1.56</v>
      </c>
      <c r="C2" s="2">
        <v>1.54</v>
      </c>
      <c r="E2" s="2">
        <v>1</v>
      </c>
      <c r="F2" s="2">
        <f>B2</f>
        <v>1.56</v>
      </c>
      <c r="G2" s="2">
        <v>2</v>
      </c>
      <c r="H2" s="2">
        <f>B2</f>
        <v>1.56</v>
      </c>
      <c r="I2" s="2">
        <v>4</v>
      </c>
      <c r="J2" s="2">
        <f t="shared" ref="J2:J22" si="0">C2</f>
        <v>1.54</v>
      </c>
      <c r="K2" s="2">
        <v>5</v>
      </c>
      <c r="L2" s="2">
        <f>C2</f>
        <v>1.54</v>
      </c>
      <c r="M2" s="2">
        <v>5.5</v>
      </c>
      <c r="N2" s="2">
        <f>C2</f>
        <v>1.54</v>
      </c>
      <c r="O2" s="2">
        <f>C2-B2</f>
        <v>-2.0000000000000018E-2</v>
      </c>
    </row>
    <row r="3" spans="1:15" ht="15.95" customHeight="1" x14ac:dyDescent="0.2">
      <c r="A3" s="1" t="s">
        <v>3</v>
      </c>
      <c r="B3" s="2">
        <v>1.33</v>
      </c>
      <c r="C3" s="2">
        <v>1.31</v>
      </c>
      <c r="E3" s="2">
        <v>1</v>
      </c>
      <c r="F3" s="2">
        <f t="shared" ref="F3:F22" si="1">B3</f>
        <v>1.33</v>
      </c>
      <c r="G3" s="2">
        <v>2</v>
      </c>
      <c r="H3" s="2">
        <f t="shared" ref="H3:H22" si="2">B3</f>
        <v>1.33</v>
      </c>
      <c r="I3" s="2">
        <v>4</v>
      </c>
      <c r="J3" s="2">
        <f t="shared" si="0"/>
        <v>1.31</v>
      </c>
      <c r="K3" s="2">
        <v>5</v>
      </c>
      <c r="L3" s="2">
        <f t="shared" ref="L3:L22" si="3">C3</f>
        <v>1.31</v>
      </c>
      <c r="M3" s="2">
        <v>5.5</v>
      </c>
      <c r="N3" s="2">
        <f t="shared" ref="N3:N22" si="4">C3</f>
        <v>1.31</v>
      </c>
      <c r="O3" s="2">
        <f t="shared" ref="O3:O22" si="5">C3-B3</f>
        <v>-2.0000000000000018E-2</v>
      </c>
    </row>
    <row r="4" spans="1:15" ht="15.95" customHeight="1" x14ac:dyDescent="0.2">
      <c r="A4" s="1" t="s">
        <v>4</v>
      </c>
      <c r="B4" s="2">
        <v>1.31</v>
      </c>
      <c r="C4" s="2">
        <v>1.33</v>
      </c>
      <c r="E4" s="2">
        <v>1</v>
      </c>
      <c r="F4" s="2">
        <f t="shared" si="1"/>
        <v>1.31</v>
      </c>
      <c r="G4" s="2">
        <v>2</v>
      </c>
      <c r="H4" s="2">
        <f t="shared" si="2"/>
        <v>1.31</v>
      </c>
      <c r="I4" s="2">
        <v>4</v>
      </c>
      <c r="J4" s="2">
        <f t="shared" si="0"/>
        <v>1.33</v>
      </c>
      <c r="K4" s="2">
        <v>5</v>
      </c>
      <c r="L4" s="2">
        <f t="shared" si="3"/>
        <v>1.33</v>
      </c>
      <c r="M4" s="2">
        <v>5.5</v>
      </c>
      <c r="N4" s="2">
        <f t="shared" si="4"/>
        <v>1.33</v>
      </c>
      <c r="O4" s="2">
        <f t="shared" si="5"/>
        <v>2.0000000000000018E-2</v>
      </c>
    </row>
    <row r="5" spans="1:15" ht="15.95" customHeight="1" x14ac:dyDescent="0.2">
      <c r="A5" s="1" t="s">
        <v>5</v>
      </c>
      <c r="B5" s="2">
        <v>1.31</v>
      </c>
      <c r="C5" s="2">
        <v>1.3</v>
      </c>
      <c r="E5" s="2">
        <v>1</v>
      </c>
      <c r="F5" s="2">
        <f t="shared" si="1"/>
        <v>1.31</v>
      </c>
      <c r="G5" s="2">
        <v>2</v>
      </c>
      <c r="H5" s="2">
        <f t="shared" si="2"/>
        <v>1.31</v>
      </c>
      <c r="I5" s="2">
        <v>4</v>
      </c>
      <c r="J5" s="2">
        <f t="shared" si="0"/>
        <v>1.3</v>
      </c>
      <c r="K5" s="2">
        <v>5</v>
      </c>
      <c r="L5" s="2">
        <f t="shared" si="3"/>
        <v>1.3</v>
      </c>
      <c r="M5" s="2">
        <v>5.5</v>
      </c>
      <c r="N5" s="2">
        <f t="shared" si="4"/>
        <v>1.3</v>
      </c>
      <c r="O5" s="2">
        <f t="shared" si="5"/>
        <v>-1.0000000000000009E-2</v>
      </c>
    </row>
    <row r="6" spans="1:15" ht="15.95" customHeight="1" x14ac:dyDescent="0.2">
      <c r="A6" s="1" t="s">
        <v>6</v>
      </c>
      <c r="B6" s="2">
        <v>1.29</v>
      </c>
      <c r="C6" s="2">
        <v>1.29</v>
      </c>
      <c r="E6" s="2">
        <v>1</v>
      </c>
      <c r="F6" s="2">
        <f t="shared" si="1"/>
        <v>1.29</v>
      </c>
      <c r="G6" s="2">
        <v>2</v>
      </c>
      <c r="H6" s="2">
        <f t="shared" si="2"/>
        <v>1.29</v>
      </c>
      <c r="I6" s="2">
        <v>4</v>
      </c>
      <c r="J6" s="2">
        <f t="shared" si="0"/>
        <v>1.29</v>
      </c>
      <c r="K6" s="2">
        <v>5</v>
      </c>
      <c r="L6" s="2">
        <f t="shared" si="3"/>
        <v>1.29</v>
      </c>
      <c r="M6" s="2">
        <v>5.5</v>
      </c>
      <c r="N6" s="2">
        <f t="shared" si="4"/>
        <v>1.29</v>
      </c>
      <c r="O6" s="2">
        <f t="shared" si="5"/>
        <v>0</v>
      </c>
    </row>
    <row r="7" spans="1:15" ht="15.95" customHeight="1" x14ac:dyDescent="0.2">
      <c r="A7" s="1" t="s">
        <v>7</v>
      </c>
      <c r="B7" s="2">
        <v>1.22</v>
      </c>
      <c r="C7" s="2">
        <v>1.24</v>
      </c>
      <c r="E7" s="2">
        <v>1</v>
      </c>
      <c r="F7" s="2">
        <f t="shared" si="1"/>
        <v>1.22</v>
      </c>
      <c r="G7" s="2">
        <v>2</v>
      </c>
      <c r="H7" s="2">
        <f t="shared" si="2"/>
        <v>1.22</v>
      </c>
      <c r="I7" s="2">
        <v>4</v>
      </c>
      <c r="J7" s="2">
        <f t="shared" si="0"/>
        <v>1.24</v>
      </c>
      <c r="K7" s="2">
        <v>5</v>
      </c>
      <c r="L7" s="2">
        <f t="shared" si="3"/>
        <v>1.24</v>
      </c>
      <c r="M7" s="2">
        <v>5.5</v>
      </c>
      <c r="N7" s="2">
        <f t="shared" si="4"/>
        <v>1.24</v>
      </c>
      <c r="O7" s="2">
        <f t="shared" si="5"/>
        <v>2.0000000000000018E-2</v>
      </c>
    </row>
    <row r="8" spans="1:15" ht="15.95" customHeight="1" x14ac:dyDescent="0.2">
      <c r="A8" s="1" t="s">
        <v>8</v>
      </c>
      <c r="B8" s="2">
        <v>1.22</v>
      </c>
      <c r="C8" s="2">
        <v>1.21</v>
      </c>
      <c r="E8" s="2">
        <v>1</v>
      </c>
      <c r="F8" s="2">
        <f t="shared" si="1"/>
        <v>1.22</v>
      </c>
      <c r="G8" s="2">
        <v>2</v>
      </c>
      <c r="H8" s="2">
        <f t="shared" si="2"/>
        <v>1.22</v>
      </c>
      <c r="I8" s="2">
        <v>4</v>
      </c>
      <c r="J8" s="2">
        <f t="shared" si="0"/>
        <v>1.21</v>
      </c>
      <c r="K8" s="2">
        <v>5</v>
      </c>
      <c r="L8" s="2">
        <f t="shared" si="3"/>
        <v>1.21</v>
      </c>
      <c r="M8" s="2">
        <v>5.5</v>
      </c>
      <c r="N8" s="2">
        <f t="shared" si="4"/>
        <v>1.21</v>
      </c>
      <c r="O8" s="2">
        <f t="shared" si="5"/>
        <v>-1.0000000000000009E-2</v>
      </c>
    </row>
    <row r="9" spans="1:15" ht="15.95" customHeight="1" x14ac:dyDescent="0.2">
      <c r="A9" s="1" t="s">
        <v>9</v>
      </c>
      <c r="B9" s="2">
        <v>1.22</v>
      </c>
      <c r="C9" s="2">
        <v>1.21</v>
      </c>
      <c r="E9" s="2">
        <v>1</v>
      </c>
      <c r="F9" s="2">
        <f t="shared" si="1"/>
        <v>1.22</v>
      </c>
      <c r="G9" s="2">
        <v>2</v>
      </c>
      <c r="H9" s="2">
        <f t="shared" si="2"/>
        <v>1.22</v>
      </c>
      <c r="I9" s="2">
        <v>4</v>
      </c>
      <c r="J9" s="2">
        <f t="shared" si="0"/>
        <v>1.21</v>
      </c>
      <c r="K9" s="2">
        <v>5</v>
      </c>
      <c r="L9" s="2">
        <f t="shared" si="3"/>
        <v>1.21</v>
      </c>
      <c r="M9" s="2">
        <v>5.5</v>
      </c>
      <c r="N9" s="2">
        <f t="shared" si="4"/>
        <v>1.21</v>
      </c>
      <c r="O9" s="2">
        <f t="shared" si="5"/>
        <v>-1.0000000000000009E-2</v>
      </c>
    </row>
    <row r="10" spans="1:15" ht="15.95" customHeight="1" x14ac:dyDescent="0.2">
      <c r="A10" s="1" t="s">
        <v>10</v>
      </c>
      <c r="B10" s="2">
        <v>1.21</v>
      </c>
      <c r="C10" s="2">
        <v>1.2</v>
      </c>
      <c r="E10" s="2">
        <v>1</v>
      </c>
      <c r="F10" s="2">
        <f t="shared" si="1"/>
        <v>1.21</v>
      </c>
      <c r="G10" s="2">
        <v>2</v>
      </c>
      <c r="H10" s="2">
        <f t="shared" si="2"/>
        <v>1.21</v>
      </c>
      <c r="I10" s="2">
        <v>4</v>
      </c>
      <c r="J10" s="2">
        <f t="shared" si="0"/>
        <v>1.2</v>
      </c>
      <c r="K10" s="2">
        <v>5</v>
      </c>
      <c r="L10" s="2">
        <f t="shared" si="3"/>
        <v>1.2</v>
      </c>
      <c r="M10" s="2">
        <v>5.5</v>
      </c>
      <c r="N10" s="2">
        <f t="shared" si="4"/>
        <v>1.2</v>
      </c>
      <c r="O10" s="2">
        <f t="shared" si="5"/>
        <v>-1.0000000000000009E-2</v>
      </c>
    </row>
    <row r="11" spans="1:15" ht="15.95" customHeight="1" x14ac:dyDescent="0.2">
      <c r="A11" s="1" t="s">
        <v>11</v>
      </c>
      <c r="B11" s="2">
        <v>1.2</v>
      </c>
      <c r="C11" s="2">
        <v>1.22</v>
      </c>
      <c r="E11" s="2">
        <v>1</v>
      </c>
      <c r="F11" s="2">
        <f t="shared" si="1"/>
        <v>1.2</v>
      </c>
      <c r="G11" s="2">
        <v>2</v>
      </c>
      <c r="H11" s="2">
        <f t="shared" si="2"/>
        <v>1.2</v>
      </c>
      <c r="I11" s="2">
        <v>4</v>
      </c>
      <c r="J11" s="2">
        <f t="shared" si="0"/>
        <v>1.22</v>
      </c>
      <c r="K11" s="2">
        <v>5</v>
      </c>
      <c r="L11" s="2">
        <f t="shared" si="3"/>
        <v>1.22</v>
      </c>
      <c r="M11" s="2">
        <v>5.5</v>
      </c>
      <c r="N11" s="2">
        <f t="shared" si="4"/>
        <v>1.22</v>
      </c>
      <c r="O11" s="2">
        <f t="shared" si="5"/>
        <v>2.0000000000000018E-2</v>
      </c>
    </row>
    <row r="12" spans="1:15" ht="15.95" customHeight="1" x14ac:dyDescent="0.2">
      <c r="A12" s="1" t="s">
        <v>12</v>
      </c>
      <c r="B12" s="2">
        <v>1.2</v>
      </c>
      <c r="C12" s="2">
        <v>1.23</v>
      </c>
      <c r="E12" s="2">
        <v>1</v>
      </c>
      <c r="F12" s="2">
        <f t="shared" si="1"/>
        <v>1.2</v>
      </c>
      <c r="G12" s="2">
        <v>2</v>
      </c>
      <c r="H12" s="2">
        <f t="shared" si="2"/>
        <v>1.2</v>
      </c>
      <c r="I12" s="2">
        <v>4</v>
      </c>
      <c r="J12" s="2">
        <f t="shared" si="0"/>
        <v>1.23</v>
      </c>
      <c r="K12" s="2">
        <v>5</v>
      </c>
      <c r="L12" s="2">
        <f t="shared" si="3"/>
        <v>1.23</v>
      </c>
      <c r="M12" s="2">
        <v>5.5</v>
      </c>
      <c r="N12" s="2">
        <f t="shared" si="4"/>
        <v>1.23</v>
      </c>
      <c r="O12" s="2">
        <f t="shared" si="5"/>
        <v>3.0000000000000027E-2</v>
      </c>
    </row>
    <row r="13" spans="1:15" ht="15.95" customHeight="1" x14ac:dyDescent="0.2">
      <c r="A13" s="1" t="s">
        <v>13</v>
      </c>
      <c r="B13" s="2">
        <v>1.2</v>
      </c>
      <c r="C13" s="2">
        <v>1.23</v>
      </c>
      <c r="E13" s="2">
        <v>1</v>
      </c>
      <c r="F13" s="2">
        <f t="shared" si="1"/>
        <v>1.2</v>
      </c>
      <c r="G13" s="2">
        <v>2</v>
      </c>
      <c r="H13" s="2">
        <f t="shared" si="2"/>
        <v>1.2</v>
      </c>
      <c r="I13" s="2">
        <v>4</v>
      </c>
      <c r="J13" s="2">
        <f t="shared" si="0"/>
        <v>1.23</v>
      </c>
      <c r="K13" s="2">
        <v>5</v>
      </c>
      <c r="L13" s="2">
        <f t="shared" si="3"/>
        <v>1.23</v>
      </c>
      <c r="M13" s="2">
        <v>5.5</v>
      </c>
      <c r="N13" s="2">
        <f t="shared" si="4"/>
        <v>1.23</v>
      </c>
      <c r="O13" s="2">
        <f t="shared" si="5"/>
        <v>3.0000000000000027E-2</v>
      </c>
    </row>
    <row r="14" spans="1:15" ht="15.95" customHeight="1" x14ac:dyDescent="0.2">
      <c r="A14" s="1" t="s">
        <v>14</v>
      </c>
      <c r="B14" s="2">
        <v>1.2</v>
      </c>
      <c r="C14" s="2">
        <v>1.22</v>
      </c>
      <c r="E14" s="2">
        <v>1</v>
      </c>
      <c r="F14" s="2">
        <f t="shared" si="1"/>
        <v>1.2</v>
      </c>
      <c r="G14" s="2">
        <v>2</v>
      </c>
      <c r="H14" s="2">
        <f t="shared" si="2"/>
        <v>1.2</v>
      </c>
      <c r="I14" s="2">
        <v>4</v>
      </c>
      <c r="J14" s="2">
        <f t="shared" si="0"/>
        <v>1.22</v>
      </c>
      <c r="K14" s="2">
        <v>5</v>
      </c>
      <c r="L14" s="2">
        <f t="shared" si="3"/>
        <v>1.22</v>
      </c>
      <c r="M14" s="2">
        <v>5.5</v>
      </c>
      <c r="N14" s="2">
        <f t="shared" si="4"/>
        <v>1.22</v>
      </c>
      <c r="O14" s="2">
        <f t="shared" si="5"/>
        <v>2.0000000000000018E-2</v>
      </c>
    </row>
    <row r="15" spans="1:15" ht="15.95" customHeight="1" x14ac:dyDescent="0.2">
      <c r="A15" s="1" t="s">
        <v>15</v>
      </c>
      <c r="B15" s="2">
        <v>1.19</v>
      </c>
      <c r="C15" s="2">
        <v>1.2</v>
      </c>
      <c r="E15" s="2">
        <v>1</v>
      </c>
      <c r="F15" s="2">
        <f t="shared" si="1"/>
        <v>1.19</v>
      </c>
      <c r="G15" s="2">
        <v>2</v>
      </c>
      <c r="H15" s="2">
        <f t="shared" si="2"/>
        <v>1.19</v>
      </c>
      <c r="I15" s="2">
        <v>4</v>
      </c>
      <c r="J15" s="2">
        <f t="shared" si="0"/>
        <v>1.2</v>
      </c>
      <c r="K15" s="2">
        <v>5</v>
      </c>
      <c r="L15" s="2">
        <f t="shared" si="3"/>
        <v>1.2</v>
      </c>
      <c r="M15" s="2">
        <v>5.5</v>
      </c>
      <c r="N15" s="2">
        <f t="shared" si="4"/>
        <v>1.2</v>
      </c>
      <c r="O15" s="2">
        <f t="shared" si="5"/>
        <v>1.0000000000000009E-2</v>
      </c>
    </row>
    <row r="16" spans="1:15" ht="15.95" customHeight="1" x14ac:dyDescent="0.2">
      <c r="A16" s="1" t="s">
        <v>16</v>
      </c>
      <c r="B16" s="2">
        <v>1.18</v>
      </c>
      <c r="C16" s="2">
        <v>1.2</v>
      </c>
      <c r="E16" s="2">
        <v>1</v>
      </c>
      <c r="F16" s="2">
        <f t="shared" si="1"/>
        <v>1.18</v>
      </c>
      <c r="G16" s="2">
        <v>2</v>
      </c>
      <c r="H16" s="2">
        <f t="shared" si="2"/>
        <v>1.18</v>
      </c>
      <c r="I16" s="2">
        <v>4</v>
      </c>
      <c r="J16" s="2">
        <f t="shared" si="0"/>
        <v>1.2</v>
      </c>
      <c r="K16" s="2">
        <v>5</v>
      </c>
      <c r="L16" s="2">
        <f t="shared" si="3"/>
        <v>1.2</v>
      </c>
      <c r="M16" s="2">
        <v>5.5</v>
      </c>
      <c r="N16" s="2">
        <f t="shared" si="4"/>
        <v>1.2</v>
      </c>
      <c r="O16" s="2">
        <f t="shared" si="5"/>
        <v>2.0000000000000018E-2</v>
      </c>
    </row>
    <row r="17" spans="1:15" ht="15.95" customHeight="1" x14ac:dyDescent="0.2">
      <c r="A17" s="1" t="s">
        <v>17</v>
      </c>
      <c r="B17" s="2">
        <v>1.17</v>
      </c>
      <c r="C17" s="2">
        <v>1.18</v>
      </c>
      <c r="E17" s="2">
        <v>1</v>
      </c>
      <c r="F17" s="2">
        <f t="shared" si="1"/>
        <v>1.17</v>
      </c>
      <c r="G17" s="2">
        <v>2</v>
      </c>
      <c r="H17" s="2">
        <f t="shared" si="2"/>
        <v>1.17</v>
      </c>
      <c r="I17" s="2">
        <v>4</v>
      </c>
      <c r="J17" s="2">
        <f t="shared" si="0"/>
        <v>1.18</v>
      </c>
      <c r="K17" s="2">
        <v>5</v>
      </c>
      <c r="L17" s="2">
        <f t="shared" si="3"/>
        <v>1.18</v>
      </c>
      <c r="M17" s="2">
        <v>5.5</v>
      </c>
      <c r="N17" s="2">
        <f t="shared" si="4"/>
        <v>1.18</v>
      </c>
      <c r="O17" s="2">
        <f t="shared" si="5"/>
        <v>1.0000000000000009E-2</v>
      </c>
    </row>
    <row r="18" spans="1:15" ht="15.95" customHeight="1" x14ac:dyDescent="0.2">
      <c r="A18" s="1" t="s">
        <v>18</v>
      </c>
      <c r="B18" s="2">
        <v>1.17</v>
      </c>
      <c r="C18" s="2">
        <v>1.19</v>
      </c>
      <c r="E18" s="2">
        <v>1</v>
      </c>
      <c r="F18" s="2">
        <f t="shared" si="1"/>
        <v>1.17</v>
      </c>
      <c r="G18" s="2">
        <v>2</v>
      </c>
      <c r="H18" s="2">
        <f t="shared" si="2"/>
        <v>1.17</v>
      </c>
      <c r="I18" s="2">
        <v>4</v>
      </c>
      <c r="J18" s="2">
        <f t="shared" si="0"/>
        <v>1.19</v>
      </c>
      <c r="K18" s="2">
        <v>5</v>
      </c>
      <c r="L18" s="2">
        <f t="shared" si="3"/>
        <v>1.19</v>
      </c>
      <c r="M18" s="2">
        <v>5.5</v>
      </c>
      <c r="N18" s="2">
        <f t="shared" si="4"/>
        <v>1.19</v>
      </c>
      <c r="O18" s="2">
        <f t="shared" si="5"/>
        <v>2.0000000000000018E-2</v>
      </c>
    </row>
    <row r="19" spans="1:15" ht="15.95" customHeight="1" x14ac:dyDescent="0.2">
      <c r="A19" s="1" t="s">
        <v>19</v>
      </c>
      <c r="B19" s="2">
        <v>1.1599999999999999</v>
      </c>
      <c r="C19" s="2">
        <v>1.1399999999999999</v>
      </c>
      <c r="E19" s="2">
        <v>1</v>
      </c>
      <c r="F19" s="2">
        <f t="shared" si="1"/>
        <v>1.1599999999999999</v>
      </c>
      <c r="G19" s="2">
        <v>2</v>
      </c>
      <c r="H19" s="2">
        <f t="shared" si="2"/>
        <v>1.1599999999999999</v>
      </c>
      <c r="I19" s="2">
        <v>4</v>
      </c>
      <c r="J19" s="2">
        <f t="shared" si="0"/>
        <v>1.1399999999999999</v>
      </c>
      <c r="K19" s="2">
        <v>5</v>
      </c>
      <c r="L19" s="2">
        <f t="shared" si="3"/>
        <v>1.1399999999999999</v>
      </c>
      <c r="M19" s="2">
        <v>5.5</v>
      </c>
      <c r="N19" s="2">
        <f t="shared" si="4"/>
        <v>1.1399999999999999</v>
      </c>
      <c r="O19" s="2">
        <f t="shared" si="5"/>
        <v>-2.0000000000000018E-2</v>
      </c>
    </row>
    <row r="20" spans="1:15" ht="15.95" customHeight="1" x14ac:dyDescent="0.2">
      <c r="A20" s="1" t="s">
        <v>20</v>
      </c>
      <c r="B20" s="2">
        <v>1.1499999999999999</v>
      </c>
      <c r="C20" s="2">
        <v>1.18</v>
      </c>
      <c r="E20" s="2">
        <v>1</v>
      </c>
      <c r="F20" s="2">
        <f t="shared" si="1"/>
        <v>1.1499999999999999</v>
      </c>
      <c r="G20" s="2">
        <v>2</v>
      </c>
      <c r="H20" s="2">
        <f t="shared" si="2"/>
        <v>1.1499999999999999</v>
      </c>
      <c r="I20" s="2">
        <v>4</v>
      </c>
      <c r="J20" s="2">
        <f t="shared" si="0"/>
        <v>1.18</v>
      </c>
      <c r="K20" s="2">
        <v>5</v>
      </c>
      <c r="L20" s="2">
        <f t="shared" si="3"/>
        <v>1.18</v>
      </c>
      <c r="M20" s="2">
        <v>5.5</v>
      </c>
      <c r="N20" s="2">
        <f t="shared" si="4"/>
        <v>1.18</v>
      </c>
      <c r="O20" s="2">
        <f t="shared" si="5"/>
        <v>3.0000000000000027E-2</v>
      </c>
    </row>
    <row r="21" spans="1:15" ht="15.95" customHeight="1" x14ac:dyDescent="0.2">
      <c r="A21" s="1" t="s">
        <v>21</v>
      </c>
      <c r="B21" s="2">
        <v>1.1299999999999999</v>
      </c>
      <c r="C21" s="2">
        <v>1.1599999999999999</v>
      </c>
      <c r="E21" s="2">
        <v>1</v>
      </c>
      <c r="F21" s="2">
        <f t="shared" si="1"/>
        <v>1.1299999999999999</v>
      </c>
      <c r="G21" s="2">
        <v>2</v>
      </c>
      <c r="H21" s="2">
        <f t="shared" si="2"/>
        <v>1.1299999999999999</v>
      </c>
      <c r="I21" s="2">
        <v>4</v>
      </c>
      <c r="J21" s="2">
        <f t="shared" si="0"/>
        <v>1.1599999999999999</v>
      </c>
      <c r="K21" s="2">
        <v>5</v>
      </c>
      <c r="L21" s="2">
        <f t="shared" si="3"/>
        <v>1.1599999999999999</v>
      </c>
      <c r="M21" s="2">
        <v>5.5</v>
      </c>
      <c r="N21" s="2">
        <f t="shared" si="4"/>
        <v>1.1599999999999999</v>
      </c>
      <c r="O21" s="2">
        <f t="shared" si="5"/>
        <v>3.0000000000000027E-2</v>
      </c>
    </row>
    <row r="22" spans="1:15" ht="15.95" customHeight="1" x14ac:dyDescent="0.2">
      <c r="A22" s="1" t="s">
        <v>22</v>
      </c>
      <c r="B22" s="2">
        <v>1.06</v>
      </c>
      <c r="C22" s="2">
        <v>1.1399999999999999</v>
      </c>
      <c r="E22" s="2">
        <v>1</v>
      </c>
      <c r="F22" s="2">
        <f t="shared" si="1"/>
        <v>1.06</v>
      </c>
      <c r="G22" s="2">
        <v>2</v>
      </c>
      <c r="H22" s="2">
        <f t="shared" si="2"/>
        <v>1.06</v>
      </c>
      <c r="I22" s="2">
        <v>4</v>
      </c>
      <c r="J22" s="2">
        <f t="shared" si="0"/>
        <v>1.1399999999999999</v>
      </c>
      <c r="K22" s="2">
        <v>5</v>
      </c>
      <c r="L22" s="2">
        <f t="shared" si="3"/>
        <v>1.1399999999999999</v>
      </c>
      <c r="M22" s="2">
        <v>5.5</v>
      </c>
      <c r="N22" s="2">
        <f t="shared" si="4"/>
        <v>1.1399999999999999</v>
      </c>
      <c r="O22" s="2">
        <f t="shared" si="5"/>
        <v>7.9999999999999849E-2</v>
      </c>
    </row>
    <row r="24" spans="1:15" ht="15.95" customHeight="1" x14ac:dyDescent="0.2">
      <c r="A24" s="3"/>
      <c r="B24" s="2" t="s">
        <v>0</v>
      </c>
      <c r="C24" s="2" t="s">
        <v>1</v>
      </c>
    </row>
    <row r="25" spans="1:15" ht="15.95" customHeight="1" x14ac:dyDescent="0.2">
      <c r="A25" s="3" t="s">
        <v>23</v>
      </c>
      <c r="B25" s="2">
        <v>1.85</v>
      </c>
      <c r="C25" s="2">
        <v>1.82</v>
      </c>
    </row>
    <row r="26" spans="1:15" ht="15.95" customHeight="1" x14ac:dyDescent="0.2">
      <c r="A26" s="3" t="s">
        <v>24</v>
      </c>
      <c r="B26" s="2">
        <v>1.79</v>
      </c>
      <c r="C26" s="2">
        <v>1.77</v>
      </c>
    </row>
    <row r="27" spans="1:15" ht="15.95" customHeight="1" x14ac:dyDescent="0.2">
      <c r="A27" s="3" t="s">
        <v>25</v>
      </c>
      <c r="B27" s="2">
        <v>1.73</v>
      </c>
      <c r="C27" s="2">
        <v>1.66</v>
      </c>
    </row>
    <row r="28" spans="1:15" ht="15.95" customHeight="1" x14ac:dyDescent="0.2">
      <c r="A28" s="3" t="s">
        <v>26</v>
      </c>
      <c r="B28" s="2">
        <v>1.63</v>
      </c>
      <c r="C28" s="2">
        <v>1.61</v>
      </c>
    </row>
    <row r="29" spans="1:15" ht="15.95" customHeight="1" x14ac:dyDescent="0.2">
      <c r="A29" s="3" t="s">
        <v>27</v>
      </c>
      <c r="B29" s="2">
        <v>1.63</v>
      </c>
      <c r="C29" s="2">
        <v>1.67</v>
      </c>
    </row>
    <row r="30" spans="1:15" ht="15.95" customHeight="1" x14ac:dyDescent="0.2">
      <c r="A30" s="3" t="s">
        <v>28</v>
      </c>
      <c r="B30" s="2">
        <v>1.47</v>
      </c>
      <c r="C30" s="2">
        <v>1.46</v>
      </c>
    </row>
    <row r="31" spans="1:15" ht="15.95" customHeight="1" x14ac:dyDescent="0.2">
      <c r="A31" s="3" t="s">
        <v>29</v>
      </c>
      <c r="B31" s="2">
        <v>1.47</v>
      </c>
      <c r="C31" s="2">
        <v>1.46</v>
      </c>
    </row>
    <row r="32" spans="1:15" ht="15.95" customHeight="1" x14ac:dyDescent="0.2">
      <c r="A32" s="3" t="s">
        <v>30</v>
      </c>
      <c r="B32" s="2">
        <v>1.46</v>
      </c>
      <c r="C32" s="2">
        <v>1.33</v>
      </c>
    </row>
    <row r="33" spans="1:3" ht="15.95" customHeight="1" x14ac:dyDescent="0.2">
      <c r="A33" s="3" t="s">
        <v>31</v>
      </c>
      <c r="B33" s="2">
        <v>1.21</v>
      </c>
      <c r="C33" s="2">
        <v>1.23</v>
      </c>
    </row>
    <row r="35" spans="1:3" ht="15.95" customHeight="1" x14ac:dyDescent="0.2">
      <c r="A35" s="2"/>
      <c r="B35" s="2">
        <v>-3.2</v>
      </c>
    </row>
    <row r="36" spans="1:3" ht="15.95" customHeight="1" x14ac:dyDescent="0.2">
      <c r="A36" s="2"/>
      <c r="B36" s="2">
        <v>2.2999999999999998</v>
      </c>
    </row>
    <row r="37" spans="1:3" ht="15.95" customHeight="1" x14ac:dyDescent="0.2">
      <c r="A37" s="2"/>
    </row>
    <row r="38" spans="1:3" ht="15.95" customHeight="1" x14ac:dyDescent="0.2">
      <c r="A38" s="2"/>
      <c r="B38" s="2" t="s">
        <v>32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E3BD-B7DA-4076-9351-043950FBAE4E}">
  <dimension ref="A1:I33"/>
  <sheetViews>
    <sheetView showGridLines="0" tabSelected="1" workbookViewId="0"/>
  </sheetViews>
  <sheetFormatPr defaultRowHeight="15" customHeight="1" x14ac:dyDescent="0.2"/>
  <cols>
    <col min="1" max="1" width="10.875" style="17" bestFit="1" customWidth="1"/>
    <col min="2" max="3" width="13.625" style="18" customWidth="1"/>
    <col min="4" max="4" width="2.625" style="17" customWidth="1"/>
    <col min="5" max="6" width="6.625" style="2" customWidth="1"/>
    <col min="7" max="8" width="6.625" style="18" customWidth="1"/>
    <col min="9" max="9" width="2.625" style="6" customWidth="1"/>
    <col min="10" max="16384" width="9" style="5"/>
  </cols>
  <sheetData>
    <row r="1" spans="1:8" ht="15" customHeight="1" thickBot="1" x14ac:dyDescent="0.25">
      <c r="A1" s="3"/>
      <c r="B1" s="2" t="s">
        <v>0</v>
      </c>
      <c r="C1" s="2" t="s">
        <v>1</v>
      </c>
      <c r="E1" s="2" t="s">
        <v>44</v>
      </c>
      <c r="F1" s="2" t="s">
        <v>45</v>
      </c>
      <c r="G1" s="18" t="s">
        <v>46</v>
      </c>
      <c r="H1" s="18" t="s">
        <v>47</v>
      </c>
    </row>
    <row r="2" spans="1:8" ht="15" customHeight="1" x14ac:dyDescent="0.2">
      <c r="A2" s="7" t="s">
        <v>2</v>
      </c>
      <c r="B2" s="8">
        <v>1.56</v>
      </c>
      <c r="C2" s="8">
        <v>1.54</v>
      </c>
      <c r="D2" s="19"/>
      <c r="E2" s="8">
        <v>20.5</v>
      </c>
      <c r="F2" s="8">
        <v>1</v>
      </c>
      <c r="G2" s="20" t="e">
        <f>IF((C2-B2)&gt;=0,C2-B2,NA())</f>
        <v>#N/A</v>
      </c>
      <c r="H2" s="20">
        <f>IF((C2-B2)&lt;0,B2-C2,NA())</f>
        <v>2.0000000000000018E-2</v>
      </c>
    </row>
    <row r="3" spans="1:8" ht="15" customHeight="1" x14ac:dyDescent="0.2">
      <c r="A3" s="9" t="s">
        <v>3</v>
      </c>
      <c r="B3" s="10">
        <v>1.33</v>
      </c>
      <c r="C3" s="10">
        <v>1.31</v>
      </c>
      <c r="D3" s="21"/>
      <c r="E3" s="10">
        <v>19.5</v>
      </c>
      <c r="F3" s="10">
        <v>1</v>
      </c>
      <c r="G3" s="22" t="e">
        <f t="shared" ref="G3:G22" si="0">IF((C3-B3)&gt;=0,C3-B3,NA())</f>
        <v>#N/A</v>
      </c>
      <c r="H3" s="22">
        <f t="shared" ref="H3:H22" si="1">IF((C3-B3)&lt;0,B3-C3,NA())</f>
        <v>2.0000000000000018E-2</v>
      </c>
    </row>
    <row r="4" spans="1:8" ht="15" customHeight="1" x14ac:dyDescent="0.2">
      <c r="A4" s="9" t="s">
        <v>4</v>
      </c>
      <c r="B4" s="10">
        <v>1.31</v>
      </c>
      <c r="C4" s="10">
        <v>1.33</v>
      </c>
      <c r="D4" s="21"/>
      <c r="E4" s="10">
        <v>18.5</v>
      </c>
      <c r="F4" s="10">
        <v>1</v>
      </c>
      <c r="G4" s="22">
        <f t="shared" si="0"/>
        <v>2.0000000000000018E-2</v>
      </c>
      <c r="H4" s="22" t="e">
        <f t="shared" si="1"/>
        <v>#N/A</v>
      </c>
    </row>
    <row r="5" spans="1:8" ht="15" customHeight="1" x14ac:dyDescent="0.2">
      <c r="A5" s="9" t="s">
        <v>5</v>
      </c>
      <c r="B5" s="10">
        <v>1.31</v>
      </c>
      <c r="C5" s="10">
        <v>1.3</v>
      </c>
      <c r="D5" s="21"/>
      <c r="E5" s="10">
        <v>17.5</v>
      </c>
      <c r="F5" s="10">
        <v>1</v>
      </c>
      <c r="G5" s="22" t="e">
        <f t="shared" si="0"/>
        <v>#N/A</v>
      </c>
      <c r="H5" s="22">
        <f t="shared" si="1"/>
        <v>1.0000000000000009E-2</v>
      </c>
    </row>
    <row r="6" spans="1:8" ht="15" customHeight="1" x14ac:dyDescent="0.2">
      <c r="A6" s="9" t="s">
        <v>6</v>
      </c>
      <c r="B6" s="10">
        <v>1.29</v>
      </c>
      <c r="C6" s="10">
        <v>1.29</v>
      </c>
      <c r="D6" s="21"/>
      <c r="E6" s="10">
        <v>16.5</v>
      </c>
      <c r="F6" s="10">
        <v>1</v>
      </c>
      <c r="G6" s="22">
        <f t="shared" si="0"/>
        <v>0</v>
      </c>
      <c r="H6" s="22" t="e">
        <f t="shared" si="1"/>
        <v>#N/A</v>
      </c>
    </row>
    <row r="7" spans="1:8" ht="15" customHeight="1" x14ac:dyDescent="0.2">
      <c r="A7" s="9" t="s">
        <v>7</v>
      </c>
      <c r="B7" s="10">
        <v>1.22</v>
      </c>
      <c r="C7" s="10">
        <v>1.24</v>
      </c>
      <c r="D7" s="21"/>
      <c r="E7" s="10">
        <v>15.5</v>
      </c>
      <c r="F7" s="10">
        <v>1</v>
      </c>
      <c r="G7" s="22">
        <f t="shared" si="0"/>
        <v>2.0000000000000018E-2</v>
      </c>
      <c r="H7" s="22" t="e">
        <f t="shared" si="1"/>
        <v>#N/A</v>
      </c>
    </row>
    <row r="8" spans="1:8" ht="15" customHeight="1" x14ac:dyDescent="0.2">
      <c r="A8" s="9" t="s">
        <v>8</v>
      </c>
      <c r="B8" s="10">
        <v>1.22</v>
      </c>
      <c r="C8" s="10">
        <v>1.21</v>
      </c>
      <c r="D8" s="21"/>
      <c r="E8" s="10">
        <v>14.5</v>
      </c>
      <c r="F8" s="10">
        <v>1</v>
      </c>
      <c r="G8" s="22" t="e">
        <f t="shared" si="0"/>
        <v>#N/A</v>
      </c>
      <c r="H8" s="22">
        <f t="shared" si="1"/>
        <v>1.0000000000000009E-2</v>
      </c>
    </row>
    <row r="9" spans="1:8" ht="15" customHeight="1" x14ac:dyDescent="0.2">
      <c r="A9" s="9" t="s">
        <v>9</v>
      </c>
      <c r="B9" s="10">
        <v>1.22</v>
      </c>
      <c r="C9" s="10">
        <v>1.21</v>
      </c>
      <c r="D9" s="21"/>
      <c r="E9" s="10">
        <v>13.5</v>
      </c>
      <c r="F9" s="10">
        <v>1</v>
      </c>
      <c r="G9" s="22" t="e">
        <f t="shared" si="0"/>
        <v>#N/A</v>
      </c>
      <c r="H9" s="22">
        <f t="shared" si="1"/>
        <v>1.0000000000000009E-2</v>
      </c>
    </row>
    <row r="10" spans="1:8" ht="15" customHeight="1" x14ac:dyDescent="0.2">
      <c r="A10" s="9" t="s">
        <v>10</v>
      </c>
      <c r="B10" s="10">
        <v>1.21</v>
      </c>
      <c r="C10" s="10">
        <v>1.2</v>
      </c>
      <c r="D10" s="21"/>
      <c r="E10" s="10">
        <v>12.5</v>
      </c>
      <c r="F10" s="10">
        <v>1</v>
      </c>
      <c r="G10" s="22" t="e">
        <f t="shared" si="0"/>
        <v>#N/A</v>
      </c>
      <c r="H10" s="22">
        <f t="shared" si="1"/>
        <v>1.0000000000000009E-2</v>
      </c>
    </row>
    <row r="11" spans="1:8" ht="15" customHeight="1" x14ac:dyDescent="0.2">
      <c r="A11" s="9" t="s">
        <v>11</v>
      </c>
      <c r="B11" s="10">
        <v>1.2</v>
      </c>
      <c r="C11" s="10">
        <v>1.22</v>
      </c>
      <c r="D11" s="21"/>
      <c r="E11" s="10">
        <v>11.5</v>
      </c>
      <c r="F11" s="10">
        <v>1</v>
      </c>
      <c r="G11" s="22">
        <f t="shared" si="0"/>
        <v>2.0000000000000018E-2</v>
      </c>
      <c r="H11" s="22" t="e">
        <f t="shared" si="1"/>
        <v>#N/A</v>
      </c>
    </row>
    <row r="12" spans="1:8" ht="15" customHeight="1" x14ac:dyDescent="0.2">
      <c r="A12" s="9" t="s">
        <v>12</v>
      </c>
      <c r="B12" s="10">
        <v>1.2</v>
      </c>
      <c r="C12" s="10">
        <v>1.23</v>
      </c>
      <c r="D12" s="21"/>
      <c r="E12" s="10">
        <v>10.5</v>
      </c>
      <c r="F12" s="10">
        <v>1</v>
      </c>
      <c r="G12" s="22">
        <f t="shared" si="0"/>
        <v>3.0000000000000027E-2</v>
      </c>
      <c r="H12" s="22" t="e">
        <f t="shared" si="1"/>
        <v>#N/A</v>
      </c>
    </row>
    <row r="13" spans="1:8" ht="15" customHeight="1" x14ac:dyDescent="0.2">
      <c r="A13" s="9" t="s">
        <v>13</v>
      </c>
      <c r="B13" s="10">
        <v>1.2</v>
      </c>
      <c r="C13" s="10">
        <v>1.23</v>
      </c>
      <c r="D13" s="21"/>
      <c r="E13" s="10">
        <v>9.5</v>
      </c>
      <c r="F13" s="10">
        <v>1</v>
      </c>
      <c r="G13" s="22">
        <f t="shared" si="0"/>
        <v>3.0000000000000027E-2</v>
      </c>
      <c r="H13" s="22" t="e">
        <f t="shared" si="1"/>
        <v>#N/A</v>
      </c>
    </row>
    <row r="14" spans="1:8" ht="15" customHeight="1" x14ac:dyDescent="0.2">
      <c r="A14" s="9" t="s">
        <v>14</v>
      </c>
      <c r="B14" s="10">
        <v>1.2</v>
      </c>
      <c r="C14" s="10">
        <v>1.22</v>
      </c>
      <c r="D14" s="21"/>
      <c r="E14" s="10">
        <v>8.5</v>
      </c>
      <c r="F14" s="10">
        <v>1</v>
      </c>
      <c r="G14" s="22">
        <f t="shared" si="0"/>
        <v>2.0000000000000018E-2</v>
      </c>
      <c r="H14" s="22" t="e">
        <f t="shared" si="1"/>
        <v>#N/A</v>
      </c>
    </row>
    <row r="15" spans="1:8" ht="15" customHeight="1" x14ac:dyDescent="0.2">
      <c r="A15" s="9" t="s">
        <v>15</v>
      </c>
      <c r="B15" s="10">
        <v>1.19</v>
      </c>
      <c r="C15" s="10">
        <v>1.2</v>
      </c>
      <c r="D15" s="21"/>
      <c r="E15" s="10">
        <v>7.5</v>
      </c>
      <c r="F15" s="10">
        <v>1</v>
      </c>
      <c r="G15" s="22">
        <f t="shared" si="0"/>
        <v>1.0000000000000009E-2</v>
      </c>
      <c r="H15" s="22" t="e">
        <f t="shared" si="1"/>
        <v>#N/A</v>
      </c>
    </row>
    <row r="16" spans="1:8" ht="15" customHeight="1" x14ac:dyDescent="0.2">
      <c r="A16" s="9" t="s">
        <v>16</v>
      </c>
      <c r="B16" s="10">
        <v>1.18</v>
      </c>
      <c r="C16" s="10">
        <v>1.2</v>
      </c>
      <c r="D16" s="21"/>
      <c r="E16" s="10">
        <v>6.5</v>
      </c>
      <c r="F16" s="10">
        <v>1</v>
      </c>
      <c r="G16" s="22">
        <f t="shared" si="0"/>
        <v>2.0000000000000018E-2</v>
      </c>
      <c r="H16" s="22" t="e">
        <f t="shared" si="1"/>
        <v>#N/A</v>
      </c>
    </row>
    <row r="17" spans="1:8" ht="15" customHeight="1" x14ac:dyDescent="0.2">
      <c r="A17" s="9" t="s">
        <v>17</v>
      </c>
      <c r="B17" s="10">
        <v>1.17</v>
      </c>
      <c r="C17" s="10">
        <v>1.18</v>
      </c>
      <c r="D17" s="21"/>
      <c r="E17" s="10">
        <v>5.5</v>
      </c>
      <c r="F17" s="10">
        <v>1</v>
      </c>
      <c r="G17" s="22">
        <f t="shared" si="0"/>
        <v>1.0000000000000009E-2</v>
      </c>
      <c r="H17" s="22" t="e">
        <f t="shared" si="1"/>
        <v>#N/A</v>
      </c>
    </row>
    <row r="18" spans="1:8" ht="15" customHeight="1" x14ac:dyDescent="0.2">
      <c r="A18" s="9" t="s">
        <v>18</v>
      </c>
      <c r="B18" s="10">
        <v>1.17</v>
      </c>
      <c r="C18" s="10">
        <v>1.19</v>
      </c>
      <c r="D18" s="21"/>
      <c r="E18" s="10">
        <v>4.5</v>
      </c>
      <c r="F18" s="10">
        <v>1</v>
      </c>
      <c r="G18" s="22">
        <f t="shared" si="0"/>
        <v>2.0000000000000018E-2</v>
      </c>
      <c r="H18" s="22" t="e">
        <f t="shared" si="1"/>
        <v>#N/A</v>
      </c>
    </row>
    <row r="19" spans="1:8" ht="15" customHeight="1" x14ac:dyDescent="0.2">
      <c r="A19" s="9" t="s">
        <v>19</v>
      </c>
      <c r="B19" s="10">
        <v>1.1599999999999999</v>
      </c>
      <c r="C19" s="10">
        <v>1.1399999999999999</v>
      </c>
      <c r="D19" s="21"/>
      <c r="E19" s="10">
        <v>3.5</v>
      </c>
      <c r="F19" s="10">
        <v>1</v>
      </c>
      <c r="G19" s="22" t="e">
        <f t="shared" si="0"/>
        <v>#N/A</v>
      </c>
      <c r="H19" s="22">
        <f t="shared" si="1"/>
        <v>2.0000000000000018E-2</v>
      </c>
    </row>
    <row r="20" spans="1:8" ht="15" customHeight="1" x14ac:dyDescent="0.2">
      <c r="A20" s="9" t="s">
        <v>20</v>
      </c>
      <c r="B20" s="10">
        <v>1.1499999999999999</v>
      </c>
      <c r="C20" s="10">
        <v>1.18</v>
      </c>
      <c r="D20" s="21"/>
      <c r="E20" s="10">
        <v>2.5</v>
      </c>
      <c r="F20" s="10">
        <v>1</v>
      </c>
      <c r="G20" s="22">
        <f t="shared" si="0"/>
        <v>3.0000000000000027E-2</v>
      </c>
      <c r="H20" s="22" t="e">
        <f t="shared" si="1"/>
        <v>#N/A</v>
      </c>
    </row>
    <row r="21" spans="1:8" ht="15" customHeight="1" x14ac:dyDescent="0.2">
      <c r="A21" s="9" t="s">
        <v>21</v>
      </c>
      <c r="B21" s="10">
        <v>1.1299999999999999</v>
      </c>
      <c r="C21" s="10">
        <v>1.1599999999999999</v>
      </c>
      <c r="D21" s="21"/>
      <c r="E21" s="10">
        <v>1.5</v>
      </c>
      <c r="F21" s="10">
        <v>1</v>
      </c>
      <c r="G21" s="22">
        <f t="shared" si="0"/>
        <v>3.0000000000000027E-2</v>
      </c>
      <c r="H21" s="22" t="e">
        <f t="shared" si="1"/>
        <v>#N/A</v>
      </c>
    </row>
    <row r="22" spans="1:8" ht="15" customHeight="1" thickBot="1" x14ac:dyDescent="0.25">
      <c r="A22" s="11" t="s">
        <v>22</v>
      </c>
      <c r="B22" s="12">
        <v>1.06</v>
      </c>
      <c r="C22" s="12">
        <v>1.1399999999999999</v>
      </c>
      <c r="D22" s="23"/>
      <c r="E22" s="12">
        <v>0.5</v>
      </c>
      <c r="F22" s="12">
        <v>1</v>
      </c>
      <c r="G22" s="24">
        <f t="shared" si="0"/>
        <v>7.9999999999999849E-2</v>
      </c>
      <c r="H22" s="24" t="e">
        <f t="shared" si="1"/>
        <v>#N/A</v>
      </c>
    </row>
    <row r="23" spans="1:8" ht="15" customHeight="1" x14ac:dyDescent="0.2">
      <c r="A23" s="3"/>
      <c r="B23" s="2"/>
      <c r="C23" s="2"/>
    </row>
    <row r="24" spans="1:8" ht="15" customHeight="1" thickBot="1" x14ac:dyDescent="0.25">
      <c r="A24" s="3"/>
      <c r="B24" s="2" t="s">
        <v>0</v>
      </c>
      <c r="C24" s="2" t="s">
        <v>1</v>
      </c>
      <c r="E24" s="2" t="s">
        <v>44</v>
      </c>
      <c r="F24" s="2" t="s">
        <v>45</v>
      </c>
      <c r="G24" s="18" t="s">
        <v>46</v>
      </c>
      <c r="H24" s="18" t="s">
        <v>47</v>
      </c>
    </row>
    <row r="25" spans="1:8" ht="15" customHeight="1" x14ac:dyDescent="0.2">
      <c r="A25" s="13" t="s">
        <v>23</v>
      </c>
      <c r="B25" s="14">
        <v>1.85</v>
      </c>
      <c r="C25" s="14">
        <v>1.82</v>
      </c>
      <c r="D25" s="25"/>
      <c r="E25" s="14">
        <v>8.5</v>
      </c>
      <c r="F25" s="14">
        <v>1</v>
      </c>
      <c r="G25" s="26" t="e">
        <f>IF((C25-B25)&gt;=0,C25-B25,NA())</f>
        <v>#N/A</v>
      </c>
      <c r="H25" s="26">
        <f>IF((C25-B25)&lt;0,B25-C25,NA())</f>
        <v>3.0000000000000027E-2</v>
      </c>
    </row>
    <row r="26" spans="1:8" ht="15" customHeight="1" x14ac:dyDescent="0.2">
      <c r="A26" s="9" t="s">
        <v>24</v>
      </c>
      <c r="B26" s="10">
        <v>1.79</v>
      </c>
      <c r="C26" s="10">
        <v>1.77</v>
      </c>
      <c r="D26" s="21"/>
      <c r="E26" s="10">
        <v>7.5</v>
      </c>
      <c r="F26" s="10">
        <v>1</v>
      </c>
      <c r="G26" s="22" t="e">
        <f t="shared" ref="G26:G32" si="2">IF((C26-B26)&gt;=0,C26-B26,NA())</f>
        <v>#N/A</v>
      </c>
      <c r="H26" s="22">
        <f t="shared" ref="H26:H32" si="3">IF((C26-B26)&lt;0,B26-C26,NA())</f>
        <v>2.0000000000000018E-2</v>
      </c>
    </row>
    <row r="27" spans="1:8" ht="15" customHeight="1" x14ac:dyDescent="0.2">
      <c r="A27" s="9" t="s">
        <v>25</v>
      </c>
      <c r="B27" s="10">
        <v>1.73</v>
      </c>
      <c r="C27" s="10">
        <v>1.66</v>
      </c>
      <c r="D27" s="21"/>
      <c r="E27" s="10">
        <v>6.5</v>
      </c>
      <c r="F27" s="10">
        <v>1</v>
      </c>
      <c r="G27" s="22" t="e">
        <f t="shared" si="2"/>
        <v>#N/A</v>
      </c>
      <c r="H27" s="22">
        <f t="shared" si="3"/>
        <v>7.0000000000000062E-2</v>
      </c>
    </row>
    <row r="28" spans="1:8" ht="15" customHeight="1" x14ac:dyDescent="0.2">
      <c r="A28" s="9" t="s">
        <v>26</v>
      </c>
      <c r="B28" s="10">
        <v>1.63</v>
      </c>
      <c r="C28" s="10">
        <v>1.61</v>
      </c>
      <c r="D28" s="21"/>
      <c r="E28" s="10">
        <v>5.5</v>
      </c>
      <c r="F28" s="10">
        <v>1</v>
      </c>
      <c r="G28" s="22" t="e">
        <f t="shared" si="2"/>
        <v>#N/A</v>
      </c>
      <c r="H28" s="22">
        <f t="shared" si="3"/>
        <v>1.9999999999999796E-2</v>
      </c>
    </row>
    <row r="29" spans="1:8" ht="15" customHeight="1" x14ac:dyDescent="0.2">
      <c r="A29" s="9" t="s">
        <v>27</v>
      </c>
      <c r="B29" s="10">
        <v>1.63</v>
      </c>
      <c r="C29" s="10">
        <v>1.67</v>
      </c>
      <c r="D29" s="21"/>
      <c r="E29" s="10">
        <v>4.5</v>
      </c>
      <c r="F29" s="10">
        <v>1</v>
      </c>
      <c r="G29" s="22">
        <f t="shared" si="2"/>
        <v>4.0000000000000036E-2</v>
      </c>
      <c r="H29" s="22" t="e">
        <f t="shared" si="3"/>
        <v>#N/A</v>
      </c>
    </row>
    <row r="30" spans="1:8" ht="15" customHeight="1" x14ac:dyDescent="0.2">
      <c r="A30" s="9" t="s">
        <v>28</v>
      </c>
      <c r="B30" s="10">
        <v>1.47</v>
      </c>
      <c r="C30" s="10">
        <v>1.46</v>
      </c>
      <c r="D30" s="21"/>
      <c r="E30" s="10">
        <v>3.5</v>
      </c>
      <c r="F30" s="10">
        <v>1</v>
      </c>
      <c r="G30" s="22" t="e">
        <f t="shared" si="2"/>
        <v>#N/A</v>
      </c>
      <c r="H30" s="22">
        <f t="shared" si="3"/>
        <v>1.0000000000000009E-2</v>
      </c>
    </row>
    <row r="31" spans="1:8" ht="15" customHeight="1" x14ac:dyDescent="0.2">
      <c r="A31" s="9" t="s">
        <v>29</v>
      </c>
      <c r="B31" s="10">
        <v>1.47</v>
      </c>
      <c r="C31" s="10">
        <v>1.46</v>
      </c>
      <c r="D31" s="21"/>
      <c r="E31" s="10">
        <v>2.5</v>
      </c>
      <c r="F31" s="10">
        <v>1</v>
      </c>
      <c r="G31" s="22" t="e">
        <f t="shared" si="2"/>
        <v>#N/A</v>
      </c>
      <c r="H31" s="22">
        <f t="shared" si="3"/>
        <v>1.0000000000000009E-2</v>
      </c>
    </row>
    <row r="32" spans="1:8" ht="15" customHeight="1" x14ac:dyDescent="0.2">
      <c r="A32" s="9" t="s">
        <v>30</v>
      </c>
      <c r="B32" s="10">
        <v>1.46</v>
      </c>
      <c r="C32" s="10">
        <v>1.33</v>
      </c>
      <c r="D32" s="21"/>
      <c r="E32" s="10">
        <v>1.5</v>
      </c>
      <c r="F32" s="10">
        <v>1</v>
      </c>
      <c r="G32" s="22" t="e">
        <f t="shared" si="2"/>
        <v>#N/A</v>
      </c>
      <c r="H32" s="22">
        <f t="shared" si="3"/>
        <v>0.12999999999999989</v>
      </c>
    </row>
    <row r="33" spans="1:8" ht="15" customHeight="1" thickBot="1" x14ac:dyDescent="0.25">
      <c r="A33" s="15" t="s">
        <v>31</v>
      </c>
      <c r="B33" s="16">
        <v>1.21</v>
      </c>
      <c r="C33" s="16">
        <v>1.23</v>
      </c>
      <c r="D33" s="27"/>
      <c r="E33" s="16">
        <v>0.5</v>
      </c>
      <c r="F33" s="16">
        <v>1</v>
      </c>
      <c r="G33" s="28">
        <f t="shared" ref="G33" si="4">IF((C33-B33)&gt;=0,C33-B33,NA())</f>
        <v>2.0000000000000018E-2</v>
      </c>
      <c r="H33" s="28" t="e">
        <f t="shared" ref="H33" si="5">IF((C33-B33)&lt;0,B33-C33,NA())</f>
        <v>#N/A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2018-11-05T14:26:19Z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50c26f89-40e5-4749-9687-4dea2ced2339</vt:lpwstr>
  </property>
</Properties>
</file>