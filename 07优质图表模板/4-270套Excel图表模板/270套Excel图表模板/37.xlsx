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T14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3" l="1"/>
  <c r="F3" i="13"/>
  <c r="E5" i="13" l="1"/>
  <c r="E6" i="13"/>
  <c r="E7" i="13"/>
  <c r="E8" i="13"/>
  <c r="E9" i="13"/>
  <c r="E4" i="13"/>
  <c r="F5" i="13"/>
  <c r="F6" i="13"/>
  <c r="F7" i="13"/>
  <c r="F8" i="13"/>
  <c r="F9" i="13"/>
  <c r="F4" i="13"/>
  <c r="D5" i="13"/>
  <c r="D6" i="13"/>
  <c r="D7" i="13"/>
  <c r="D8" i="13"/>
  <c r="D9" i="13"/>
  <c r="D4" i="13"/>
</calcChain>
</file>

<file path=xl/sharedStrings.xml><?xml version="1.0" encoding="utf-8"?>
<sst xmlns="http://schemas.openxmlformats.org/spreadsheetml/2006/main" count="15" uniqueCount="15">
  <si>
    <t>A产品</t>
    <phoneticPr fontId="2" type="noConversion"/>
  </si>
  <si>
    <t>B产品</t>
    <phoneticPr fontId="2" type="noConversion"/>
  </si>
  <si>
    <t>C产品</t>
    <phoneticPr fontId="2" type="noConversion"/>
  </si>
  <si>
    <t>E产品</t>
    <phoneticPr fontId="2" type="noConversion"/>
  </si>
  <si>
    <t>F产品</t>
    <phoneticPr fontId="2" type="noConversion"/>
  </si>
  <si>
    <t>2016年</t>
    <phoneticPr fontId="2" type="noConversion"/>
  </si>
  <si>
    <t>2017年</t>
    <phoneticPr fontId="2" type="noConversion"/>
  </si>
  <si>
    <t>G产品</t>
    <phoneticPr fontId="2" type="noConversion"/>
  </si>
  <si>
    <t>平均值</t>
    <phoneticPr fontId="2" type="noConversion"/>
  </si>
  <si>
    <t>增长率</t>
    <phoneticPr fontId="2" type="noConversion"/>
  </si>
  <si>
    <t>增长率辅助</t>
    <phoneticPr fontId="2" type="noConversion"/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</si>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</sst>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B553B"/>
      <color rgb="FF2F3194"/>
      <color rgb="FFA1C7E3"/>
      <color rgb="FF608ECD"/>
      <color rgb="FF1E529B"/>
      <color rgb="FF647A9A"/>
      <color rgb="FF0413A2"/>
      <color rgb="FF649AFC"/>
      <color rgb="FF576A87"/>
      <color rgb="FFFF53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'T14'!$C$2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'T14'!$A$4:$A$9</c:f>
              <c:strCache>
                <c:ptCount val="6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E产品</c:v>
                </c:pt>
                <c:pt idx="4">
                  <c:v>F产品</c:v>
                </c:pt>
                <c:pt idx="5">
                  <c:v>G产品</c:v>
                </c:pt>
              </c:strCache>
            </c:strRef>
          </c:cat>
          <c:val>
            <c:numRef>
              <c:f>'T14'!$C$4:$C$9</c:f>
              <c:numCache>
                <c:formatCode>General</c:formatCode>
                <c:ptCount val="6"/>
                <c:pt idx="0">
                  <c:v>370</c:v>
                </c:pt>
                <c:pt idx="1">
                  <c:v>530</c:v>
                </c:pt>
                <c:pt idx="2">
                  <c:v>549</c:v>
                </c:pt>
                <c:pt idx="3">
                  <c:v>690</c:v>
                </c:pt>
                <c:pt idx="4">
                  <c:v>420</c:v>
                </c:pt>
                <c:pt idx="5">
                  <c:v>670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41347072"/>
        <c:axId val="-2141354688"/>
      </c:barChart>
      <c:scatterChart>
        <c:scatterStyle val="lineMarker"/>
        <c:varyColors val="0"/>
        <c:ser>
          <c:idx val="2"/>
          <c:order val="1"/>
          <c:tx>
            <c:strRef>
              <c:f>'T14'!$E$2</c:f>
              <c:strCache>
                <c:ptCount val="1"/>
                <c:pt idx="0">
                  <c:v>增长率辅助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BD1AE4B1-7E96-42BA-A4AE-70AE309F784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0B65649-F969-4252-9968-6399B2C1AA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6EEE5D4-F2B9-49AA-A579-A63D95CC13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C780EF3C-F5B1-4B33-8156-488D0B5C65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5FF1DCF2-7340-4B48-B3FC-26683B5700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C6315A96-738C-4FF3-BADA-79C7134D341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Verdana" panose="020B0604030504040204" pitchFamily="34" charset="0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'T14'!$E$4:$E$9</c:f>
              <c:numCache>
                <c:formatCode>General</c:formatCode>
                <c:ptCount val="6"/>
                <c:pt idx="0">
                  <c:v>420</c:v>
                </c:pt>
                <c:pt idx="1">
                  <c:v>580</c:v>
                </c:pt>
                <c:pt idx="2">
                  <c:v>599</c:v>
                </c:pt>
                <c:pt idx="3">
                  <c:v>740</c:v>
                </c:pt>
                <c:pt idx="4">
                  <c:v>470</c:v>
                </c:pt>
                <c:pt idx="5">
                  <c:v>720</c:v>
                </c:pt>
              </c:numCache>
            </c:numRef>
          </c:xVal>
          <c:yVal>
            <c:numRef>
              <c:f>'T14'!$G$4:$G$9</c:f>
              <c:numCache>
                <c:formatCode>General</c:formatCode>
                <c:ptCount val="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'T14'!$D$4:$D$9</c15:f>
                <c15:dlblRangeCache>
                  <c:ptCount val="6"/>
                  <c:pt idx="0">
                    <c:v>6%</c:v>
                  </c:pt>
                  <c:pt idx="1">
                    <c:v>4%</c:v>
                  </c:pt>
                  <c:pt idx="2">
                    <c:v>0%</c:v>
                  </c:pt>
                  <c:pt idx="3">
                    <c:v>-3%</c:v>
                  </c:pt>
                  <c:pt idx="4">
                    <c:v>-14%</c:v>
                  </c:pt>
                  <c:pt idx="5">
                    <c:v>16%</c:v>
                  </c:pt>
                </c15:dlblRangeCache>
              </c15:datalabelsRange>
            </c:ext>
          </c:extLst>
        </c:ser>
        <c:ser>
          <c:idx val="1"/>
          <c:order val="2"/>
          <c:tx>
            <c:strRef>
              <c:f>'T14'!$F$2</c:f>
              <c:strCache>
                <c:ptCount val="1"/>
                <c:pt idx="0">
                  <c:v>平均值</c:v>
                </c:pt>
              </c:strCache>
            </c:strRef>
          </c:tx>
          <c:spPr>
            <a:ln w="25400" cap="rnd">
              <a:solidFill>
                <a:srgbClr val="576A8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noFill/>
              </a:ln>
              <a:effectLst/>
            </c:spPr>
          </c:marker>
          <c:xVal>
            <c:numRef>
              <c:f>'T14'!$F$3:$F$11</c:f>
              <c:numCache>
                <c:formatCode>General</c:formatCode>
                <c:ptCount val="9"/>
                <c:pt idx="0">
                  <c:v>538.16666666666663</c:v>
                </c:pt>
                <c:pt idx="1">
                  <c:v>538.16666666666663</c:v>
                </c:pt>
                <c:pt idx="2">
                  <c:v>538.16666666666663</c:v>
                </c:pt>
                <c:pt idx="3">
                  <c:v>538.16666666666663</c:v>
                </c:pt>
                <c:pt idx="4">
                  <c:v>538.16666666666663</c:v>
                </c:pt>
                <c:pt idx="5">
                  <c:v>538.16666666666663</c:v>
                </c:pt>
                <c:pt idx="6">
                  <c:v>538.16666666666663</c:v>
                </c:pt>
                <c:pt idx="7">
                  <c:v>538.16666666666663</c:v>
                </c:pt>
              </c:numCache>
            </c:numRef>
          </c:xVal>
          <c:yVal>
            <c:numRef>
              <c:f>'T14'!$G$3:$G$11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  <c:pt idx="7">
                  <c:v>6.5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1354144"/>
        <c:axId val="-2141345440"/>
      </c:scatterChart>
      <c:valAx>
        <c:axId val="-214135468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-2141347072"/>
        <c:crosses val="max"/>
        <c:crossBetween val="between"/>
      </c:valAx>
      <c:catAx>
        <c:axId val="-214134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2141354688"/>
        <c:crosses val="autoZero"/>
        <c:auto val="1"/>
        <c:lblAlgn val="ctr"/>
        <c:lblOffset val="100"/>
        <c:noMultiLvlLbl val="0"/>
      </c:catAx>
      <c:valAx>
        <c:axId val="-2141345440"/>
        <c:scaling>
          <c:orientation val="minMax"/>
          <c:max val="6"/>
        </c:scaling>
        <c:delete val="1"/>
        <c:axPos val="r"/>
        <c:numFmt formatCode="General" sourceLinked="1"/>
        <c:majorTickMark val="out"/>
        <c:minorTickMark val="none"/>
        <c:tickLblPos val="nextTo"/>
        <c:crossAx val="-2141354144"/>
        <c:crosses val="max"/>
        <c:crossBetween val="midCat"/>
      </c:valAx>
      <c:valAx>
        <c:axId val="-214135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214134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</xdr:row>
      <xdr:rowOff>156210</xdr:rowOff>
    </xdr:from>
    <xdr:to>
      <xdr:col>17</xdr:col>
      <xdr:colOff>53340</xdr:colOff>
      <xdr:row>17</xdr:row>
      <xdr:rowOff>45720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</xdr:colOff>
      <xdr:row>12</xdr:row>
      <xdr:rowOff>7620</xdr:rowOff>
    </xdr:from>
    <xdr:to>
      <xdr:col>4</xdr:col>
      <xdr:colOff>495300</xdr:colOff>
      <xdr:row>13</xdr:row>
      <xdr:rowOff>76200</xdr:rowOff>
    </xdr:to>
    <xdr:sp macro="" textlink="">
      <xdr:nvSpPr>
        <xdr:cNvPr id="5" name="椭圆 4"/>
        <xdr:cNvSpPr/>
      </xdr:nvSpPr>
      <xdr:spPr>
        <a:xfrm>
          <a:off x="2529840" y="2621280"/>
          <a:ext cx="403860" cy="266700"/>
        </a:xfrm>
        <a:prstGeom prst="ellipse">
          <a:avLst/>
        </a:prstGeom>
        <a:solidFill>
          <a:srgbClr val="FF533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workbookViewId="0">
      <selection activeCell="I20" sqref="I20"/>
    </sheetView>
  </sheetViews>
  <sheetFormatPr defaultRowHeight="15.6" x14ac:dyDescent="0.25"/>
  <cols>
    <col min="1" max="4" width="8.88671875" style="1"/>
    <col min="5" max="5" width="11.6640625" style="1" bestFit="1" customWidth="1"/>
    <col min="6" max="16384" width="8.88671875" style="1"/>
  </cols>
  <sheetData>
    <row r="1" spans="1:21" s="4" customFormat="1" ht="29.4" customHeight="1" x14ac:dyDescent="0.25">
      <c r="A1" s="7" t="s">
        <v>11</v>
      </c>
      <c r="B1" s="7"/>
      <c r="C1" s="7"/>
      <c r="D1" s="7"/>
      <c r="E1" s="7"/>
      <c r="F1" s="7"/>
      <c r="G1" s="7"/>
      <c r="H1" s="7" t="s">
        <v>12</v>
      </c>
      <c r="I1" s="7"/>
      <c r="J1" s="7"/>
      <c r="K1" s="7"/>
      <c r="L1" s="7"/>
      <c r="M1" s="7"/>
      <c r="N1" s="7"/>
      <c r="O1" s="7"/>
      <c r="P1" s="7"/>
      <c r="Q1" s="7"/>
      <c r="R1" s="7"/>
      <c r="S1" s="6" t="s">
        <v>13</v>
      </c>
      <c r="T1" s="6"/>
      <c r="U1" s="6"/>
    </row>
    <row r="2" spans="1:21" ht="20.399999999999999" customHeight="1" x14ac:dyDescent="0.25">
      <c r="A2" s="8"/>
      <c r="B2" s="8" t="s">
        <v>5</v>
      </c>
      <c r="C2" s="8" t="s">
        <v>6</v>
      </c>
      <c r="D2" s="1" t="s">
        <v>9</v>
      </c>
      <c r="E2" s="1" t="s">
        <v>10</v>
      </c>
      <c r="F2" s="1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21" x14ac:dyDescent="0.25">
      <c r="A3" s="8"/>
      <c r="B3" s="12" t="s">
        <v>14</v>
      </c>
      <c r="C3" s="12"/>
      <c r="D3" s="12"/>
      <c r="E3" s="12"/>
      <c r="F3" s="1">
        <f t="shared" ref="F3:F11" si="0">AVERAGE($C$4:$C$9)</f>
        <v>538.16666666666663</v>
      </c>
      <c r="G3" s="1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1" x14ac:dyDescent="0.35">
      <c r="A4" s="9" t="s">
        <v>0</v>
      </c>
      <c r="B4" s="10">
        <v>350</v>
      </c>
      <c r="C4" s="11">
        <v>370</v>
      </c>
      <c r="D4" s="3">
        <f>(C4-B4)/B4</f>
        <v>5.7142857142857141E-2</v>
      </c>
      <c r="E4" s="1">
        <f>C4+50</f>
        <v>420</v>
      </c>
      <c r="F4" s="1">
        <f t="shared" si="0"/>
        <v>538.16666666666663</v>
      </c>
      <c r="G4" s="1">
        <v>0.5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1" x14ac:dyDescent="0.35">
      <c r="A5" s="9" t="s">
        <v>1</v>
      </c>
      <c r="B5" s="10">
        <v>510</v>
      </c>
      <c r="C5" s="11">
        <v>530</v>
      </c>
      <c r="D5" s="3">
        <f t="shared" ref="D5:D9" si="1">(C5-B5)/B5</f>
        <v>3.9215686274509803E-2</v>
      </c>
      <c r="E5" s="1">
        <f t="shared" ref="E5:E9" si="2">C5+50</f>
        <v>580</v>
      </c>
      <c r="F5" s="1">
        <f t="shared" si="0"/>
        <v>538.16666666666663</v>
      </c>
      <c r="G5" s="1">
        <v>1.5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21" x14ac:dyDescent="0.35">
      <c r="A6" s="9" t="s">
        <v>2</v>
      </c>
      <c r="B6" s="10">
        <v>550</v>
      </c>
      <c r="C6" s="11">
        <v>549</v>
      </c>
      <c r="D6" s="3">
        <f t="shared" si="1"/>
        <v>-1.8181818181818182E-3</v>
      </c>
      <c r="E6" s="1">
        <f t="shared" si="2"/>
        <v>599</v>
      </c>
      <c r="F6" s="1">
        <f t="shared" si="0"/>
        <v>538.16666666666663</v>
      </c>
      <c r="G6" s="1">
        <v>2.5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21" x14ac:dyDescent="0.35">
      <c r="A7" s="9" t="s">
        <v>3</v>
      </c>
      <c r="B7" s="10">
        <v>710</v>
      </c>
      <c r="C7" s="11">
        <v>690</v>
      </c>
      <c r="D7" s="3">
        <f t="shared" si="1"/>
        <v>-2.8169014084507043E-2</v>
      </c>
      <c r="E7" s="1">
        <f t="shared" si="2"/>
        <v>740</v>
      </c>
      <c r="F7" s="1">
        <f t="shared" si="0"/>
        <v>538.16666666666663</v>
      </c>
      <c r="G7" s="1">
        <v>3.5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21" x14ac:dyDescent="0.35">
      <c r="A8" s="9" t="s">
        <v>4</v>
      </c>
      <c r="B8" s="10">
        <v>490</v>
      </c>
      <c r="C8" s="11">
        <v>420</v>
      </c>
      <c r="D8" s="3">
        <f t="shared" si="1"/>
        <v>-0.14285714285714285</v>
      </c>
      <c r="E8" s="1">
        <f t="shared" si="2"/>
        <v>470</v>
      </c>
      <c r="F8" s="1">
        <f t="shared" si="0"/>
        <v>538.16666666666663</v>
      </c>
      <c r="G8" s="1">
        <v>4.5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21" x14ac:dyDescent="0.35">
      <c r="A9" s="9" t="s">
        <v>7</v>
      </c>
      <c r="B9" s="10">
        <v>580</v>
      </c>
      <c r="C9" s="11">
        <v>670</v>
      </c>
      <c r="D9" s="3">
        <f t="shared" si="1"/>
        <v>0.15517241379310345</v>
      </c>
      <c r="E9" s="1">
        <f t="shared" si="2"/>
        <v>720</v>
      </c>
      <c r="F9" s="1">
        <f t="shared" si="0"/>
        <v>538.16666666666663</v>
      </c>
      <c r="G9" s="1">
        <v>5.5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21" x14ac:dyDescent="0.35">
      <c r="A10" s="2"/>
      <c r="F10" s="1">
        <f t="shared" si="0"/>
        <v>538.16666666666663</v>
      </c>
      <c r="G10" s="1">
        <v>6.5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21" x14ac:dyDescent="0.25"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21" x14ac:dyDescent="0.25"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21" x14ac:dyDescent="0.25"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21" x14ac:dyDescent="0.25"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21" x14ac:dyDescent="0.25"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21" x14ac:dyDescent="0.25"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8:18" x14ac:dyDescent="0.25"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8:18" x14ac:dyDescent="0.25"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8:18" x14ac:dyDescent="0.25"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8:18" x14ac:dyDescent="0.25"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8:18" x14ac:dyDescent="0.25"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8:18" x14ac:dyDescent="0.25"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8:18" x14ac:dyDescent="0.25"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8:18" x14ac:dyDescent="0.25"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8:18" x14ac:dyDescent="0.25"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8:18" x14ac:dyDescent="0.25"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8:18" x14ac:dyDescent="0.25"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</sheetData>
  <mergeCells count="3">
    <mergeCell ref="H1:R1"/>
    <mergeCell ref="A1:G1"/>
    <mergeCell ref="B3:E3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2018-05-23T12:02:12Z</dcterms:modified>
</cp:coreProperties>
</file>