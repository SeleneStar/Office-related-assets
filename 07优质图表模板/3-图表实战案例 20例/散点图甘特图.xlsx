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hidePivotFieldList="1"/>
  <mc:AlternateContent xmlns:mc="http://schemas.openxmlformats.org/markup-compatibility/2006">
    <mc:Choice Requires="x15">
      <x15ac:absPath xmlns:x15ac="http://schemas.microsoft.com/office/spreadsheetml/2010/11/ac" url="F:\秋叶文档\课程开发文档\案例文件\按章节整理案例\11.06-11.11期间整理的案例第二版\第七章：图表实战-数据可视化\"/>
    </mc:Choice>
  </mc:AlternateContent>
  <xr:revisionPtr revIDLastSave="0" documentId="13_ncr:1_{411E63AE-41A6-411E-810C-98B5DCC62662}" xr6:coauthVersionLast="38" xr6:coauthVersionMax="38" xr10:uidLastSave="{00000000-0000-0000-0000-000000000000}"/>
  <bookViews>
    <workbookView xWindow="0" yWindow="0" windowWidth="29070" windowHeight="17670" xr2:uid="{86A71DFA-1DBB-45A2-B2B9-B7206CF5D329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</calcChain>
</file>

<file path=xl/sharedStrings.xml><?xml version="1.0" encoding="utf-8"?>
<sst xmlns="http://schemas.openxmlformats.org/spreadsheetml/2006/main" count="128" uniqueCount="71">
  <si>
    <t>Flight</t>
  </si>
  <si>
    <t>Arrival</t>
  </si>
  <si>
    <t>Departure</t>
  </si>
  <si>
    <t xml:space="preserve">Gate assigned </t>
  </si>
  <si>
    <t>BY1585</t>
  </si>
  <si>
    <t>AF1473</t>
  </si>
  <si>
    <t>KL1440</t>
  </si>
  <si>
    <t>BE1030</t>
  </si>
  <si>
    <t>BY1664</t>
  </si>
  <si>
    <t>LM70</t>
  </si>
  <si>
    <t>BE2121</t>
  </si>
  <si>
    <t>BA1303</t>
  </si>
  <si>
    <t>BE321</t>
  </si>
  <si>
    <t>BE320</t>
  </si>
  <si>
    <t>EI3241</t>
  </si>
  <si>
    <t>LM73</t>
  </si>
  <si>
    <t>KL1442</t>
  </si>
  <si>
    <t>EI3240</t>
  </si>
  <si>
    <t>LM72</t>
  </si>
  <si>
    <t>KL1441</t>
  </si>
  <si>
    <t>LM32</t>
  </si>
  <si>
    <t>LM78</t>
  </si>
  <si>
    <t>LM31</t>
  </si>
  <si>
    <t>BE1033</t>
  </si>
  <si>
    <t>BE1034</t>
  </si>
  <si>
    <t>BA1306</t>
  </si>
  <si>
    <t>BA1307</t>
  </si>
  <si>
    <t>KL1444</t>
  </si>
  <si>
    <t>KL1443</t>
  </si>
  <si>
    <t>FR9222</t>
  </si>
  <si>
    <t>FR9221</t>
  </si>
  <si>
    <t>BE2122</t>
  </si>
  <si>
    <t>BE1063</t>
  </si>
  <si>
    <t>LM34</t>
  </si>
  <si>
    <t>LM33</t>
  </si>
  <si>
    <t>LM74</t>
  </si>
  <si>
    <t>LM75</t>
  </si>
  <si>
    <t>AF1273</t>
  </si>
  <si>
    <t>AF1272</t>
  </si>
  <si>
    <t>BE1037</t>
  </si>
  <si>
    <t>BE1051</t>
  </si>
  <si>
    <t>BA1308</t>
  </si>
  <si>
    <t>BA1309</t>
  </si>
  <si>
    <t>LM37</t>
  </si>
  <si>
    <t>BE153</t>
  </si>
  <si>
    <t>BE154</t>
  </si>
  <si>
    <t>LM77</t>
  </si>
  <si>
    <t>KL1450</t>
  </si>
  <si>
    <t>KL1449</t>
  </si>
  <si>
    <t>BT660</t>
  </si>
  <si>
    <t>BT659</t>
  </si>
  <si>
    <t>BE1052</t>
  </si>
  <si>
    <t>BE1064</t>
  </si>
  <si>
    <t>BA1316</t>
  </si>
  <si>
    <t>BE1046</t>
  </si>
  <si>
    <t>BE1045</t>
  </si>
  <si>
    <t>AF1472</t>
  </si>
  <si>
    <t>W61618</t>
  </si>
  <si>
    <t>BY1665</t>
  </si>
  <si>
    <t>W61617</t>
  </si>
  <si>
    <t>KL1451</t>
  </si>
  <si>
    <t>Arrival</t>
    <phoneticPr fontId="1" type="noConversion"/>
  </si>
  <si>
    <t>Gate</t>
    <phoneticPr fontId="1" type="noConversion"/>
  </si>
  <si>
    <t>Y</t>
    <phoneticPr fontId="1" type="noConversion"/>
  </si>
  <si>
    <t>Gate Y</t>
    <phoneticPr fontId="1" type="noConversion"/>
  </si>
  <si>
    <t>Gate x</t>
    <phoneticPr fontId="1" type="noConversion"/>
  </si>
  <si>
    <t>Consuming</t>
    <phoneticPr fontId="1" type="noConversion"/>
  </si>
  <si>
    <t xml:space="preserve">Gate assigned </t>
    <phoneticPr fontId="1" type="noConversion"/>
  </si>
  <si>
    <t>Flight</t>
    <phoneticPr fontId="1" type="noConversion"/>
  </si>
  <si>
    <t>时间</t>
    <phoneticPr fontId="1" type="noConversion"/>
  </si>
  <si>
    <t>数值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</si>
</sst>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Gate&quot;00"/>
    <numFmt numFmtId="177" formatCode="h:mm;@"/>
    <numFmt numFmtId="178" formatCode="[$-F400]h:mm:ss\ AM/PM"/>
  </numFmts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Microsoft YaHei UI Light"/>
      <family val="2"/>
      <charset val="134"/>
    </font>
    <font>
      <b/>
      <sz val="10"/>
      <color theme="0"/>
      <name val="Microsoft YaHei UI Light"/>
      <family val="2"/>
      <charset val="134"/>
    </font>
    <font>
      <sz val="10"/>
      <color theme="0"/>
      <name val="Microsoft YaHei UI Light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7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/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20" fontId="2" fillId="0" borderId="2" xfId="0" applyNumberFormat="1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3" fillId="2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right" vertical="center"/>
    </xf>
    <xf numFmtId="0" fontId="3" fillId="2" borderId="6" xfId="0" applyFont="1" applyFill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20" fontId="2" fillId="0" borderId="5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0" fillId="0" borderId="0" xfId="0" applyAlignment="1">
      <alignment horizontal="left" vertical="center"/>
    </xf>
    <xf numFmtId="177" fontId="2" fillId="0" borderId="0" xfId="0" applyNumberFormat="1" applyFont="1" applyFill="1" applyBorder="1" applyAlignment="1">
      <alignment horizontal="right" vertical="center"/>
    </xf>
    <xf numFmtId="176" fontId="2" fillId="0" borderId="0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right" vertical="center"/>
    </xf>
    <xf numFmtId="178" fontId="2" fillId="0" borderId="0" xfId="0" applyNumberFormat="1" applyFont="1" applyFill="1" applyBorder="1" applyAlignment="1">
      <alignment horizontal="right" vertical="center"/>
    </xf>
    <xf numFmtId="21" fontId="2" fillId="0" borderId="0" xfId="0" applyNumberFormat="1" applyFont="1" applyFill="1" applyBorder="1" applyAlignment="1">
      <alignment horizontal="right" vertical="center"/>
    </xf>
  </cellXfs>
  <cellStyles count="1">
    <cellStyle name="常规" xfId="0" builtinId="0"/>
  </cellStyles>
  <dxfs count="7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YaHei UI Light"/>
        <family val="2"/>
        <charset val="134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YaHei UI Light"/>
        <family val="2"/>
        <charset val="134"/>
        <scheme val="none"/>
      </font>
      <numFmt numFmtId="177" formatCode="h:mm;@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YaHei UI Light"/>
        <family val="2"/>
        <charset val="134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YaHei UI Light"/>
        <family val="2"/>
        <charset val="134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Microsoft YaHei UI Light"/>
        <family val="2"/>
        <charset val="134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</dxfs>
  <tableStyles count="1" defaultTableStyle="TableStyleMedium2" defaultPivotStyle="PivotStyleLight16">
    <tableStyle name="MySqlDefault" pivot="0" table="0" count="2" xr9:uid="{9C793C50-386D-434D-B1C2-1A24F18F7277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7.031321084864392E-2"/>
          <c:y val="0.11239391257601704"/>
          <c:w val="0.89019612131816861"/>
          <c:h val="0.81730832323829083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Gate 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Sheet1!$I$2:$I$58</c:f>
              <c:numCache>
                <c:formatCode>h:mm;@</c:formatCode>
                <c:ptCount val="57"/>
                <c:pt idx="0">
                  <c:v>0.41319444444444442</c:v>
                </c:pt>
                <c:pt idx="1">
                  <c:v>0.86458333333333337</c:v>
                </c:pt>
                <c:pt idx="2">
                  <c:v>0.58333333333333337</c:v>
                </c:pt>
                <c:pt idx="3">
                  <c:v>0.81597222222222221</c:v>
                </c:pt>
                <c:pt idx="4">
                  <c:v>0.63541666666666663</c:v>
                </c:pt>
                <c:pt idx="5">
                  <c:v>0.34027777777777773</c:v>
                </c:pt>
                <c:pt idx="6">
                  <c:v>0.25694444444444448</c:v>
                </c:pt>
                <c:pt idx="7">
                  <c:v>0.46875</c:v>
                </c:pt>
                <c:pt idx="8">
                  <c:v>0.69791666666666663</c:v>
                </c:pt>
                <c:pt idx="9">
                  <c:v>0.52083333333333337</c:v>
                </c:pt>
                <c:pt idx="10">
                  <c:v>0.92013888888888884</c:v>
                </c:pt>
                <c:pt idx="11">
                  <c:v>0.2986111111111111</c:v>
                </c:pt>
                <c:pt idx="12">
                  <c:v>0.43402777777777773</c:v>
                </c:pt>
                <c:pt idx="13">
                  <c:v>0.59027777777777779</c:v>
                </c:pt>
                <c:pt idx="14">
                  <c:v>0.85416666666666663</c:v>
                </c:pt>
                <c:pt idx="15">
                  <c:v>0.77777777777777779</c:v>
                </c:pt>
                <c:pt idx="16">
                  <c:v>0.49305555555555558</c:v>
                </c:pt>
                <c:pt idx="17">
                  <c:v>0.71527777777777779</c:v>
                </c:pt>
                <c:pt idx="18">
                  <c:v>0.91319444444444453</c:v>
                </c:pt>
                <c:pt idx="19">
                  <c:v>0.22569444444444445</c:v>
                </c:pt>
                <c:pt idx="20">
                  <c:v>0.3576388888888889</c:v>
                </c:pt>
                <c:pt idx="21">
                  <c:v>0.875</c:v>
                </c:pt>
                <c:pt idx="22">
                  <c:v>0.42708333333333331</c:v>
                </c:pt>
                <c:pt idx="23">
                  <c:v>0.58680555555555558</c:v>
                </c:pt>
                <c:pt idx="24">
                  <c:v>0.82638888888888884</c:v>
                </c:pt>
                <c:pt idx="25">
                  <c:v>0.2673611111111111</c:v>
                </c:pt>
                <c:pt idx="26">
                  <c:v>0.71527777777777779</c:v>
                </c:pt>
                <c:pt idx="27">
                  <c:v>1.0416666666666666E-2</c:v>
                </c:pt>
                <c:pt idx="28">
                  <c:v>0.47916666666666669</c:v>
                </c:pt>
                <c:pt idx="29">
                  <c:v>0.36458333333333331</c:v>
                </c:pt>
                <c:pt idx="30">
                  <c:v>0.92708333333333337</c:v>
                </c:pt>
                <c:pt idx="31">
                  <c:v>0.65625</c:v>
                </c:pt>
                <c:pt idx="32">
                  <c:v>0.54513888888888895</c:v>
                </c:pt>
                <c:pt idx="33">
                  <c:v>0.25</c:v>
                </c:pt>
                <c:pt idx="34">
                  <c:v>0.625</c:v>
                </c:pt>
                <c:pt idx="35">
                  <c:v>0.35069444444444442</c:v>
                </c:pt>
                <c:pt idx="36">
                  <c:v>0.4375</c:v>
                </c:pt>
                <c:pt idx="37">
                  <c:v>0.69097222222222221</c:v>
                </c:pt>
                <c:pt idx="38">
                  <c:v>0.49305555555555558</c:v>
                </c:pt>
                <c:pt idx="39">
                  <c:v>0.91319444444444453</c:v>
                </c:pt>
                <c:pt idx="40">
                  <c:v>0.22222222222222221</c:v>
                </c:pt>
                <c:pt idx="41">
                  <c:v>0.56944444444444442</c:v>
                </c:pt>
                <c:pt idx="42">
                  <c:v>0.3611111111111111</c:v>
                </c:pt>
                <c:pt idx="43">
                  <c:v>0.4375</c:v>
                </c:pt>
                <c:pt idx="44">
                  <c:v>0.51388888888888895</c:v>
                </c:pt>
                <c:pt idx="45">
                  <c:v>0.54861111111111105</c:v>
                </c:pt>
                <c:pt idx="46">
                  <c:v>0.40972222222222227</c:v>
                </c:pt>
                <c:pt idx="47">
                  <c:v>0.48958333333333331</c:v>
                </c:pt>
                <c:pt idx="48">
                  <c:v>0.35069444444444442</c:v>
                </c:pt>
                <c:pt idx="49">
                  <c:v>0.61458333333333337</c:v>
                </c:pt>
                <c:pt idx="50">
                  <c:v>0.2638888888888889</c:v>
                </c:pt>
                <c:pt idx="51">
                  <c:v>0.38541666666666669</c:v>
                </c:pt>
                <c:pt idx="52">
                  <c:v>0.5</c:v>
                </c:pt>
                <c:pt idx="53">
                  <c:v>0.37847222222222227</c:v>
                </c:pt>
                <c:pt idx="54">
                  <c:v>0.3576388888888889</c:v>
                </c:pt>
                <c:pt idx="55">
                  <c:v>0.37847222222222227</c:v>
                </c:pt>
                <c:pt idx="56">
                  <c:v>0.3611111111111111</c:v>
                </c:pt>
              </c:numCache>
            </c:numRef>
          </c:xVal>
          <c:yVal>
            <c:numRef>
              <c:f>Sheet1!$J$2:$J$58</c:f>
              <c:numCache>
                <c:formatCode>General</c:formatCode>
                <c:ptCount val="57"/>
                <c:pt idx="0">
                  <c:v>18.5</c:v>
                </c:pt>
                <c:pt idx="1">
                  <c:v>18.5</c:v>
                </c:pt>
                <c:pt idx="2">
                  <c:v>18.5</c:v>
                </c:pt>
                <c:pt idx="3">
                  <c:v>18.5</c:v>
                </c:pt>
                <c:pt idx="4">
                  <c:v>18.5</c:v>
                </c:pt>
                <c:pt idx="5">
                  <c:v>18.5</c:v>
                </c:pt>
                <c:pt idx="6">
                  <c:v>18.5</c:v>
                </c:pt>
                <c:pt idx="7">
                  <c:v>18.5</c:v>
                </c:pt>
                <c:pt idx="8">
                  <c:v>18.5</c:v>
                </c:pt>
                <c:pt idx="9">
                  <c:v>18.5</c:v>
                </c:pt>
                <c:pt idx="10">
                  <c:v>18.5</c:v>
                </c:pt>
                <c:pt idx="11">
                  <c:v>17.5</c:v>
                </c:pt>
                <c:pt idx="12">
                  <c:v>17.5</c:v>
                </c:pt>
                <c:pt idx="13">
                  <c:v>17.5</c:v>
                </c:pt>
                <c:pt idx="14">
                  <c:v>17.5</c:v>
                </c:pt>
                <c:pt idx="15">
                  <c:v>17.5</c:v>
                </c:pt>
                <c:pt idx="16">
                  <c:v>17.5</c:v>
                </c:pt>
                <c:pt idx="17">
                  <c:v>17.5</c:v>
                </c:pt>
                <c:pt idx="18">
                  <c:v>17.5</c:v>
                </c:pt>
                <c:pt idx="19">
                  <c:v>17.5</c:v>
                </c:pt>
                <c:pt idx="20">
                  <c:v>17.5</c:v>
                </c:pt>
                <c:pt idx="21">
                  <c:v>16.5</c:v>
                </c:pt>
                <c:pt idx="22">
                  <c:v>16.5</c:v>
                </c:pt>
                <c:pt idx="23">
                  <c:v>16.5</c:v>
                </c:pt>
                <c:pt idx="24">
                  <c:v>16.5</c:v>
                </c:pt>
                <c:pt idx="25">
                  <c:v>16.5</c:v>
                </c:pt>
                <c:pt idx="26">
                  <c:v>16.5</c:v>
                </c:pt>
                <c:pt idx="27">
                  <c:v>16.5</c:v>
                </c:pt>
                <c:pt idx="28">
                  <c:v>16.5</c:v>
                </c:pt>
                <c:pt idx="29">
                  <c:v>16.5</c:v>
                </c:pt>
                <c:pt idx="30">
                  <c:v>16.5</c:v>
                </c:pt>
                <c:pt idx="31">
                  <c:v>16.5</c:v>
                </c:pt>
                <c:pt idx="32">
                  <c:v>15.5</c:v>
                </c:pt>
                <c:pt idx="33">
                  <c:v>15.5</c:v>
                </c:pt>
                <c:pt idx="34">
                  <c:v>15.5</c:v>
                </c:pt>
                <c:pt idx="35">
                  <c:v>15.5</c:v>
                </c:pt>
                <c:pt idx="36">
                  <c:v>15.5</c:v>
                </c:pt>
                <c:pt idx="37">
                  <c:v>15.5</c:v>
                </c:pt>
                <c:pt idx="38">
                  <c:v>15.5</c:v>
                </c:pt>
                <c:pt idx="39">
                  <c:v>15.5</c:v>
                </c:pt>
                <c:pt idx="40">
                  <c:v>14.5</c:v>
                </c:pt>
                <c:pt idx="41">
                  <c:v>14.5</c:v>
                </c:pt>
                <c:pt idx="42">
                  <c:v>14.5</c:v>
                </c:pt>
                <c:pt idx="43">
                  <c:v>14.5</c:v>
                </c:pt>
                <c:pt idx="44">
                  <c:v>14.5</c:v>
                </c:pt>
                <c:pt idx="45">
                  <c:v>13.5</c:v>
                </c:pt>
                <c:pt idx="46">
                  <c:v>13.5</c:v>
                </c:pt>
                <c:pt idx="47">
                  <c:v>13.5</c:v>
                </c:pt>
                <c:pt idx="48">
                  <c:v>13.5</c:v>
                </c:pt>
                <c:pt idx="49">
                  <c:v>13.5</c:v>
                </c:pt>
                <c:pt idx="50">
                  <c:v>13.5</c:v>
                </c:pt>
                <c:pt idx="51">
                  <c:v>12.5</c:v>
                </c:pt>
                <c:pt idx="52">
                  <c:v>12.5</c:v>
                </c:pt>
                <c:pt idx="53">
                  <c:v>11.5</c:v>
                </c:pt>
                <c:pt idx="54">
                  <c:v>8.5</c:v>
                </c:pt>
                <c:pt idx="55">
                  <c:v>7.5</c:v>
                </c:pt>
                <c:pt idx="56">
                  <c:v>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95-48DA-9E5B-4CFEC2B47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9222816"/>
        <c:axId val="799223144"/>
      </c:scatterChart>
      <c:valAx>
        <c:axId val="799222816"/>
        <c:scaling>
          <c:orientation val="minMax"/>
          <c:max val="0.9600000000000000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9223144"/>
        <c:crosses val="autoZero"/>
        <c:crossBetween val="midCat"/>
        <c:majorUnit val="4.1666700000000008E-2"/>
        <c:minorUnit val="2.0833300000000003E-2"/>
      </c:valAx>
      <c:valAx>
        <c:axId val="799223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922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r>
              <a:rPr lang="en-US" altLang="zh-CN"/>
              <a:t>Gantt chart for gate assignment</a:t>
            </a:r>
            <a:endParaRPr lang="zh-CN" altLang="en-US"/>
          </a:p>
        </c:rich>
      </c:tx>
      <c:layout>
        <c:manualLayout>
          <c:xMode val="edge"/>
          <c:yMode val="edge"/>
          <c:x val="0.36693422496714739"/>
          <c:y val="3.84180722597851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1122805653630055E-2"/>
          <c:y val="0.15153998815961775"/>
          <c:w val="0.90844021416198162"/>
          <c:h val="0.8039874008652696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Gate 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AD6C7CBE-7EB6-4A7D-BE04-682C0695DC8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986B-4BE2-A584-BFB465C4CE5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D9E5968-0CFA-488D-81E4-2D71EF96C2A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86B-4BE2-A584-BFB465C4CE5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88FEF13-6BC0-4072-844D-3FF7FC758FD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86B-4BE2-A584-BFB465C4CE5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511C2B7-B23C-4EE7-A2DD-CE267D0602A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86B-4BE2-A584-BFB465C4CE5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F342601-AC2D-4BE0-80A7-6615AC3860E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86B-4BE2-A584-BFB465C4CE5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1255107-93DC-4EAE-BFEB-975ABBCC39A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86B-4BE2-A584-BFB465C4CE5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47CE79D-D4EA-46D1-8662-B5B7BE2DBD6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86B-4BE2-A584-BFB465C4CE5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69E2DD8-85CC-459E-A362-346A9F34FBE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86B-4BE2-A584-BFB465C4CE5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406CBCB-48A3-401F-8143-C5E8014E731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86B-4BE2-A584-BFB465C4CE5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B0836AA-8089-4B5D-BC94-9E15102DB13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86B-4BE2-A584-BFB465C4CE5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871D092-D9F8-4C6E-9AC3-C88029BDDFC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86B-4BE2-A584-BFB465C4CE5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F037154-BA22-4CFD-B768-7405616D5A6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86B-4BE2-A584-BFB465C4CE5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46E58DE-AC81-4369-B555-CD186A066D7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986B-4BE2-A584-BFB465C4CE5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61A6DF7A-A66D-45E8-AEBA-F37D452BFF7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986B-4BE2-A584-BFB465C4CE5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2CA6F103-FE3B-4579-BB9F-A70750A1883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986B-4BE2-A584-BFB465C4CE5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B0A6517-2273-4A07-851C-085544C18AF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986B-4BE2-A584-BFB465C4CE5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2BBC13C1-1B61-4695-813E-2384FCF279D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986B-4BE2-A584-BFB465C4CE5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E1EEF76E-E896-4897-8086-6AB7235A9A9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986B-4BE2-A584-BFB465C4CE5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AAB235A4-0FE8-434F-9915-D4FF29CA5DD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986B-4BE2-A584-BFB465C4CE5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4718BA42-CE1E-459B-BA5A-E7907782721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986B-4BE2-A584-BFB465C4CE5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20C1C3A3-C32B-4A20-9DFA-EB883FDBD27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986B-4BE2-A584-BFB465C4CE59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6A346C94-8DC2-421B-B364-10A804F6EF6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986B-4BE2-A584-BFB465C4CE5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3D6406CE-23BC-4487-A2E3-8D377BC5ADC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986B-4BE2-A584-BFB465C4CE5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4673C43A-B089-4F16-A360-4913CDB598D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986B-4BE2-A584-BFB465C4CE59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4C61FD93-6163-4C3B-964C-14E64C1E88D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986B-4BE2-A584-BFB465C4CE59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0D787A19-6500-4C59-AB6D-2E3E7FCD4DA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986B-4BE2-A584-BFB465C4CE59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98E6B75C-035E-479C-8397-F4674DED839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986B-4BE2-A584-BFB465C4CE59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B436076E-AA92-4797-9DD0-CC0907A6FAA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986B-4BE2-A584-BFB465C4CE59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4BFE8E85-0B1E-4F3B-A621-C2C3BC6E56B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986B-4BE2-A584-BFB465C4CE59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0B1CBAED-2461-4FAD-A1EC-249371714D0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986B-4BE2-A584-BFB465C4CE59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3F37DA6A-81F3-4140-BF17-D86939E7073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986B-4BE2-A584-BFB465C4CE59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44AF5B7C-1FD7-4A20-820F-3258465BE46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986B-4BE2-A584-BFB465C4CE59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D445D690-5503-447C-983A-71FC3422BF7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986B-4BE2-A584-BFB465C4CE59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03EE9A2B-C854-40E8-A07F-A3F86D53C06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986B-4BE2-A584-BFB465C4CE59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F51F31B5-7797-47AD-A3E2-1C6BB988CEF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986B-4BE2-A584-BFB465C4CE59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FD50428A-1E16-49A5-B487-126B18B1FAC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986B-4BE2-A584-BFB465C4CE59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32A498CB-4A78-4AA7-803A-BA38F2BD5B2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986B-4BE2-A584-BFB465C4CE59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C722C249-A0B3-4CEC-8F78-EAF09E5D3E9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986B-4BE2-A584-BFB465C4CE59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0FF64046-9387-425B-894B-669B4F0DD0E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986B-4BE2-A584-BFB465C4CE59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AF3C9247-385E-4675-8D6F-221708F9406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986B-4BE2-A584-BFB465C4CE59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89A03311-E769-4943-B4BC-F3A8146DB33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986B-4BE2-A584-BFB465C4CE59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EE0907D4-ED02-48BA-9C20-150C5261911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986B-4BE2-A584-BFB465C4CE59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2324E204-094B-4A86-B562-1F27BA21175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986B-4BE2-A584-BFB465C4CE59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880F682B-8A04-4F6F-A8A3-752B53EBD82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986B-4BE2-A584-BFB465C4CE59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78FA4E16-F5D4-4E27-AF26-44FD27B4EEC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986B-4BE2-A584-BFB465C4CE59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19866888-2556-4629-965F-A0757B9D1C4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986B-4BE2-A584-BFB465C4CE59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6C45AEE8-FCB2-4265-9ABC-FAEAC6BE20B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986B-4BE2-A584-BFB465C4CE59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AD0523E2-AE7F-4C7E-9A2E-58FFD873BCF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986B-4BE2-A584-BFB465C4CE59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0F2380CB-B674-4BE7-AAD3-FB239449AD6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986B-4BE2-A584-BFB465C4CE59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EBE2E056-2E9B-4D21-903C-591BB0D3197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986B-4BE2-A584-BFB465C4CE59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B519FAAB-9857-411E-96C5-35363AA4ED0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986B-4BE2-A584-BFB465C4CE59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6694E156-9AD0-46CF-9801-01F5DC7AD25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986B-4BE2-A584-BFB465C4CE59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54B58557-DAEA-4DE3-BBD4-C7D90D5F141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986B-4BE2-A584-BFB465C4CE59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A6DEB925-62E2-4FCD-A162-19476FFAE04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986B-4BE2-A584-BFB465C4CE59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6E627FE4-968C-4A13-BD8F-0778A1975E1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986B-4BE2-A584-BFB465C4CE59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1436A8F8-5BC2-45B7-B647-12AA40D8028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986B-4BE2-A584-BFB465C4CE59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12064AB8-A5F9-48FD-9CD8-9820858D75B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986B-4BE2-A584-BFB465C4CE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Dir val="x"/>
            <c:errBarType val="plus"/>
            <c:errValType val="cust"/>
            <c:noEndCap val="1"/>
            <c:plus>
              <c:numRef>
                <c:f>Sheet1!$D$2:$D$58</c:f>
                <c:numCache>
                  <c:formatCode>General</c:formatCode>
                  <c:ptCount val="57"/>
                  <c:pt idx="0">
                    <c:v>2.7777777777777776E-2</c:v>
                  </c:pt>
                  <c:pt idx="1">
                    <c:v>2.777777777777779E-2</c:v>
                  </c:pt>
                  <c:pt idx="2">
                    <c:v>2.777777777777779E-2</c:v>
                  </c:pt>
                  <c:pt idx="3">
                    <c:v>2.777777777777779E-2</c:v>
                  </c:pt>
                  <c:pt idx="4">
                    <c:v>2.777777777777779E-2</c:v>
                  </c:pt>
                  <c:pt idx="5">
                    <c:v>2.777777777777779E-2</c:v>
                  </c:pt>
                  <c:pt idx="6">
                    <c:v>2.777777777777779E-2</c:v>
                  </c:pt>
                  <c:pt idx="7">
                    <c:v>2.777777777777779E-2</c:v>
                  </c:pt>
                  <c:pt idx="8">
                    <c:v>2.777777777777779E-2</c:v>
                  </c:pt>
                  <c:pt idx="9">
                    <c:v>2.777777777777779E-2</c:v>
                  </c:pt>
                  <c:pt idx="10">
                    <c:v>2.777777777777779E-2</c:v>
                  </c:pt>
                  <c:pt idx="11">
                    <c:v>2.777777777777779E-2</c:v>
                  </c:pt>
                  <c:pt idx="12">
                    <c:v>2.777777777777779E-2</c:v>
                  </c:pt>
                  <c:pt idx="13">
                    <c:v>2.777777777777779E-2</c:v>
                  </c:pt>
                  <c:pt idx="14">
                    <c:v>2.777777777777779E-2</c:v>
                  </c:pt>
                  <c:pt idx="15">
                    <c:v>2.777777777777779E-2</c:v>
                  </c:pt>
                  <c:pt idx="16">
                    <c:v>2.777777777777779E-2</c:v>
                  </c:pt>
                  <c:pt idx="17">
                    <c:v>2.777777777777779E-2</c:v>
                  </c:pt>
                  <c:pt idx="18">
                    <c:v>2.777777777777779E-2</c:v>
                  </c:pt>
                  <c:pt idx="19">
                    <c:v>2.777777777777779E-2</c:v>
                  </c:pt>
                  <c:pt idx="20">
                    <c:v>2.777777777777779E-2</c:v>
                  </c:pt>
                  <c:pt idx="21">
                    <c:v>2.777777777777779E-2</c:v>
                  </c:pt>
                  <c:pt idx="22">
                    <c:v>2.777777777777779E-2</c:v>
                  </c:pt>
                  <c:pt idx="23">
                    <c:v>2.777777777777779E-2</c:v>
                  </c:pt>
                  <c:pt idx="24">
                    <c:v>2.777777777777779E-2</c:v>
                  </c:pt>
                  <c:pt idx="25">
                    <c:v>2.777777777777779E-2</c:v>
                  </c:pt>
                  <c:pt idx="26">
                    <c:v>2.7777777777777735E-2</c:v>
                  </c:pt>
                  <c:pt idx="27">
                    <c:v>2.7777777777777735E-2</c:v>
                  </c:pt>
                  <c:pt idx="28">
                    <c:v>2.777777777777779E-2</c:v>
                  </c:pt>
                  <c:pt idx="29">
                    <c:v>2.777777777777779E-2</c:v>
                  </c:pt>
                  <c:pt idx="30">
                    <c:v>2.777777777777779E-2</c:v>
                  </c:pt>
                  <c:pt idx="31">
                    <c:v>2.777777777777779E-2</c:v>
                  </c:pt>
                  <c:pt idx="32">
                    <c:v>2.777777777777779E-2</c:v>
                  </c:pt>
                  <c:pt idx="33">
                    <c:v>2.777777777777779E-2</c:v>
                  </c:pt>
                  <c:pt idx="34">
                    <c:v>2.777777777777779E-2</c:v>
                  </c:pt>
                  <c:pt idx="35">
                    <c:v>2.777777777777779E-2</c:v>
                  </c:pt>
                  <c:pt idx="36">
                    <c:v>2.777777777777779E-2</c:v>
                  </c:pt>
                  <c:pt idx="37">
                    <c:v>2.777777777777779E-2</c:v>
                  </c:pt>
                  <c:pt idx="38">
                    <c:v>2.777777777777779E-2</c:v>
                  </c:pt>
                  <c:pt idx="39">
                    <c:v>2.777777777777779E-2</c:v>
                  </c:pt>
                  <c:pt idx="40">
                    <c:v>2.777777777777779E-2</c:v>
                  </c:pt>
                  <c:pt idx="41">
                    <c:v>2.777777777777779E-2</c:v>
                  </c:pt>
                  <c:pt idx="42">
                    <c:v>2.777777777777779E-2</c:v>
                  </c:pt>
                  <c:pt idx="43">
                    <c:v>2.777777777777779E-2</c:v>
                  </c:pt>
                  <c:pt idx="44">
                    <c:v>2.777777777777779E-2</c:v>
                  </c:pt>
                  <c:pt idx="45">
                    <c:v>2.777777777777779E-2</c:v>
                  </c:pt>
                  <c:pt idx="46">
                    <c:v>2.777777777777779E-2</c:v>
                  </c:pt>
                  <c:pt idx="47">
                    <c:v>2.777777777777779E-2</c:v>
                  </c:pt>
                  <c:pt idx="48">
                    <c:v>2.777777777777779E-2</c:v>
                  </c:pt>
                  <c:pt idx="49">
                    <c:v>2.777777777777779E-2</c:v>
                  </c:pt>
                  <c:pt idx="50">
                    <c:v>2.777777777777779E-2</c:v>
                  </c:pt>
                  <c:pt idx="51">
                    <c:v>2.777777777777779E-2</c:v>
                  </c:pt>
                  <c:pt idx="52">
                    <c:v>2.777777777777779E-2</c:v>
                  </c:pt>
                  <c:pt idx="53">
                    <c:v>2.777777777777779E-2</c:v>
                  </c:pt>
                  <c:pt idx="54">
                    <c:v>2.777777777777779E-2</c:v>
                  </c:pt>
                  <c:pt idx="55">
                    <c:v>2.777777777777779E-2</c:v>
                  </c:pt>
                  <c:pt idx="56">
                    <c:v>2.777777777777779E-2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27000" cap="flat" cmpd="sng" algn="ctr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Sheet1!$I$2:$I$58</c:f>
              <c:numCache>
                <c:formatCode>h:mm;@</c:formatCode>
                <c:ptCount val="57"/>
                <c:pt idx="0">
                  <c:v>0.41319444444444442</c:v>
                </c:pt>
                <c:pt idx="1">
                  <c:v>0.86458333333333337</c:v>
                </c:pt>
                <c:pt idx="2">
                  <c:v>0.58333333333333337</c:v>
                </c:pt>
                <c:pt idx="3">
                  <c:v>0.81597222222222221</c:v>
                </c:pt>
                <c:pt idx="4">
                  <c:v>0.63541666666666663</c:v>
                </c:pt>
                <c:pt idx="5">
                  <c:v>0.34027777777777773</c:v>
                </c:pt>
                <c:pt idx="6">
                  <c:v>0.25694444444444448</c:v>
                </c:pt>
                <c:pt idx="7">
                  <c:v>0.46875</c:v>
                </c:pt>
                <c:pt idx="8">
                  <c:v>0.69791666666666663</c:v>
                </c:pt>
                <c:pt idx="9">
                  <c:v>0.52083333333333337</c:v>
                </c:pt>
                <c:pt idx="10">
                  <c:v>0.92013888888888884</c:v>
                </c:pt>
                <c:pt idx="11">
                  <c:v>0.2986111111111111</c:v>
                </c:pt>
                <c:pt idx="12">
                  <c:v>0.43402777777777773</c:v>
                </c:pt>
                <c:pt idx="13">
                  <c:v>0.59027777777777779</c:v>
                </c:pt>
                <c:pt idx="14">
                  <c:v>0.85416666666666663</c:v>
                </c:pt>
                <c:pt idx="15">
                  <c:v>0.77777777777777779</c:v>
                </c:pt>
                <c:pt idx="16">
                  <c:v>0.49305555555555558</c:v>
                </c:pt>
                <c:pt idx="17">
                  <c:v>0.71527777777777779</c:v>
                </c:pt>
                <c:pt idx="18">
                  <c:v>0.91319444444444453</c:v>
                </c:pt>
                <c:pt idx="19">
                  <c:v>0.22569444444444445</c:v>
                </c:pt>
                <c:pt idx="20">
                  <c:v>0.3576388888888889</c:v>
                </c:pt>
                <c:pt idx="21">
                  <c:v>0.875</c:v>
                </c:pt>
                <c:pt idx="22">
                  <c:v>0.42708333333333331</c:v>
                </c:pt>
                <c:pt idx="23">
                  <c:v>0.58680555555555558</c:v>
                </c:pt>
                <c:pt idx="24">
                  <c:v>0.82638888888888884</c:v>
                </c:pt>
                <c:pt idx="25">
                  <c:v>0.2673611111111111</c:v>
                </c:pt>
                <c:pt idx="26">
                  <c:v>0.71527777777777779</c:v>
                </c:pt>
                <c:pt idx="27">
                  <c:v>1.0416666666666666E-2</c:v>
                </c:pt>
                <c:pt idx="28">
                  <c:v>0.47916666666666669</c:v>
                </c:pt>
                <c:pt idx="29">
                  <c:v>0.36458333333333331</c:v>
                </c:pt>
                <c:pt idx="30">
                  <c:v>0.92708333333333337</c:v>
                </c:pt>
                <c:pt idx="31">
                  <c:v>0.65625</c:v>
                </c:pt>
                <c:pt idx="32">
                  <c:v>0.54513888888888895</c:v>
                </c:pt>
                <c:pt idx="33">
                  <c:v>0.25</c:v>
                </c:pt>
                <c:pt idx="34">
                  <c:v>0.625</c:v>
                </c:pt>
                <c:pt idx="35">
                  <c:v>0.35069444444444442</c:v>
                </c:pt>
                <c:pt idx="36">
                  <c:v>0.4375</c:v>
                </c:pt>
                <c:pt idx="37">
                  <c:v>0.69097222222222221</c:v>
                </c:pt>
                <c:pt idx="38">
                  <c:v>0.49305555555555558</c:v>
                </c:pt>
                <c:pt idx="39">
                  <c:v>0.91319444444444453</c:v>
                </c:pt>
                <c:pt idx="40">
                  <c:v>0.22222222222222221</c:v>
                </c:pt>
                <c:pt idx="41">
                  <c:v>0.56944444444444442</c:v>
                </c:pt>
                <c:pt idx="42">
                  <c:v>0.3611111111111111</c:v>
                </c:pt>
                <c:pt idx="43">
                  <c:v>0.4375</c:v>
                </c:pt>
                <c:pt idx="44">
                  <c:v>0.51388888888888895</c:v>
                </c:pt>
                <c:pt idx="45">
                  <c:v>0.54861111111111105</c:v>
                </c:pt>
                <c:pt idx="46">
                  <c:v>0.40972222222222227</c:v>
                </c:pt>
                <c:pt idx="47">
                  <c:v>0.48958333333333331</c:v>
                </c:pt>
                <c:pt idx="48">
                  <c:v>0.35069444444444442</c:v>
                </c:pt>
                <c:pt idx="49">
                  <c:v>0.61458333333333337</c:v>
                </c:pt>
                <c:pt idx="50">
                  <c:v>0.2638888888888889</c:v>
                </c:pt>
                <c:pt idx="51">
                  <c:v>0.38541666666666669</c:v>
                </c:pt>
                <c:pt idx="52">
                  <c:v>0.5</c:v>
                </c:pt>
                <c:pt idx="53">
                  <c:v>0.37847222222222227</c:v>
                </c:pt>
                <c:pt idx="54">
                  <c:v>0.3576388888888889</c:v>
                </c:pt>
                <c:pt idx="55">
                  <c:v>0.37847222222222227</c:v>
                </c:pt>
                <c:pt idx="56">
                  <c:v>0.3611111111111111</c:v>
                </c:pt>
              </c:numCache>
            </c:numRef>
          </c:xVal>
          <c:yVal>
            <c:numRef>
              <c:f>Sheet1!$J$2:$J$58</c:f>
              <c:numCache>
                <c:formatCode>General</c:formatCode>
                <c:ptCount val="57"/>
                <c:pt idx="0">
                  <c:v>18.5</c:v>
                </c:pt>
                <c:pt idx="1">
                  <c:v>18.5</c:v>
                </c:pt>
                <c:pt idx="2">
                  <c:v>18.5</c:v>
                </c:pt>
                <c:pt idx="3">
                  <c:v>18.5</c:v>
                </c:pt>
                <c:pt idx="4">
                  <c:v>18.5</c:v>
                </c:pt>
                <c:pt idx="5">
                  <c:v>18.5</c:v>
                </c:pt>
                <c:pt idx="6">
                  <c:v>18.5</c:v>
                </c:pt>
                <c:pt idx="7">
                  <c:v>18.5</c:v>
                </c:pt>
                <c:pt idx="8">
                  <c:v>18.5</c:v>
                </c:pt>
                <c:pt idx="9">
                  <c:v>18.5</c:v>
                </c:pt>
                <c:pt idx="10">
                  <c:v>18.5</c:v>
                </c:pt>
                <c:pt idx="11">
                  <c:v>17.5</c:v>
                </c:pt>
                <c:pt idx="12">
                  <c:v>17.5</c:v>
                </c:pt>
                <c:pt idx="13">
                  <c:v>17.5</c:v>
                </c:pt>
                <c:pt idx="14">
                  <c:v>17.5</c:v>
                </c:pt>
                <c:pt idx="15">
                  <c:v>17.5</c:v>
                </c:pt>
                <c:pt idx="16">
                  <c:v>17.5</c:v>
                </c:pt>
                <c:pt idx="17">
                  <c:v>17.5</c:v>
                </c:pt>
                <c:pt idx="18">
                  <c:v>17.5</c:v>
                </c:pt>
                <c:pt idx="19">
                  <c:v>17.5</c:v>
                </c:pt>
                <c:pt idx="20">
                  <c:v>17.5</c:v>
                </c:pt>
                <c:pt idx="21">
                  <c:v>16.5</c:v>
                </c:pt>
                <c:pt idx="22">
                  <c:v>16.5</c:v>
                </c:pt>
                <c:pt idx="23">
                  <c:v>16.5</c:v>
                </c:pt>
                <c:pt idx="24">
                  <c:v>16.5</c:v>
                </c:pt>
                <c:pt idx="25">
                  <c:v>16.5</c:v>
                </c:pt>
                <c:pt idx="26">
                  <c:v>16.5</c:v>
                </c:pt>
                <c:pt idx="27">
                  <c:v>16.5</c:v>
                </c:pt>
                <c:pt idx="28">
                  <c:v>16.5</c:v>
                </c:pt>
                <c:pt idx="29">
                  <c:v>16.5</c:v>
                </c:pt>
                <c:pt idx="30">
                  <c:v>16.5</c:v>
                </c:pt>
                <c:pt idx="31">
                  <c:v>16.5</c:v>
                </c:pt>
                <c:pt idx="32">
                  <c:v>15.5</c:v>
                </c:pt>
                <c:pt idx="33">
                  <c:v>15.5</c:v>
                </c:pt>
                <c:pt idx="34">
                  <c:v>15.5</c:v>
                </c:pt>
                <c:pt idx="35">
                  <c:v>15.5</c:v>
                </c:pt>
                <c:pt idx="36">
                  <c:v>15.5</c:v>
                </c:pt>
                <c:pt idx="37">
                  <c:v>15.5</c:v>
                </c:pt>
                <c:pt idx="38">
                  <c:v>15.5</c:v>
                </c:pt>
                <c:pt idx="39">
                  <c:v>15.5</c:v>
                </c:pt>
                <c:pt idx="40">
                  <c:v>14.5</c:v>
                </c:pt>
                <c:pt idx="41">
                  <c:v>14.5</c:v>
                </c:pt>
                <c:pt idx="42">
                  <c:v>14.5</c:v>
                </c:pt>
                <c:pt idx="43">
                  <c:v>14.5</c:v>
                </c:pt>
                <c:pt idx="44">
                  <c:v>14.5</c:v>
                </c:pt>
                <c:pt idx="45">
                  <c:v>13.5</c:v>
                </c:pt>
                <c:pt idx="46">
                  <c:v>13.5</c:v>
                </c:pt>
                <c:pt idx="47">
                  <c:v>13.5</c:v>
                </c:pt>
                <c:pt idx="48">
                  <c:v>13.5</c:v>
                </c:pt>
                <c:pt idx="49">
                  <c:v>13.5</c:v>
                </c:pt>
                <c:pt idx="50">
                  <c:v>13.5</c:v>
                </c:pt>
                <c:pt idx="51">
                  <c:v>12.5</c:v>
                </c:pt>
                <c:pt idx="52">
                  <c:v>12.5</c:v>
                </c:pt>
                <c:pt idx="53">
                  <c:v>11.5</c:v>
                </c:pt>
                <c:pt idx="54">
                  <c:v>8.5</c:v>
                </c:pt>
                <c:pt idx="55">
                  <c:v>7.5</c:v>
                </c:pt>
                <c:pt idx="56">
                  <c:v>6.5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Sheet1!$H$2:$H$58</c15:f>
                <c15:dlblRangeCache>
                  <c:ptCount val="57"/>
                  <c:pt idx="0">
                    <c:v>BE1034</c:v>
                  </c:pt>
                  <c:pt idx="1">
                    <c:v>BE1045</c:v>
                  </c:pt>
                  <c:pt idx="2">
                    <c:v>BE1051</c:v>
                  </c:pt>
                  <c:pt idx="3">
                    <c:v>BE1064</c:v>
                  </c:pt>
                  <c:pt idx="4">
                    <c:v>BE154</c:v>
                  </c:pt>
                  <c:pt idx="5">
                    <c:v>BE321</c:v>
                  </c:pt>
                  <c:pt idx="6">
                    <c:v>BY1664</c:v>
                  </c:pt>
                  <c:pt idx="7">
                    <c:v>FR9222</c:v>
                  </c:pt>
                  <c:pt idx="8">
                    <c:v>KL1449</c:v>
                  </c:pt>
                  <c:pt idx="9">
                    <c:v>LM75</c:v>
                  </c:pt>
                  <c:pt idx="10">
                    <c:v>W61617</c:v>
                  </c:pt>
                  <c:pt idx="11">
                    <c:v>BA1303</c:v>
                  </c:pt>
                  <c:pt idx="12">
                    <c:v>BA1307</c:v>
                  </c:pt>
                  <c:pt idx="13">
                    <c:v>BA1309</c:v>
                  </c:pt>
                  <c:pt idx="14">
                    <c:v>BE1046</c:v>
                  </c:pt>
                  <c:pt idx="15">
                    <c:v>BE1052</c:v>
                  </c:pt>
                  <c:pt idx="16">
                    <c:v>BE1063</c:v>
                  </c:pt>
                  <c:pt idx="17">
                    <c:v>BT660</c:v>
                  </c:pt>
                  <c:pt idx="18">
                    <c:v>BY1665</c:v>
                  </c:pt>
                  <c:pt idx="19">
                    <c:v>KL1440</c:v>
                  </c:pt>
                  <c:pt idx="20">
                    <c:v>KL1442</c:v>
                  </c:pt>
                  <c:pt idx="21">
                    <c:v>AF1472</c:v>
                  </c:pt>
                  <c:pt idx="22">
                    <c:v>BA1306</c:v>
                  </c:pt>
                  <c:pt idx="23">
                    <c:v>BA1308</c:v>
                  </c:pt>
                  <c:pt idx="24">
                    <c:v>BA1316</c:v>
                  </c:pt>
                  <c:pt idx="25">
                    <c:v>BE2121</c:v>
                  </c:pt>
                  <c:pt idx="26">
                    <c:v>BT659</c:v>
                  </c:pt>
                  <c:pt idx="27">
                    <c:v>BY1585</c:v>
                  </c:pt>
                  <c:pt idx="28">
                    <c:v>FR9221</c:v>
                  </c:pt>
                  <c:pt idx="29">
                    <c:v>KL1441</c:v>
                  </c:pt>
                  <c:pt idx="30">
                    <c:v>KL1451</c:v>
                  </c:pt>
                  <c:pt idx="31">
                    <c:v>LM77</c:v>
                  </c:pt>
                  <c:pt idx="32">
                    <c:v>AF1273</c:v>
                  </c:pt>
                  <c:pt idx="33">
                    <c:v>BE1030</c:v>
                  </c:pt>
                  <c:pt idx="34">
                    <c:v>BE153</c:v>
                  </c:pt>
                  <c:pt idx="35">
                    <c:v>EI3241</c:v>
                  </c:pt>
                  <c:pt idx="36">
                    <c:v>KL1444</c:v>
                  </c:pt>
                  <c:pt idx="37">
                    <c:v>KL1450</c:v>
                  </c:pt>
                  <c:pt idx="38">
                    <c:v>LM34</c:v>
                  </c:pt>
                  <c:pt idx="39">
                    <c:v>W61618</c:v>
                  </c:pt>
                  <c:pt idx="40">
                    <c:v>AF1473</c:v>
                  </c:pt>
                  <c:pt idx="41">
                    <c:v>BE1037</c:v>
                  </c:pt>
                  <c:pt idx="42">
                    <c:v>EI3240</c:v>
                  </c:pt>
                  <c:pt idx="43">
                    <c:v>KL1443</c:v>
                  </c:pt>
                  <c:pt idx="44">
                    <c:v>LM74</c:v>
                  </c:pt>
                  <c:pt idx="45">
                    <c:v>AF1272</c:v>
                  </c:pt>
                  <c:pt idx="46">
                    <c:v>BE1033</c:v>
                  </c:pt>
                  <c:pt idx="47">
                    <c:v>BE2122</c:v>
                  </c:pt>
                  <c:pt idx="48">
                    <c:v>BE320</c:v>
                  </c:pt>
                  <c:pt idx="49">
                    <c:v>LM37</c:v>
                  </c:pt>
                  <c:pt idx="50">
                    <c:v>LM70</c:v>
                  </c:pt>
                  <c:pt idx="51">
                    <c:v>LM31</c:v>
                  </c:pt>
                  <c:pt idx="52">
                    <c:v>LM33</c:v>
                  </c:pt>
                  <c:pt idx="53">
                    <c:v>LM78</c:v>
                  </c:pt>
                  <c:pt idx="54">
                    <c:v>LM73</c:v>
                  </c:pt>
                  <c:pt idx="55">
                    <c:v>LM32</c:v>
                  </c:pt>
                  <c:pt idx="56">
                    <c:v>LM72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986B-4BE2-A584-BFB465C4CE59}"/>
            </c:ext>
          </c:extLst>
        </c:ser>
        <c:ser>
          <c:idx val="1"/>
          <c:order val="1"/>
          <c:tx>
            <c:strRef>
              <c:f>Sheet1!$L$1</c:f>
              <c:strCache>
                <c:ptCount val="1"/>
                <c:pt idx="0">
                  <c:v>Gate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9A4274CD-721C-4D25-BFCE-06DA12427F32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0-986B-4BE2-A584-BFB465C4CE5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73C7643-D57B-4677-8DC1-0DD07202181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986B-4BE2-A584-BFB465C4CE5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7134C9B-0D77-42FD-9214-6B6529D92B2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986B-4BE2-A584-BFB465C4CE5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E41B23C-11BC-4B0D-9C35-492C49B35FA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986B-4BE2-A584-BFB465C4CE5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D208C86-1BE3-402C-A84F-EDAF4DB1DEF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986B-4BE2-A584-BFB465C4CE5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A018EA0-1A8E-494C-8BE8-AEF51E3FB35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986B-4BE2-A584-BFB465C4CE5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6FFF829-6D6D-4A71-AFB5-1EC0513D19F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986B-4BE2-A584-BFB465C4CE5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226B170-FBB9-47A9-9048-704C2B8DB19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986B-4BE2-A584-BFB465C4CE5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BFFCFB1-0ECF-493F-B4A2-4E16EEF9F2F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986B-4BE2-A584-BFB465C4CE5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7A32B3E-DDFA-4ACD-8AA3-05387648BE4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986B-4BE2-A584-BFB465C4CE5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46D3E73-0D5A-4E92-89D2-73746B5E0F8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986B-4BE2-A584-BFB465C4CE5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90AB603-E1D3-4482-A0ED-FFFA79CD9EA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986B-4BE2-A584-BFB465C4CE5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FAE411C-8C59-44CD-9D51-2CAC5FB02AC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986B-4BE2-A584-BFB465C4CE5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1B08E56-CAC3-4720-B082-E06B5468CE5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986B-4BE2-A584-BFB465C4CE5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C5EA99C-5B26-48FB-BF87-9AEDFEF9279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986B-4BE2-A584-BFB465C4CE5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D961A1D3-DC36-4535-9B60-684707A5B43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986B-4BE2-A584-BFB465C4CE5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BFA6FFDF-E62D-4D08-9A3F-2F9176229A9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986B-4BE2-A584-BFB465C4CE5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21B08313-E623-4474-B9E1-6EE11A40B2E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986B-4BE2-A584-BFB465C4CE5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DE70AC68-8BB8-4EB4-93E9-56FDA7293E5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986B-4BE2-A584-BFB465C4CE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Sheet1!$N$2:$N$20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xVal>
          <c:yVal>
            <c:numRef>
              <c:f>Sheet1!$M$2:$M$20</c:f>
              <c:numCache>
                <c:formatCode>General</c:formatCode>
                <c:ptCount val="19"/>
                <c:pt idx="0">
                  <c:v>18.5</c:v>
                </c:pt>
                <c:pt idx="1">
                  <c:v>17.5</c:v>
                </c:pt>
                <c:pt idx="2">
                  <c:v>16.5</c:v>
                </c:pt>
                <c:pt idx="3">
                  <c:v>15.5</c:v>
                </c:pt>
                <c:pt idx="4">
                  <c:v>14.5</c:v>
                </c:pt>
                <c:pt idx="5">
                  <c:v>13.5</c:v>
                </c:pt>
                <c:pt idx="6">
                  <c:v>12.5</c:v>
                </c:pt>
                <c:pt idx="7">
                  <c:v>11.5</c:v>
                </c:pt>
                <c:pt idx="8">
                  <c:v>10.5</c:v>
                </c:pt>
                <c:pt idx="9">
                  <c:v>9.5</c:v>
                </c:pt>
                <c:pt idx="10">
                  <c:v>8.5</c:v>
                </c:pt>
                <c:pt idx="11">
                  <c:v>7.5</c:v>
                </c:pt>
                <c:pt idx="12">
                  <c:v>6.5</c:v>
                </c:pt>
                <c:pt idx="13">
                  <c:v>5.5</c:v>
                </c:pt>
                <c:pt idx="14">
                  <c:v>4.5</c:v>
                </c:pt>
                <c:pt idx="15">
                  <c:v>3.5</c:v>
                </c:pt>
                <c:pt idx="16">
                  <c:v>2.5</c:v>
                </c:pt>
                <c:pt idx="17">
                  <c:v>1.5</c:v>
                </c:pt>
                <c:pt idx="18">
                  <c:v>0.5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Sheet1!$L$2:$L$20</c15:f>
                <c15:dlblRangeCache>
                  <c:ptCount val="19"/>
                  <c:pt idx="0">
                    <c:v>Gate01</c:v>
                  </c:pt>
                  <c:pt idx="1">
                    <c:v>Gate02</c:v>
                  </c:pt>
                  <c:pt idx="2">
                    <c:v>Gate03</c:v>
                  </c:pt>
                  <c:pt idx="3">
                    <c:v>Gate04</c:v>
                  </c:pt>
                  <c:pt idx="4">
                    <c:v>Gate05</c:v>
                  </c:pt>
                  <c:pt idx="5">
                    <c:v>Gate06</c:v>
                  </c:pt>
                  <c:pt idx="6">
                    <c:v>Gate07</c:v>
                  </c:pt>
                  <c:pt idx="7">
                    <c:v>Gate08</c:v>
                  </c:pt>
                  <c:pt idx="8">
                    <c:v>Gate09</c:v>
                  </c:pt>
                  <c:pt idx="9">
                    <c:v>Gate10</c:v>
                  </c:pt>
                  <c:pt idx="10">
                    <c:v>Gate11</c:v>
                  </c:pt>
                  <c:pt idx="11">
                    <c:v>Gate12</c:v>
                  </c:pt>
                  <c:pt idx="12">
                    <c:v>Gate13</c:v>
                  </c:pt>
                  <c:pt idx="13">
                    <c:v>Gate14</c:v>
                  </c:pt>
                  <c:pt idx="14">
                    <c:v>Gate15</c:v>
                  </c:pt>
                  <c:pt idx="15">
                    <c:v>Gate16</c:v>
                  </c:pt>
                  <c:pt idx="16">
                    <c:v>Gate17</c:v>
                  </c:pt>
                  <c:pt idx="17">
                    <c:v>Gate18</c:v>
                  </c:pt>
                  <c:pt idx="18">
                    <c:v>Gate19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F-986B-4BE2-A584-BFB465C4C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625056"/>
        <c:axId val="811625384"/>
      </c:scatterChart>
      <c:valAx>
        <c:axId val="811625056"/>
        <c:scaling>
          <c:orientation val="minMax"/>
          <c:max val="0.96500000000000008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lgDash"/>
              <a:round/>
            </a:ln>
            <a:effectLst/>
          </c:spPr>
        </c:majorGridlines>
        <c:min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ash"/>
              <a:round/>
            </a:ln>
            <a:effectLst/>
          </c:spPr>
        </c:minorGridlines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811625384"/>
        <c:crosses val="max"/>
        <c:crossBetween val="midCat"/>
        <c:majorUnit val="4.1666700000000008E-2"/>
        <c:minorUnit val="2.0833300000000003E-2"/>
      </c:valAx>
      <c:valAx>
        <c:axId val="811625384"/>
        <c:scaling>
          <c:orientation val="minMax"/>
          <c:max val="19"/>
          <c:min val="0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811625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885825</xdr:colOff>
      <xdr:row>3</xdr:row>
      <xdr:rowOff>85724</xdr:rowOff>
    </xdr:from>
    <xdr:to>
      <xdr:col>18</xdr:col>
      <xdr:colOff>161925</xdr:colOff>
      <xdr:row>23</xdr:row>
      <xdr:rowOff>85725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871860C-3F0E-4588-9558-94D7D49DB0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34</xdr:col>
      <xdr:colOff>419100</xdr:colOff>
      <xdr:row>11</xdr:row>
      <xdr:rowOff>152400</xdr:rowOff>
    </xdr:from>
    <xdr:to>
      <xdr:col>44</xdr:col>
      <xdr:colOff>37929</xdr:colOff>
      <xdr:row>36</xdr:row>
      <xdr:rowOff>11296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BE1F879-4A83-4F16-9CB0-9CBF608CC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31475" y="2457450"/>
          <a:ext cx="6476829" cy="5097646"/>
        </a:xfrm>
        <a:prstGeom prst="rect">
          <a:avLst/>
        </a:prstGeom>
      </xdr:spPr>
    </xdr:pic>
    <xdr:clientData/>
  </xdr:twoCellAnchor>
  <xdr:twoCellAnchor>
    <xdr:from>
      <xdr:col>6</xdr:col>
      <xdr:colOff>471487</xdr:colOff>
      <xdr:row>1</xdr:row>
      <xdr:rowOff>200023</xdr:rowOff>
    </xdr:from>
    <xdr:to>
      <xdr:col>20</xdr:col>
      <xdr:colOff>419100</xdr:colOff>
      <xdr:row>28</xdr:row>
      <xdr:rowOff>161924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380AEEF-1EBB-4BC6-BA2A-1BBF2D56A6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44EE67-5D71-49F7-AF9F-487800A11DBB}" name="表1" displayName="表1" ref="G1:J58" totalsRowShown="0" headerRowDxfId="6">
  <tableColumns count="4">
    <tableColumn id="1" xr3:uid="{517AF81D-E53D-4CC7-83BF-717ECAD15AC6}" name="Gate assigned " dataDxfId="5"/>
    <tableColumn id="2" xr3:uid="{EA06E74E-0FAA-4E27-827A-66D62DFF33E1}" name="Flight" dataDxfId="4"/>
    <tableColumn id="3" xr3:uid="{0155B01E-D8F0-4BD2-BA89-A423167BA046}" name="Arrival" dataDxfId="3"/>
    <tableColumn id="4" xr3:uid="{5E68DE0C-E0E0-47AE-A0F6-015771DBEB18}" name="Gate Y" dataDxfId="2">
      <calculatedColumnFormula>VLOOKUP(G2,$L$2:$M$20,2,0)</calculatedColumnFormula>
    </tableColumn>
  </tableColumns>
  <tableStyleInfo name="TableStyleMedium4" showFirstColumn="0" showLastColumn="0" showRowStripes="0" showColumnStripes="0"/>
</table>
</file>

<file path=xl/theme/theme1.xml><?xml version="1.0" encoding="utf-8"?>
<a:theme xmlns:a="http://schemas.openxmlformats.org/drawingml/2006/main" name="Office 主题​​">
  <a:themeElements>
    <a:clrScheme name="McKinsey1">
      <a:dk1>
        <a:sysClr val="windowText" lastClr="000000"/>
      </a:dk1>
      <a:lt1>
        <a:sysClr val="window" lastClr="FFFFFF"/>
      </a:lt1>
      <a:dk2>
        <a:srgbClr val="FFF9F1"/>
      </a:dk2>
      <a:lt2>
        <a:srgbClr val="F1F1F1"/>
      </a:lt2>
      <a:accent1>
        <a:srgbClr val="00828F"/>
      </a:accent1>
      <a:accent2>
        <a:srgbClr val="65C6CC"/>
      </a:accent2>
      <a:accent3>
        <a:srgbClr val="25A7DB"/>
      </a:accent3>
      <a:accent4>
        <a:srgbClr val="E06D26"/>
      </a:accent4>
      <a:accent5>
        <a:srgbClr val="9EB1BB"/>
      </a:accent5>
      <a:accent6>
        <a:srgbClr val="E2DFCA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FA705-9E83-4180-8592-44CC5FA64EA2}">
  <dimension ref="A1:Q71"/>
  <sheetViews>
    <sheetView showGridLines="0" tabSelected="1" zoomScaleNormal="100" workbookViewId="0"/>
  </sheetViews>
  <sheetFormatPr defaultRowHeight="16.5" x14ac:dyDescent="0.2"/>
  <cols>
    <col min="1" max="1" width="8.25" style="1" customWidth="1"/>
    <col min="2" max="2" width="7.125" style="2" customWidth="1"/>
    <col min="3" max="3" width="10.125" style="2" customWidth="1"/>
    <col min="4" max="4" width="11.375" style="2" customWidth="1"/>
    <col min="5" max="5" width="14.375" style="2" customWidth="1"/>
    <col min="6" max="6" width="4.625" style="1" customWidth="1"/>
    <col min="7" max="7" width="14.375" style="3" bestFit="1" customWidth="1"/>
    <col min="8" max="8" width="7.625" style="1" customWidth="1"/>
    <col min="9" max="10" width="8.375" style="2" customWidth="1"/>
    <col min="11" max="11" width="4.625" style="1" customWidth="1"/>
    <col min="12" max="12" width="9" style="3"/>
    <col min="13" max="13" width="5" style="2" bestFit="1" customWidth="1"/>
    <col min="14" max="14" width="6.125" style="1" bestFit="1" customWidth="1"/>
    <col min="15" max="16384" width="9" style="1"/>
  </cols>
  <sheetData>
    <row r="1" spans="1:17" x14ac:dyDescent="0.2">
      <c r="A1" s="7" t="s">
        <v>0</v>
      </c>
      <c r="B1" s="8" t="s">
        <v>1</v>
      </c>
      <c r="C1" s="8" t="s">
        <v>2</v>
      </c>
      <c r="D1" s="8" t="s">
        <v>66</v>
      </c>
      <c r="E1" s="9" t="s">
        <v>3</v>
      </c>
      <c r="G1" s="16" t="s">
        <v>67</v>
      </c>
      <c r="H1" s="17" t="s">
        <v>68</v>
      </c>
      <c r="I1" s="17" t="s">
        <v>61</v>
      </c>
      <c r="J1" s="17" t="s">
        <v>64</v>
      </c>
      <c r="L1" s="3" t="s">
        <v>62</v>
      </c>
      <c r="M1" s="2" t="s">
        <v>63</v>
      </c>
      <c r="N1" s="2" t="s">
        <v>65</v>
      </c>
      <c r="P1" s="2" t="s">
        <v>69</v>
      </c>
      <c r="Q1" s="2" t="s">
        <v>70</v>
      </c>
    </row>
    <row r="2" spans="1:17" x14ac:dyDescent="0.2">
      <c r="A2" s="10" t="s">
        <v>4</v>
      </c>
      <c r="B2" s="11">
        <v>1.0416666666666666E-2</v>
      </c>
      <c r="C2" s="11">
        <v>3.8194444444444441E-2</v>
      </c>
      <c r="D2" s="11">
        <f>Sheet1!$C2-Sheet1!$B2</f>
        <v>2.7777777777777776E-2</v>
      </c>
      <c r="E2" s="12">
        <v>3</v>
      </c>
      <c r="G2" s="3">
        <v>1</v>
      </c>
      <c r="H2" s="2" t="s">
        <v>24</v>
      </c>
      <c r="I2" s="14">
        <v>0.41319444444444442</v>
      </c>
      <c r="J2" s="2">
        <f>VLOOKUP(G2,$L$2:$M$20,2,0)</f>
        <v>18.5</v>
      </c>
      <c r="L2" s="15">
        <v>1</v>
      </c>
      <c r="M2" s="2">
        <v>18.5</v>
      </c>
      <c r="N2" s="1">
        <v>0</v>
      </c>
      <c r="P2" s="18">
        <v>2.0833333333333332E-2</v>
      </c>
      <c r="Q2" s="1">
        <v>2.0833333333333332E-2</v>
      </c>
    </row>
    <row r="3" spans="1:17" x14ac:dyDescent="0.2">
      <c r="A3" s="10" t="s">
        <v>5</v>
      </c>
      <c r="B3" s="11">
        <v>0.22222222222222221</v>
      </c>
      <c r="C3" s="11">
        <v>0.25</v>
      </c>
      <c r="D3" s="11">
        <f>Sheet1!$C3-Sheet1!$B3</f>
        <v>2.777777777777779E-2</v>
      </c>
      <c r="E3" s="12">
        <v>5</v>
      </c>
      <c r="G3" s="3">
        <v>1</v>
      </c>
      <c r="H3" s="2" t="s">
        <v>55</v>
      </c>
      <c r="I3" s="14">
        <v>0.86458333333333337</v>
      </c>
      <c r="J3" s="2">
        <f t="shared" ref="J3:J58" si="0">VLOOKUP(G3,$L$2:$M$20,2,0)</f>
        <v>18.5</v>
      </c>
      <c r="L3" s="15">
        <v>2</v>
      </c>
      <c r="M3" s="2">
        <v>17.5</v>
      </c>
      <c r="N3" s="1">
        <v>0</v>
      </c>
      <c r="P3" s="19">
        <v>4.1666666666666664E-2</v>
      </c>
      <c r="Q3" s="2">
        <v>4.1666666666666664E-2</v>
      </c>
    </row>
    <row r="4" spans="1:17" x14ac:dyDescent="0.2">
      <c r="A4" s="10" t="s">
        <v>6</v>
      </c>
      <c r="B4" s="11">
        <v>0.22569444444444442</v>
      </c>
      <c r="C4" s="11">
        <v>0.25347222222222221</v>
      </c>
      <c r="D4" s="11">
        <f>Sheet1!$C4-Sheet1!$B4</f>
        <v>2.777777777777779E-2</v>
      </c>
      <c r="E4" s="12">
        <v>2</v>
      </c>
      <c r="G4" s="3">
        <v>1</v>
      </c>
      <c r="H4" s="2" t="s">
        <v>40</v>
      </c>
      <c r="I4" s="14">
        <v>0.58333333333333337</v>
      </c>
      <c r="J4" s="2">
        <f t="shared" si="0"/>
        <v>18.5</v>
      </c>
      <c r="L4" s="15">
        <v>3</v>
      </c>
      <c r="M4" s="2">
        <v>16.5</v>
      </c>
      <c r="N4" s="1">
        <v>0</v>
      </c>
      <c r="P4" s="19">
        <v>0.95833333333333337</v>
      </c>
      <c r="Q4" s="2">
        <v>0.95833333333333337</v>
      </c>
    </row>
    <row r="5" spans="1:17" x14ac:dyDescent="0.2">
      <c r="A5" s="10" t="s">
        <v>7</v>
      </c>
      <c r="B5" s="11">
        <v>0.25</v>
      </c>
      <c r="C5" s="11">
        <v>0.27777777777777779</v>
      </c>
      <c r="D5" s="11">
        <f>Sheet1!$C5-Sheet1!$B5</f>
        <v>2.777777777777779E-2</v>
      </c>
      <c r="E5" s="12">
        <v>4</v>
      </c>
      <c r="G5" s="3">
        <v>1</v>
      </c>
      <c r="H5" s="2" t="s">
        <v>52</v>
      </c>
      <c r="I5" s="14">
        <v>0.81597222222222221</v>
      </c>
      <c r="J5" s="2">
        <f t="shared" si="0"/>
        <v>18.5</v>
      </c>
      <c r="L5" s="15">
        <v>4</v>
      </c>
      <c r="M5" s="2">
        <v>15.5</v>
      </c>
      <c r="N5" s="1">
        <v>0</v>
      </c>
    </row>
    <row r="6" spans="1:17" x14ac:dyDescent="0.2">
      <c r="A6" s="10" t="s">
        <v>8</v>
      </c>
      <c r="B6" s="11">
        <v>0.25694444444444442</v>
      </c>
      <c r="C6" s="11">
        <v>0.28472222222222221</v>
      </c>
      <c r="D6" s="11">
        <f>Sheet1!$C6-Sheet1!$B6</f>
        <v>2.777777777777779E-2</v>
      </c>
      <c r="E6" s="12">
        <v>1</v>
      </c>
      <c r="G6" s="3">
        <v>1</v>
      </c>
      <c r="H6" s="2" t="s">
        <v>45</v>
      </c>
      <c r="I6" s="14">
        <v>0.63541666666666663</v>
      </c>
      <c r="J6" s="2">
        <f t="shared" si="0"/>
        <v>18.5</v>
      </c>
      <c r="L6" s="15">
        <v>5</v>
      </c>
      <c r="M6" s="2">
        <v>14.5</v>
      </c>
      <c r="N6" s="1">
        <v>0</v>
      </c>
    </row>
    <row r="7" spans="1:17" x14ac:dyDescent="0.2">
      <c r="A7" s="10" t="s">
        <v>9</v>
      </c>
      <c r="B7" s="11">
        <v>0.2638888888888889</v>
      </c>
      <c r="C7" s="11">
        <v>0.29166666666666669</v>
      </c>
      <c r="D7" s="11">
        <f>Sheet1!$C7-Sheet1!$B7</f>
        <v>2.777777777777779E-2</v>
      </c>
      <c r="E7" s="12">
        <v>6</v>
      </c>
      <c r="G7" s="3">
        <v>1</v>
      </c>
      <c r="H7" s="2" t="s">
        <v>12</v>
      </c>
      <c r="I7" s="14">
        <v>0.34027777777777773</v>
      </c>
      <c r="J7" s="2">
        <f t="shared" si="0"/>
        <v>18.5</v>
      </c>
      <c r="L7" s="15">
        <v>6</v>
      </c>
      <c r="M7" s="2">
        <v>13.5</v>
      </c>
      <c r="N7" s="1">
        <v>0</v>
      </c>
    </row>
    <row r="8" spans="1:17" x14ac:dyDescent="0.2">
      <c r="A8" s="10" t="s">
        <v>10</v>
      </c>
      <c r="B8" s="11">
        <v>0.2673611111111111</v>
      </c>
      <c r="C8" s="11">
        <v>0.2951388888888889</v>
      </c>
      <c r="D8" s="11">
        <f>Sheet1!$C8-Sheet1!$B8</f>
        <v>2.777777777777779E-2</v>
      </c>
      <c r="E8" s="12">
        <v>3</v>
      </c>
      <c r="G8" s="3">
        <v>1</v>
      </c>
      <c r="H8" s="2" t="s">
        <v>8</v>
      </c>
      <c r="I8" s="14">
        <v>0.25694444444444448</v>
      </c>
      <c r="J8" s="2">
        <f t="shared" si="0"/>
        <v>18.5</v>
      </c>
      <c r="L8" s="15">
        <v>7</v>
      </c>
      <c r="M8" s="2">
        <v>12.5</v>
      </c>
      <c r="N8" s="1">
        <v>0</v>
      </c>
    </row>
    <row r="9" spans="1:17" x14ac:dyDescent="0.2">
      <c r="A9" s="10" t="s">
        <v>11</v>
      </c>
      <c r="B9" s="11">
        <v>0.2986111111111111</v>
      </c>
      <c r="C9" s="11">
        <v>0.3263888888888889</v>
      </c>
      <c r="D9" s="11">
        <f>Sheet1!$C9-Sheet1!$B9</f>
        <v>2.777777777777779E-2</v>
      </c>
      <c r="E9" s="12">
        <v>2</v>
      </c>
      <c r="G9" s="3">
        <v>1</v>
      </c>
      <c r="H9" s="2" t="s">
        <v>29</v>
      </c>
      <c r="I9" s="14">
        <v>0.46875</v>
      </c>
      <c r="J9" s="2">
        <f t="shared" si="0"/>
        <v>18.5</v>
      </c>
      <c r="L9" s="15">
        <v>8</v>
      </c>
      <c r="M9" s="2">
        <v>11.5</v>
      </c>
      <c r="N9" s="1">
        <v>0</v>
      </c>
    </row>
    <row r="10" spans="1:17" x14ac:dyDescent="0.2">
      <c r="A10" s="10" t="s">
        <v>12</v>
      </c>
      <c r="B10" s="11">
        <v>0.34027777777777779</v>
      </c>
      <c r="C10" s="11">
        <v>0.36805555555555558</v>
      </c>
      <c r="D10" s="11">
        <f>Sheet1!$C10-Sheet1!$B10</f>
        <v>2.777777777777779E-2</v>
      </c>
      <c r="E10" s="12">
        <v>1</v>
      </c>
      <c r="G10" s="3">
        <v>1</v>
      </c>
      <c r="H10" s="2" t="s">
        <v>48</v>
      </c>
      <c r="I10" s="14">
        <v>0.69791666666666663</v>
      </c>
      <c r="J10" s="2">
        <f t="shared" si="0"/>
        <v>18.5</v>
      </c>
      <c r="L10" s="15">
        <v>9</v>
      </c>
      <c r="M10" s="2">
        <v>10.5</v>
      </c>
      <c r="N10" s="1">
        <v>0</v>
      </c>
    </row>
    <row r="11" spans="1:17" x14ac:dyDescent="0.2">
      <c r="A11" s="10" t="s">
        <v>13</v>
      </c>
      <c r="B11" s="11">
        <v>0.35069444444444442</v>
      </c>
      <c r="C11" s="11">
        <v>0.37847222222222221</v>
      </c>
      <c r="D11" s="11">
        <f>Sheet1!$C11-Sheet1!$B11</f>
        <v>2.777777777777779E-2</v>
      </c>
      <c r="E11" s="12">
        <v>6</v>
      </c>
      <c r="G11" s="3">
        <v>1</v>
      </c>
      <c r="H11" s="2" t="s">
        <v>36</v>
      </c>
      <c r="I11" s="14">
        <v>0.52083333333333337</v>
      </c>
      <c r="J11" s="2">
        <f t="shared" si="0"/>
        <v>18.5</v>
      </c>
      <c r="L11" s="15">
        <v>10</v>
      </c>
      <c r="M11" s="2">
        <v>9.5</v>
      </c>
      <c r="N11" s="1">
        <v>0</v>
      </c>
    </row>
    <row r="12" spans="1:17" x14ac:dyDescent="0.2">
      <c r="A12" s="10" t="s">
        <v>14</v>
      </c>
      <c r="B12" s="11">
        <v>0.35069444444444448</v>
      </c>
      <c r="C12" s="11">
        <v>0.37847222222222227</v>
      </c>
      <c r="D12" s="11">
        <f>Sheet1!$C12-Sheet1!$B12</f>
        <v>2.777777777777779E-2</v>
      </c>
      <c r="E12" s="12">
        <v>4</v>
      </c>
      <c r="G12" s="3">
        <v>1</v>
      </c>
      <c r="H12" s="2" t="s">
        <v>59</v>
      </c>
      <c r="I12" s="14">
        <v>0.92013888888888884</v>
      </c>
      <c r="J12" s="2">
        <f t="shared" si="0"/>
        <v>18.5</v>
      </c>
      <c r="L12" s="15">
        <v>11</v>
      </c>
      <c r="M12" s="2">
        <v>8.5</v>
      </c>
      <c r="N12" s="1">
        <v>0</v>
      </c>
    </row>
    <row r="13" spans="1:17" x14ac:dyDescent="0.2">
      <c r="A13" s="10" t="s">
        <v>15</v>
      </c>
      <c r="B13" s="11">
        <v>0.3576388888888889</v>
      </c>
      <c r="C13" s="11">
        <v>0.38541666666666669</v>
      </c>
      <c r="D13" s="11">
        <f>Sheet1!$C13-Sheet1!$B13</f>
        <v>2.777777777777779E-2</v>
      </c>
      <c r="E13" s="12">
        <v>11</v>
      </c>
      <c r="G13" s="3">
        <v>2</v>
      </c>
      <c r="H13" s="2" t="s">
        <v>11</v>
      </c>
      <c r="I13" s="14">
        <v>0.2986111111111111</v>
      </c>
      <c r="J13" s="2">
        <f t="shared" si="0"/>
        <v>17.5</v>
      </c>
      <c r="L13" s="15">
        <v>12</v>
      </c>
      <c r="M13" s="2">
        <v>7.5</v>
      </c>
      <c r="N13" s="1">
        <v>0</v>
      </c>
    </row>
    <row r="14" spans="1:17" x14ac:dyDescent="0.2">
      <c r="A14" s="10" t="s">
        <v>16</v>
      </c>
      <c r="B14" s="11">
        <v>0.3576388888888889</v>
      </c>
      <c r="C14" s="11">
        <v>0.38541666666666669</v>
      </c>
      <c r="D14" s="11">
        <f>Sheet1!$C14-Sheet1!$B14</f>
        <v>2.777777777777779E-2</v>
      </c>
      <c r="E14" s="12">
        <v>2</v>
      </c>
      <c r="G14" s="3">
        <v>2</v>
      </c>
      <c r="H14" s="2" t="s">
        <v>26</v>
      </c>
      <c r="I14" s="14">
        <v>0.43402777777777773</v>
      </c>
      <c r="J14" s="2">
        <f t="shared" si="0"/>
        <v>17.5</v>
      </c>
      <c r="L14" s="15">
        <v>13</v>
      </c>
      <c r="M14" s="2">
        <v>6.5</v>
      </c>
      <c r="N14" s="1">
        <v>0</v>
      </c>
    </row>
    <row r="15" spans="1:17" x14ac:dyDescent="0.2">
      <c r="A15" s="10" t="s">
        <v>17</v>
      </c>
      <c r="B15" s="11">
        <v>0.3611111111111111</v>
      </c>
      <c r="C15" s="11">
        <v>0.3888888888888889</v>
      </c>
      <c r="D15" s="11">
        <f>Sheet1!$C15-Sheet1!$B15</f>
        <v>2.777777777777779E-2</v>
      </c>
      <c r="E15" s="12">
        <v>5</v>
      </c>
      <c r="G15" s="3">
        <v>2</v>
      </c>
      <c r="H15" s="2" t="s">
        <v>42</v>
      </c>
      <c r="I15" s="14">
        <v>0.59027777777777779</v>
      </c>
      <c r="J15" s="2">
        <f t="shared" si="0"/>
        <v>17.5</v>
      </c>
      <c r="L15" s="15">
        <v>14</v>
      </c>
      <c r="M15" s="2">
        <v>5.5</v>
      </c>
      <c r="N15" s="1">
        <v>0</v>
      </c>
    </row>
    <row r="16" spans="1:17" x14ac:dyDescent="0.2">
      <c r="A16" s="10" t="s">
        <v>18</v>
      </c>
      <c r="B16" s="11">
        <v>0.3611111111111111</v>
      </c>
      <c r="C16" s="11">
        <v>0.3888888888888889</v>
      </c>
      <c r="D16" s="11">
        <f>Sheet1!$C16-Sheet1!$B16</f>
        <v>2.777777777777779E-2</v>
      </c>
      <c r="E16" s="12">
        <v>13</v>
      </c>
      <c r="G16" s="3">
        <v>2</v>
      </c>
      <c r="H16" s="2" t="s">
        <v>54</v>
      </c>
      <c r="I16" s="14">
        <v>0.85416666666666663</v>
      </c>
      <c r="J16" s="2">
        <f t="shared" si="0"/>
        <v>17.5</v>
      </c>
      <c r="L16" s="15">
        <v>15</v>
      </c>
      <c r="M16" s="2">
        <v>4.5</v>
      </c>
      <c r="N16" s="1">
        <v>0</v>
      </c>
    </row>
    <row r="17" spans="1:14" x14ac:dyDescent="0.2">
      <c r="A17" s="10" t="s">
        <v>19</v>
      </c>
      <c r="B17" s="11">
        <v>0.36458333333333331</v>
      </c>
      <c r="C17" s="11">
        <v>0.3923611111111111</v>
      </c>
      <c r="D17" s="11">
        <f>Sheet1!$C17-Sheet1!$B17</f>
        <v>2.777777777777779E-2</v>
      </c>
      <c r="E17" s="12">
        <v>3</v>
      </c>
      <c r="G17" s="3">
        <v>2</v>
      </c>
      <c r="H17" s="2" t="s">
        <v>51</v>
      </c>
      <c r="I17" s="14">
        <v>0.77777777777777779</v>
      </c>
      <c r="J17" s="2">
        <f t="shared" si="0"/>
        <v>17.5</v>
      </c>
      <c r="L17" s="15">
        <v>16</v>
      </c>
      <c r="M17" s="2">
        <v>3.5</v>
      </c>
      <c r="N17" s="1">
        <v>0</v>
      </c>
    </row>
    <row r="18" spans="1:14" x14ac:dyDescent="0.2">
      <c r="A18" s="10" t="s">
        <v>20</v>
      </c>
      <c r="B18" s="11">
        <v>0.37847222222222221</v>
      </c>
      <c r="C18" s="11">
        <v>0.40625</v>
      </c>
      <c r="D18" s="11">
        <f>Sheet1!$C18-Sheet1!$B18</f>
        <v>2.777777777777779E-2</v>
      </c>
      <c r="E18" s="12">
        <v>12</v>
      </c>
      <c r="G18" s="3">
        <v>2</v>
      </c>
      <c r="H18" s="2" t="s">
        <v>32</v>
      </c>
      <c r="I18" s="14">
        <v>0.49305555555555558</v>
      </c>
      <c r="J18" s="2">
        <f t="shared" si="0"/>
        <v>17.5</v>
      </c>
      <c r="L18" s="15">
        <v>17</v>
      </c>
      <c r="M18" s="2">
        <v>2.5</v>
      </c>
      <c r="N18" s="1">
        <v>0</v>
      </c>
    </row>
    <row r="19" spans="1:14" x14ac:dyDescent="0.2">
      <c r="A19" s="10" t="s">
        <v>21</v>
      </c>
      <c r="B19" s="11">
        <v>0.37847222222222221</v>
      </c>
      <c r="C19" s="11">
        <v>0.40625</v>
      </c>
      <c r="D19" s="11">
        <f>Sheet1!$C19-Sheet1!$B19</f>
        <v>2.777777777777779E-2</v>
      </c>
      <c r="E19" s="12">
        <v>8</v>
      </c>
      <c r="G19" s="3">
        <v>2</v>
      </c>
      <c r="H19" s="2" t="s">
        <v>49</v>
      </c>
      <c r="I19" s="14">
        <v>0.71527777777777779</v>
      </c>
      <c r="J19" s="2">
        <f t="shared" si="0"/>
        <v>17.5</v>
      </c>
      <c r="L19" s="15">
        <v>18</v>
      </c>
      <c r="M19" s="2">
        <v>1.5</v>
      </c>
      <c r="N19" s="1">
        <v>0</v>
      </c>
    </row>
    <row r="20" spans="1:14" x14ac:dyDescent="0.2">
      <c r="A20" s="10" t="s">
        <v>22</v>
      </c>
      <c r="B20" s="11">
        <v>0.38541666666666669</v>
      </c>
      <c r="C20" s="11">
        <v>0.41319444444444448</v>
      </c>
      <c r="D20" s="11">
        <f>Sheet1!$C20-Sheet1!$B20</f>
        <v>2.777777777777779E-2</v>
      </c>
      <c r="E20" s="12">
        <v>7</v>
      </c>
      <c r="G20" s="3">
        <v>2</v>
      </c>
      <c r="H20" s="2" t="s">
        <v>58</v>
      </c>
      <c r="I20" s="14">
        <v>0.91319444444444453</v>
      </c>
      <c r="J20" s="2">
        <f t="shared" si="0"/>
        <v>17.5</v>
      </c>
      <c r="L20" s="15">
        <v>19</v>
      </c>
      <c r="M20" s="2">
        <v>0.5</v>
      </c>
      <c r="N20" s="1">
        <v>0</v>
      </c>
    </row>
    <row r="21" spans="1:14" x14ac:dyDescent="0.2">
      <c r="A21" s="10" t="s">
        <v>23</v>
      </c>
      <c r="B21" s="11">
        <v>0.40972222222222227</v>
      </c>
      <c r="C21" s="11">
        <v>0.43750000000000006</v>
      </c>
      <c r="D21" s="11">
        <f>Sheet1!$C21-Sheet1!$B21</f>
        <v>2.777777777777779E-2</v>
      </c>
      <c r="E21" s="12">
        <v>6</v>
      </c>
      <c r="G21" s="3">
        <v>2</v>
      </c>
      <c r="H21" s="2" t="s">
        <v>6</v>
      </c>
      <c r="I21" s="14">
        <v>0.22569444444444445</v>
      </c>
      <c r="J21" s="2">
        <f t="shared" si="0"/>
        <v>17.5</v>
      </c>
    </row>
    <row r="22" spans="1:14" x14ac:dyDescent="0.2">
      <c r="A22" s="10" t="s">
        <v>24</v>
      </c>
      <c r="B22" s="11">
        <v>0.41319444444444448</v>
      </c>
      <c r="C22" s="11">
        <v>0.44097222222222227</v>
      </c>
      <c r="D22" s="11">
        <f>Sheet1!$C22-Sheet1!$B22</f>
        <v>2.777777777777779E-2</v>
      </c>
      <c r="E22" s="12">
        <v>1</v>
      </c>
      <c r="G22" s="3">
        <v>2</v>
      </c>
      <c r="H22" s="2" t="s">
        <v>16</v>
      </c>
      <c r="I22" s="14">
        <v>0.3576388888888889</v>
      </c>
      <c r="J22" s="2">
        <f t="shared" si="0"/>
        <v>17.5</v>
      </c>
    </row>
    <row r="23" spans="1:14" x14ac:dyDescent="0.2">
      <c r="A23" s="10" t="s">
        <v>25</v>
      </c>
      <c r="B23" s="11">
        <v>0.42708333333333331</v>
      </c>
      <c r="C23" s="11">
        <v>0.4548611111111111</v>
      </c>
      <c r="D23" s="11">
        <f>Sheet1!$C23-Sheet1!$B23</f>
        <v>2.777777777777779E-2</v>
      </c>
      <c r="E23" s="12">
        <v>3</v>
      </c>
      <c r="G23" s="3">
        <v>3</v>
      </c>
      <c r="H23" s="2" t="s">
        <v>56</v>
      </c>
      <c r="I23" s="14">
        <v>0.875</v>
      </c>
      <c r="J23" s="2">
        <f t="shared" si="0"/>
        <v>16.5</v>
      </c>
    </row>
    <row r="24" spans="1:14" x14ac:dyDescent="0.2">
      <c r="A24" s="10" t="s">
        <v>26</v>
      </c>
      <c r="B24" s="11">
        <v>0.43402777777777779</v>
      </c>
      <c r="C24" s="11">
        <v>0.46180555555555558</v>
      </c>
      <c r="D24" s="11">
        <f>Sheet1!$C24-Sheet1!$B24</f>
        <v>2.777777777777779E-2</v>
      </c>
      <c r="E24" s="12">
        <v>2</v>
      </c>
      <c r="G24" s="3">
        <v>3</v>
      </c>
      <c r="H24" s="2" t="s">
        <v>25</v>
      </c>
      <c r="I24" s="14">
        <v>0.42708333333333331</v>
      </c>
      <c r="J24" s="2">
        <f t="shared" si="0"/>
        <v>16.5</v>
      </c>
    </row>
    <row r="25" spans="1:14" x14ac:dyDescent="0.2">
      <c r="A25" s="10" t="s">
        <v>27</v>
      </c>
      <c r="B25" s="11">
        <v>0.43749999999999994</v>
      </c>
      <c r="C25" s="11">
        <v>0.46527777777777773</v>
      </c>
      <c r="D25" s="11">
        <f>Sheet1!$C25-Sheet1!$B25</f>
        <v>2.777777777777779E-2</v>
      </c>
      <c r="E25" s="12">
        <v>4</v>
      </c>
      <c r="G25" s="3">
        <v>3</v>
      </c>
      <c r="H25" s="2" t="s">
        <v>41</v>
      </c>
      <c r="I25" s="14">
        <v>0.58680555555555558</v>
      </c>
      <c r="J25" s="2">
        <f t="shared" si="0"/>
        <v>16.5</v>
      </c>
    </row>
    <row r="26" spans="1:14" x14ac:dyDescent="0.2">
      <c r="A26" s="10" t="s">
        <v>28</v>
      </c>
      <c r="B26" s="11">
        <v>0.4375</v>
      </c>
      <c r="C26" s="11">
        <v>0.46527777777777779</v>
      </c>
      <c r="D26" s="11">
        <f>Sheet1!$C26-Sheet1!$B26</f>
        <v>2.777777777777779E-2</v>
      </c>
      <c r="E26" s="12">
        <v>5</v>
      </c>
      <c r="G26" s="3">
        <v>3</v>
      </c>
      <c r="H26" s="2" t="s">
        <v>53</v>
      </c>
      <c r="I26" s="14">
        <v>0.82638888888888884</v>
      </c>
      <c r="J26" s="2">
        <f t="shared" si="0"/>
        <v>16.5</v>
      </c>
    </row>
    <row r="27" spans="1:14" x14ac:dyDescent="0.2">
      <c r="A27" s="10" t="s">
        <v>29</v>
      </c>
      <c r="B27" s="11">
        <v>0.46874999999999994</v>
      </c>
      <c r="C27" s="11">
        <v>0.49652777777777773</v>
      </c>
      <c r="D27" s="11">
        <f>Sheet1!$C27-Sheet1!$B27</f>
        <v>2.777777777777779E-2</v>
      </c>
      <c r="E27" s="12">
        <v>1</v>
      </c>
      <c r="G27" s="3">
        <v>3</v>
      </c>
      <c r="H27" s="2" t="s">
        <v>10</v>
      </c>
      <c r="I27" s="14">
        <v>0.2673611111111111</v>
      </c>
      <c r="J27" s="2">
        <f t="shared" si="0"/>
        <v>16.5</v>
      </c>
    </row>
    <row r="28" spans="1:14" x14ac:dyDescent="0.2">
      <c r="A28" s="10" t="s">
        <v>30</v>
      </c>
      <c r="B28" s="11">
        <v>0.47916666666666669</v>
      </c>
      <c r="C28" s="11">
        <v>0.50694444444444442</v>
      </c>
      <c r="D28" s="11">
        <f>Sheet1!$C28-Sheet1!$B28</f>
        <v>2.7777777777777735E-2</v>
      </c>
      <c r="E28" s="12">
        <v>3</v>
      </c>
      <c r="G28" s="3">
        <v>3</v>
      </c>
      <c r="H28" s="2" t="s">
        <v>50</v>
      </c>
      <c r="I28" s="14">
        <v>0.71527777777777779</v>
      </c>
      <c r="J28" s="2">
        <f t="shared" si="0"/>
        <v>16.5</v>
      </c>
    </row>
    <row r="29" spans="1:14" x14ac:dyDescent="0.2">
      <c r="A29" s="10" t="s">
        <v>31</v>
      </c>
      <c r="B29" s="11">
        <v>0.48958333333333331</v>
      </c>
      <c r="C29" s="11">
        <v>0.51736111111111105</v>
      </c>
      <c r="D29" s="11">
        <f>Sheet1!$C29-Sheet1!$B29</f>
        <v>2.7777777777777735E-2</v>
      </c>
      <c r="E29" s="12">
        <v>6</v>
      </c>
      <c r="G29" s="3">
        <v>3</v>
      </c>
      <c r="H29" s="2" t="s">
        <v>4</v>
      </c>
      <c r="I29" s="14">
        <v>1.0416666666666666E-2</v>
      </c>
      <c r="J29" s="2">
        <f t="shared" si="0"/>
        <v>16.5</v>
      </c>
    </row>
    <row r="30" spans="1:14" x14ac:dyDescent="0.2">
      <c r="A30" s="10" t="s">
        <v>32</v>
      </c>
      <c r="B30" s="11">
        <v>0.49305555555555558</v>
      </c>
      <c r="C30" s="11">
        <v>0.52083333333333337</v>
      </c>
      <c r="D30" s="11">
        <f>Sheet1!$C30-Sheet1!$B30</f>
        <v>2.777777777777779E-2</v>
      </c>
      <c r="E30" s="12">
        <v>2</v>
      </c>
      <c r="G30" s="3">
        <v>3</v>
      </c>
      <c r="H30" s="2" t="s">
        <v>30</v>
      </c>
      <c r="I30" s="14">
        <v>0.47916666666666669</v>
      </c>
      <c r="J30" s="2">
        <f t="shared" si="0"/>
        <v>16.5</v>
      </c>
    </row>
    <row r="31" spans="1:14" x14ac:dyDescent="0.2">
      <c r="A31" s="10" t="s">
        <v>33</v>
      </c>
      <c r="B31" s="11">
        <v>0.49305555555555558</v>
      </c>
      <c r="C31" s="11">
        <v>0.52083333333333337</v>
      </c>
      <c r="D31" s="11">
        <f>Sheet1!$C31-Sheet1!$B31</f>
        <v>2.777777777777779E-2</v>
      </c>
      <c r="E31" s="12">
        <v>4</v>
      </c>
      <c r="G31" s="3">
        <v>3</v>
      </c>
      <c r="H31" s="2" t="s">
        <v>19</v>
      </c>
      <c r="I31" s="14">
        <v>0.36458333333333331</v>
      </c>
      <c r="J31" s="2">
        <f t="shared" si="0"/>
        <v>16.5</v>
      </c>
    </row>
    <row r="32" spans="1:14" x14ac:dyDescent="0.2">
      <c r="A32" s="10" t="s">
        <v>34</v>
      </c>
      <c r="B32" s="11">
        <v>0.5</v>
      </c>
      <c r="C32" s="11">
        <v>0.52777777777777779</v>
      </c>
      <c r="D32" s="11">
        <f>Sheet1!$C32-Sheet1!$B32</f>
        <v>2.777777777777779E-2</v>
      </c>
      <c r="E32" s="12">
        <v>7</v>
      </c>
      <c r="G32" s="3">
        <v>3</v>
      </c>
      <c r="H32" s="2" t="s">
        <v>60</v>
      </c>
      <c r="I32" s="14">
        <v>0.92708333333333337</v>
      </c>
      <c r="J32" s="2">
        <f t="shared" si="0"/>
        <v>16.5</v>
      </c>
    </row>
    <row r="33" spans="1:10" x14ac:dyDescent="0.2">
      <c r="A33" s="10" t="s">
        <v>35</v>
      </c>
      <c r="B33" s="11">
        <v>0.51388888888888884</v>
      </c>
      <c r="C33" s="11">
        <v>0.54166666666666663</v>
      </c>
      <c r="D33" s="11">
        <f>Sheet1!$C33-Sheet1!$B33</f>
        <v>2.777777777777779E-2</v>
      </c>
      <c r="E33" s="12">
        <v>5</v>
      </c>
      <c r="G33" s="3">
        <v>3</v>
      </c>
      <c r="H33" s="2" t="s">
        <v>46</v>
      </c>
      <c r="I33" s="14">
        <v>0.65625</v>
      </c>
      <c r="J33" s="2">
        <f t="shared" si="0"/>
        <v>16.5</v>
      </c>
    </row>
    <row r="34" spans="1:10" x14ac:dyDescent="0.2">
      <c r="A34" s="10" t="s">
        <v>36</v>
      </c>
      <c r="B34" s="11">
        <v>0.52083333333333337</v>
      </c>
      <c r="C34" s="11">
        <v>0.54861111111111116</v>
      </c>
      <c r="D34" s="11">
        <f>Sheet1!$C34-Sheet1!$B34</f>
        <v>2.777777777777779E-2</v>
      </c>
      <c r="E34" s="12">
        <v>1</v>
      </c>
      <c r="G34" s="3">
        <v>4</v>
      </c>
      <c r="H34" s="2" t="s">
        <v>37</v>
      </c>
      <c r="I34" s="14">
        <v>0.54513888888888895</v>
      </c>
      <c r="J34" s="2">
        <f t="shared" si="0"/>
        <v>15.5</v>
      </c>
    </row>
    <row r="35" spans="1:10" x14ac:dyDescent="0.2">
      <c r="A35" s="10" t="s">
        <v>37</v>
      </c>
      <c r="B35" s="11">
        <v>0.54513888888888884</v>
      </c>
      <c r="C35" s="11">
        <v>0.57291666666666663</v>
      </c>
      <c r="D35" s="11">
        <f>Sheet1!$C35-Sheet1!$B35</f>
        <v>2.777777777777779E-2</v>
      </c>
      <c r="E35" s="12">
        <v>4</v>
      </c>
      <c r="G35" s="3">
        <v>4</v>
      </c>
      <c r="H35" s="2" t="s">
        <v>7</v>
      </c>
      <c r="I35" s="14">
        <v>0.25</v>
      </c>
      <c r="J35" s="2">
        <f t="shared" si="0"/>
        <v>15.5</v>
      </c>
    </row>
    <row r="36" spans="1:10" x14ac:dyDescent="0.2">
      <c r="A36" s="10" t="s">
        <v>38</v>
      </c>
      <c r="B36" s="11">
        <v>0.54861111111111105</v>
      </c>
      <c r="C36" s="11">
        <v>0.57638888888888884</v>
      </c>
      <c r="D36" s="11">
        <f>Sheet1!$C36-Sheet1!$B36</f>
        <v>2.777777777777779E-2</v>
      </c>
      <c r="E36" s="12">
        <v>6</v>
      </c>
      <c r="G36" s="3">
        <v>4</v>
      </c>
      <c r="H36" s="2" t="s">
        <v>44</v>
      </c>
      <c r="I36" s="14">
        <v>0.625</v>
      </c>
      <c r="J36" s="2">
        <f t="shared" si="0"/>
        <v>15.5</v>
      </c>
    </row>
    <row r="37" spans="1:10" x14ac:dyDescent="0.2">
      <c r="A37" s="10" t="s">
        <v>39</v>
      </c>
      <c r="B37" s="11">
        <v>0.56944444444444442</v>
      </c>
      <c r="C37" s="11">
        <v>0.59722222222222221</v>
      </c>
      <c r="D37" s="11">
        <f>Sheet1!$C37-Sheet1!$B37</f>
        <v>2.777777777777779E-2</v>
      </c>
      <c r="E37" s="12">
        <v>5</v>
      </c>
      <c r="G37" s="3">
        <v>4</v>
      </c>
      <c r="H37" s="2" t="s">
        <v>14</v>
      </c>
      <c r="I37" s="14">
        <v>0.35069444444444442</v>
      </c>
      <c r="J37" s="2">
        <f t="shared" si="0"/>
        <v>15.5</v>
      </c>
    </row>
    <row r="38" spans="1:10" x14ac:dyDescent="0.2">
      <c r="A38" s="10" t="s">
        <v>40</v>
      </c>
      <c r="B38" s="11">
        <v>0.58333333333333326</v>
      </c>
      <c r="C38" s="11">
        <v>0.61111111111111105</v>
      </c>
      <c r="D38" s="11">
        <f>Sheet1!$C38-Sheet1!$B38</f>
        <v>2.777777777777779E-2</v>
      </c>
      <c r="E38" s="12">
        <v>1</v>
      </c>
      <c r="G38" s="3">
        <v>4</v>
      </c>
      <c r="H38" s="2" t="s">
        <v>27</v>
      </c>
      <c r="I38" s="14">
        <v>0.4375</v>
      </c>
      <c r="J38" s="2">
        <f t="shared" si="0"/>
        <v>15.5</v>
      </c>
    </row>
    <row r="39" spans="1:10" x14ac:dyDescent="0.2">
      <c r="A39" s="10" t="s">
        <v>41</v>
      </c>
      <c r="B39" s="11">
        <v>0.58680555555555558</v>
      </c>
      <c r="C39" s="11">
        <v>0.61458333333333337</v>
      </c>
      <c r="D39" s="11">
        <f>Sheet1!$C39-Sheet1!$B39</f>
        <v>2.777777777777779E-2</v>
      </c>
      <c r="E39" s="12">
        <v>3</v>
      </c>
      <c r="G39" s="3">
        <v>4</v>
      </c>
      <c r="H39" s="2" t="s">
        <v>47</v>
      </c>
      <c r="I39" s="14">
        <v>0.69097222222222221</v>
      </c>
      <c r="J39" s="2">
        <f t="shared" si="0"/>
        <v>15.5</v>
      </c>
    </row>
    <row r="40" spans="1:10" x14ac:dyDescent="0.2">
      <c r="A40" s="10" t="s">
        <v>42</v>
      </c>
      <c r="B40" s="11">
        <v>0.59027777777777779</v>
      </c>
      <c r="C40" s="11">
        <v>0.61805555555555558</v>
      </c>
      <c r="D40" s="11">
        <f>Sheet1!$C40-Sheet1!$B40</f>
        <v>2.777777777777779E-2</v>
      </c>
      <c r="E40" s="12">
        <v>2</v>
      </c>
      <c r="G40" s="3">
        <v>4</v>
      </c>
      <c r="H40" s="2" t="s">
        <v>33</v>
      </c>
      <c r="I40" s="14">
        <v>0.49305555555555558</v>
      </c>
      <c r="J40" s="2">
        <f t="shared" si="0"/>
        <v>15.5</v>
      </c>
    </row>
    <row r="41" spans="1:10" x14ac:dyDescent="0.2">
      <c r="A41" s="10" t="s">
        <v>43</v>
      </c>
      <c r="B41" s="11">
        <v>0.61458333333333337</v>
      </c>
      <c r="C41" s="11">
        <v>0.64236111111111116</v>
      </c>
      <c r="D41" s="11">
        <f>Sheet1!$C41-Sheet1!$B41</f>
        <v>2.777777777777779E-2</v>
      </c>
      <c r="E41" s="12">
        <v>6</v>
      </c>
      <c r="G41" s="3">
        <v>4</v>
      </c>
      <c r="H41" s="2" t="s">
        <v>57</v>
      </c>
      <c r="I41" s="14">
        <v>0.91319444444444453</v>
      </c>
      <c r="J41" s="2">
        <f t="shared" si="0"/>
        <v>15.5</v>
      </c>
    </row>
    <row r="42" spans="1:10" x14ac:dyDescent="0.2">
      <c r="A42" s="10" t="s">
        <v>44</v>
      </c>
      <c r="B42" s="11">
        <v>0.625</v>
      </c>
      <c r="C42" s="11">
        <v>0.65277777777777779</v>
      </c>
      <c r="D42" s="11">
        <f>Sheet1!$C42-Sheet1!$B42</f>
        <v>2.777777777777779E-2</v>
      </c>
      <c r="E42" s="12">
        <v>4</v>
      </c>
      <c r="G42" s="3">
        <v>5</v>
      </c>
      <c r="H42" s="2" t="s">
        <v>5</v>
      </c>
      <c r="I42" s="14">
        <v>0.22222222222222221</v>
      </c>
      <c r="J42" s="2">
        <f t="shared" si="0"/>
        <v>14.5</v>
      </c>
    </row>
    <row r="43" spans="1:10" x14ac:dyDescent="0.2">
      <c r="A43" s="10" t="s">
        <v>45</v>
      </c>
      <c r="B43" s="11">
        <v>0.63541666666666663</v>
      </c>
      <c r="C43" s="11">
        <v>0.66319444444444442</v>
      </c>
      <c r="D43" s="11">
        <f>Sheet1!$C43-Sheet1!$B43</f>
        <v>2.777777777777779E-2</v>
      </c>
      <c r="E43" s="12">
        <v>1</v>
      </c>
      <c r="G43" s="3">
        <v>5</v>
      </c>
      <c r="H43" s="2" t="s">
        <v>39</v>
      </c>
      <c r="I43" s="14">
        <v>0.56944444444444442</v>
      </c>
      <c r="J43" s="2">
        <f t="shared" si="0"/>
        <v>14.5</v>
      </c>
    </row>
    <row r="44" spans="1:10" x14ac:dyDescent="0.2">
      <c r="A44" s="10" t="s">
        <v>46</v>
      </c>
      <c r="B44" s="11">
        <v>0.65625</v>
      </c>
      <c r="C44" s="11">
        <v>0.68402777777777779</v>
      </c>
      <c r="D44" s="11">
        <f>Sheet1!$C44-Sheet1!$B44</f>
        <v>2.777777777777779E-2</v>
      </c>
      <c r="E44" s="12">
        <v>3</v>
      </c>
      <c r="G44" s="3">
        <v>5</v>
      </c>
      <c r="H44" s="2" t="s">
        <v>17</v>
      </c>
      <c r="I44" s="14">
        <v>0.3611111111111111</v>
      </c>
      <c r="J44" s="2">
        <f t="shared" si="0"/>
        <v>14.5</v>
      </c>
    </row>
    <row r="45" spans="1:10" x14ac:dyDescent="0.2">
      <c r="A45" s="10" t="s">
        <v>47</v>
      </c>
      <c r="B45" s="11">
        <v>0.69097222222222221</v>
      </c>
      <c r="C45" s="11">
        <v>0.71875</v>
      </c>
      <c r="D45" s="11">
        <f>Sheet1!$C45-Sheet1!$B45</f>
        <v>2.777777777777779E-2</v>
      </c>
      <c r="E45" s="12">
        <v>4</v>
      </c>
      <c r="G45" s="3">
        <v>5</v>
      </c>
      <c r="H45" s="2" t="s">
        <v>28</v>
      </c>
      <c r="I45" s="14">
        <v>0.4375</v>
      </c>
      <c r="J45" s="2">
        <f t="shared" si="0"/>
        <v>14.5</v>
      </c>
    </row>
    <row r="46" spans="1:10" x14ac:dyDescent="0.2">
      <c r="A46" s="10" t="s">
        <v>48</v>
      </c>
      <c r="B46" s="11">
        <v>0.69791666666666663</v>
      </c>
      <c r="C46" s="11">
        <v>0.72569444444444442</v>
      </c>
      <c r="D46" s="11">
        <f>Sheet1!$C46-Sheet1!$B46</f>
        <v>2.777777777777779E-2</v>
      </c>
      <c r="E46" s="12">
        <v>1</v>
      </c>
      <c r="G46" s="3">
        <v>5</v>
      </c>
      <c r="H46" s="2" t="s">
        <v>35</v>
      </c>
      <c r="I46" s="14">
        <v>0.51388888888888895</v>
      </c>
      <c r="J46" s="2">
        <f t="shared" si="0"/>
        <v>14.5</v>
      </c>
    </row>
    <row r="47" spans="1:10" x14ac:dyDescent="0.2">
      <c r="A47" s="10" t="s">
        <v>49</v>
      </c>
      <c r="B47" s="11">
        <v>0.71527777777777768</v>
      </c>
      <c r="C47" s="11">
        <v>0.74305555555555547</v>
      </c>
      <c r="D47" s="11">
        <f>Sheet1!$C47-Sheet1!$B47</f>
        <v>2.777777777777779E-2</v>
      </c>
      <c r="E47" s="12">
        <v>2</v>
      </c>
      <c r="G47" s="3">
        <v>6</v>
      </c>
      <c r="H47" s="2" t="s">
        <v>38</v>
      </c>
      <c r="I47" s="14">
        <v>0.54861111111111105</v>
      </c>
      <c r="J47" s="2">
        <f t="shared" si="0"/>
        <v>13.5</v>
      </c>
    </row>
    <row r="48" spans="1:10" x14ac:dyDescent="0.2">
      <c r="A48" s="10" t="s">
        <v>50</v>
      </c>
      <c r="B48" s="11">
        <v>0.71527777777777779</v>
      </c>
      <c r="C48" s="11">
        <v>0.74305555555555558</v>
      </c>
      <c r="D48" s="11">
        <f>Sheet1!$C48-Sheet1!$B48</f>
        <v>2.777777777777779E-2</v>
      </c>
      <c r="E48" s="12">
        <v>3</v>
      </c>
      <c r="G48" s="3">
        <v>6</v>
      </c>
      <c r="H48" s="2" t="s">
        <v>23</v>
      </c>
      <c r="I48" s="14">
        <v>0.40972222222222227</v>
      </c>
      <c r="J48" s="2">
        <f t="shared" si="0"/>
        <v>13.5</v>
      </c>
    </row>
    <row r="49" spans="1:10" x14ac:dyDescent="0.2">
      <c r="A49" s="10" t="s">
        <v>51</v>
      </c>
      <c r="B49" s="11">
        <v>0.77777777777777779</v>
      </c>
      <c r="C49" s="11">
        <v>0.80555555555555558</v>
      </c>
      <c r="D49" s="11">
        <f>Sheet1!$C49-Sheet1!$B49</f>
        <v>2.777777777777779E-2</v>
      </c>
      <c r="E49" s="12">
        <v>2</v>
      </c>
      <c r="G49" s="3">
        <v>6</v>
      </c>
      <c r="H49" s="2" t="s">
        <v>31</v>
      </c>
      <c r="I49" s="14">
        <v>0.48958333333333331</v>
      </c>
      <c r="J49" s="2">
        <f t="shared" si="0"/>
        <v>13.5</v>
      </c>
    </row>
    <row r="50" spans="1:10" x14ac:dyDescent="0.2">
      <c r="A50" s="10" t="s">
        <v>52</v>
      </c>
      <c r="B50" s="11">
        <v>0.81597222222222221</v>
      </c>
      <c r="C50" s="11">
        <v>0.84375</v>
      </c>
      <c r="D50" s="11">
        <f>Sheet1!$C50-Sheet1!$B50</f>
        <v>2.777777777777779E-2</v>
      </c>
      <c r="E50" s="12">
        <v>1</v>
      </c>
      <c r="G50" s="3">
        <v>6</v>
      </c>
      <c r="H50" s="2" t="s">
        <v>13</v>
      </c>
      <c r="I50" s="14">
        <v>0.35069444444444442</v>
      </c>
      <c r="J50" s="2">
        <f t="shared" si="0"/>
        <v>13.5</v>
      </c>
    </row>
    <row r="51" spans="1:10" x14ac:dyDescent="0.2">
      <c r="A51" s="10" t="s">
        <v>53</v>
      </c>
      <c r="B51" s="11">
        <v>0.82638888888888884</v>
      </c>
      <c r="C51" s="11">
        <v>0.85416666666666663</v>
      </c>
      <c r="D51" s="11">
        <f>Sheet1!$C51-Sheet1!$B51</f>
        <v>2.777777777777779E-2</v>
      </c>
      <c r="E51" s="12">
        <v>3</v>
      </c>
      <c r="G51" s="3">
        <v>6</v>
      </c>
      <c r="H51" s="2" t="s">
        <v>43</v>
      </c>
      <c r="I51" s="14">
        <v>0.61458333333333337</v>
      </c>
      <c r="J51" s="2">
        <f t="shared" si="0"/>
        <v>13.5</v>
      </c>
    </row>
    <row r="52" spans="1:10" x14ac:dyDescent="0.2">
      <c r="A52" s="10" t="s">
        <v>54</v>
      </c>
      <c r="B52" s="11">
        <v>0.85416666666666674</v>
      </c>
      <c r="C52" s="11">
        <v>0.88194444444444453</v>
      </c>
      <c r="D52" s="11">
        <f>Sheet1!$C52-Sheet1!$B52</f>
        <v>2.777777777777779E-2</v>
      </c>
      <c r="E52" s="12">
        <v>2</v>
      </c>
      <c r="G52" s="3">
        <v>6</v>
      </c>
      <c r="H52" s="2" t="s">
        <v>9</v>
      </c>
      <c r="I52" s="14">
        <v>0.2638888888888889</v>
      </c>
      <c r="J52" s="2">
        <f t="shared" si="0"/>
        <v>13.5</v>
      </c>
    </row>
    <row r="53" spans="1:10" x14ac:dyDescent="0.2">
      <c r="A53" s="10" t="s">
        <v>55</v>
      </c>
      <c r="B53" s="11">
        <v>0.86458333333333337</v>
      </c>
      <c r="C53" s="11">
        <v>0.89236111111111116</v>
      </c>
      <c r="D53" s="11">
        <f>Sheet1!$C53-Sheet1!$B53</f>
        <v>2.777777777777779E-2</v>
      </c>
      <c r="E53" s="12">
        <v>1</v>
      </c>
      <c r="G53" s="3">
        <v>7</v>
      </c>
      <c r="H53" s="2" t="s">
        <v>22</v>
      </c>
      <c r="I53" s="14">
        <v>0.38541666666666669</v>
      </c>
      <c r="J53" s="2">
        <f t="shared" si="0"/>
        <v>12.5</v>
      </c>
    </row>
    <row r="54" spans="1:10" x14ac:dyDescent="0.2">
      <c r="A54" s="10" t="s">
        <v>56</v>
      </c>
      <c r="B54" s="11">
        <v>0.875</v>
      </c>
      <c r="C54" s="11">
        <v>0.90277777777777779</v>
      </c>
      <c r="D54" s="11">
        <f>Sheet1!$C54-Sheet1!$B54</f>
        <v>2.777777777777779E-2</v>
      </c>
      <c r="E54" s="12">
        <v>3</v>
      </c>
      <c r="G54" s="3">
        <v>7</v>
      </c>
      <c r="H54" s="2" t="s">
        <v>34</v>
      </c>
      <c r="I54" s="14">
        <v>0.5</v>
      </c>
      <c r="J54" s="2">
        <f t="shared" si="0"/>
        <v>12.5</v>
      </c>
    </row>
    <row r="55" spans="1:10" x14ac:dyDescent="0.2">
      <c r="A55" s="10" t="s">
        <v>57</v>
      </c>
      <c r="B55" s="11">
        <v>0.91319444444444442</v>
      </c>
      <c r="C55" s="11">
        <v>0.94097222222222221</v>
      </c>
      <c r="D55" s="11">
        <f>Sheet1!$C55-Sheet1!$B55</f>
        <v>2.777777777777779E-2</v>
      </c>
      <c r="E55" s="12">
        <v>4</v>
      </c>
      <c r="G55" s="3">
        <v>8</v>
      </c>
      <c r="H55" s="2" t="s">
        <v>21</v>
      </c>
      <c r="I55" s="14">
        <v>0.37847222222222227</v>
      </c>
      <c r="J55" s="2">
        <f t="shared" si="0"/>
        <v>11.5</v>
      </c>
    </row>
    <row r="56" spans="1:10" x14ac:dyDescent="0.2">
      <c r="A56" s="10" t="s">
        <v>58</v>
      </c>
      <c r="B56" s="11">
        <v>0.91319444444444453</v>
      </c>
      <c r="C56" s="11">
        <v>0.94097222222222232</v>
      </c>
      <c r="D56" s="11">
        <f>Sheet1!$C56-Sheet1!$B56</f>
        <v>2.777777777777779E-2</v>
      </c>
      <c r="E56" s="12">
        <v>2</v>
      </c>
      <c r="G56" s="3">
        <v>11</v>
      </c>
      <c r="H56" s="2" t="s">
        <v>15</v>
      </c>
      <c r="I56" s="14">
        <v>0.3576388888888889</v>
      </c>
      <c r="J56" s="2">
        <f t="shared" si="0"/>
        <v>8.5</v>
      </c>
    </row>
    <row r="57" spans="1:10" x14ac:dyDescent="0.2">
      <c r="A57" s="10" t="s">
        <v>59</v>
      </c>
      <c r="B57" s="11">
        <v>0.92013888888888884</v>
      </c>
      <c r="C57" s="11">
        <v>0.94791666666666663</v>
      </c>
      <c r="D57" s="11">
        <f>Sheet1!$C57-Sheet1!$B57</f>
        <v>2.777777777777779E-2</v>
      </c>
      <c r="E57" s="12">
        <v>1</v>
      </c>
      <c r="G57" s="3">
        <v>12</v>
      </c>
      <c r="H57" s="2" t="s">
        <v>20</v>
      </c>
      <c r="I57" s="14">
        <v>0.37847222222222227</v>
      </c>
      <c r="J57" s="2">
        <f t="shared" si="0"/>
        <v>7.5</v>
      </c>
    </row>
    <row r="58" spans="1:10" x14ac:dyDescent="0.2">
      <c r="A58" s="4" t="s">
        <v>60</v>
      </c>
      <c r="B58" s="5">
        <v>0.92708333333333337</v>
      </c>
      <c r="C58" s="5">
        <v>0.95486111111111116</v>
      </c>
      <c r="D58" s="5">
        <f>Sheet1!$C58-Sheet1!$B58</f>
        <v>2.777777777777779E-2</v>
      </c>
      <c r="E58" s="6">
        <v>3</v>
      </c>
      <c r="G58" s="3">
        <v>13</v>
      </c>
      <c r="H58" s="2" t="s">
        <v>18</v>
      </c>
      <c r="I58" s="14">
        <v>0.3611111111111111</v>
      </c>
      <c r="J58" s="2">
        <f t="shared" si="0"/>
        <v>6.5</v>
      </c>
    </row>
    <row r="60" spans="1:10" x14ac:dyDescent="0.2">
      <c r="G60" s="13"/>
      <c r="H60"/>
    </row>
    <row r="61" spans="1:10" x14ac:dyDescent="0.2">
      <c r="G61" s="13"/>
      <c r="H61"/>
    </row>
    <row r="62" spans="1:10" x14ac:dyDescent="0.2">
      <c r="G62" s="13"/>
      <c r="H62"/>
    </row>
    <row r="63" spans="1:10" x14ac:dyDescent="0.2">
      <c r="G63" s="13"/>
      <c r="H63"/>
    </row>
    <row r="64" spans="1:10" x14ac:dyDescent="0.2">
      <c r="G64" s="13"/>
      <c r="H64"/>
    </row>
    <row r="65" spans="7:8" x14ac:dyDescent="0.2">
      <c r="G65" s="13"/>
      <c r="H65"/>
    </row>
    <row r="66" spans="7:8" x14ac:dyDescent="0.2">
      <c r="G66" s="13"/>
      <c r="H66"/>
    </row>
    <row r="67" spans="7:8" x14ac:dyDescent="0.2">
      <c r="G67" s="13"/>
      <c r="H67"/>
    </row>
    <row r="68" spans="7:8" x14ac:dyDescent="0.2">
      <c r="G68" s="13"/>
      <c r="H68"/>
    </row>
    <row r="69" spans="7:8" x14ac:dyDescent="0.2">
      <c r="G69" s="13"/>
      <c r="H69"/>
    </row>
    <row r="70" spans="7:8" x14ac:dyDescent="0.2">
      <c r="G70" s="13"/>
      <c r="H70"/>
    </row>
    <row r="71" spans="7:8" x14ac:dyDescent="0.2">
      <c r="G71" s="13"/>
      <c r="H71"/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2018-08-19T06:05:41Z</dcterms:created>
  <dcterms:modified xsi:type="dcterms:W3CDTF">2018-11-10T13:43:09Z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5e56be2a-c61b-4b83-b553-0d8fba73bea3</vt:lpwstr>
  </property>
</Properties>
</file>