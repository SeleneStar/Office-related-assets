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020BB11-F025-4CFF-8A97-7582ED3077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折线图法" sheetId="1" r:id="rId1"/>
    <sheet name="散点图加误差线法" sheetId="2" r:id="rId2"/>
  </sheets>
  <definedNames>
    <definedName name="_xlnm._FilterDatabase" localSheetId="0" hidden="1">折线图法!$E$4:$F$43</definedName>
  </definedName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D7" i="2"/>
  <c r="D8" i="2"/>
  <c r="D9" i="2"/>
  <c r="D10" i="2"/>
  <c r="D11" i="2"/>
  <c r="D5" i="2"/>
  <c r="D6" i="2"/>
</calcChain>
</file>

<file path=xl/sharedStrings.xml><?xml version="1.0" encoding="utf-8"?>
<sst xmlns="http://schemas.openxmlformats.org/spreadsheetml/2006/main" count="28" uniqueCount="26">
  <si>
    <t>利率</t>
    <phoneticPr fontId="2" type="noConversion"/>
  </si>
  <si>
    <t>美国联邦基金利率</t>
    <phoneticPr fontId="2" type="noConversion"/>
  </si>
  <si>
    <t>日期</t>
    <phoneticPr fontId="2" type="noConversion"/>
  </si>
  <si>
    <t>应纳税所得额</t>
  </si>
  <si>
    <t>税率</t>
  </si>
  <si>
    <t>新个税税率表</t>
    <phoneticPr fontId="2" type="noConversion"/>
  </si>
  <si>
    <t>水平误差</t>
    <phoneticPr fontId="2" type="noConversion"/>
  </si>
  <si>
    <t>垂直误差</t>
    <phoneticPr fontId="2" type="noConversion"/>
  </si>
  <si>
    <t>=B6-B5</t>
    <phoneticPr fontId="2" type="noConversion"/>
  </si>
  <si>
    <t>=B7-B6</t>
    <phoneticPr fontId="2" type="noConversion"/>
  </si>
  <si>
    <t>=B8-B7</t>
    <phoneticPr fontId="2" type="noConversion"/>
  </si>
  <si>
    <t>=B9-B8</t>
    <phoneticPr fontId="2" type="noConversion"/>
  </si>
  <si>
    <t>=B10-B9</t>
    <phoneticPr fontId="2" type="noConversion"/>
  </si>
  <si>
    <t>=B11-B10</t>
    <phoneticPr fontId="2" type="noConversion"/>
  </si>
  <si>
    <t>=B12-B11</t>
    <phoneticPr fontId="2" type="noConversion"/>
  </si>
  <si>
    <t>50000</t>
    <phoneticPr fontId="2" type="noConversion"/>
  </si>
  <si>
    <t>=C5-C4</t>
    <phoneticPr fontId="2" type="noConversion"/>
  </si>
  <si>
    <t>=C6-C5</t>
    <phoneticPr fontId="2" type="noConversion"/>
  </si>
  <si>
    <t>=C7-C6</t>
    <phoneticPr fontId="2" type="noConversion"/>
  </si>
  <si>
    <t>=C8-C7</t>
    <phoneticPr fontId="2" type="noConversion"/>
  </si>
  <si>
    <t>=C9-C8</t>
    <phoneticPr fontId="2" type="noConversion"/>
  </si>
  <si>
    <t>=C10-C9</t>
    <phoneticPr fontId="2" type="noConversion"/>
  </si>
  <si>
    <t>=C11-C10</t>
    <phoneticPr fontId="2" type="noConversion"/>
  </si>
  <si>
    <t>=C12-C11</t>
    <phoneticPr fontId="2" type="noConversion"/>
  </si>
  <si>
    <t>水平误差公式</t>
    <phoneticPr fontId="2" type="noConversion"/>
  </si>
  <si>
    <t>垂直误差公式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</si>
</sst>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Microsoft YaHei UI Light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Microsoft YaHei UI Light"/>
      <family val="2"/>
      <charset val="134"/>
    </font>
    <font>
      <sz val="12"/>
      <color theme="1"/>
      <name val="Microsoft YaHei UI Light"/>
      <family val="2"/>
      <charset val="134"/>
    </font>
    <font>
      <b/>
      <sz val="10"/>
      <color theme="0"/>
      <name val="Microsoft YaHei UI Light"/>
      <family val="2"/>
      <charset val="134"/>
    </font>
    <font>
      <b/>
      <sz val="10"/>
      <color theme="1"/>
      <name val="Microsoft YaHei UI Light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theme="8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4506668294322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left" vertical="center"/>
    </xf>
    <xf numFmtId="2" fontId="1" fillId="3" borderId="2" xfId="0" applyNumberFormat="1" applyFont="1" applyFill="1" applyBorder="1" applyAlignment="1">
      <alignment horizontal="right" vertical="center"/>
    </xf>
    <xf numFmtId="14" fontId="1" fillId="4" borderId="1" xfId="0" applyNumberFormat="1" applyFont="1" applyFill="1" applyBorder="1" applyAlignment="1">
      <alignment horizontal="left" vertical="center"/>
    </xf>
    <xf numFmtId="2" fontId="1" fillId="4" borderId="2" xfId="0" applyNumberFormat="1" applyFont="1" applyFill="1" applyBorder="1" applyAlignment="1">
      <alignment horizontal="right" vertical="center"/>
    </xf>
    <xf numFmtId="14" fontId="1" fillId="4" borderId="3" xfId="0" applyNumberFormat="1" applyFont="1" applyFill="1" applyBorder="1" applyAlignment="1">
      <alignment horizontal="left" vertical="center"/>
    </xf>
    <xf numFmtId="2" fontId="1" fillId="4" borderId="4" xfId="0" applyNumberFormat="1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NumberFormat="1" applyFont="1" applyBorder="1" applyAlignment="1">
      <alignment horizontal="left" vertical="center"/>
    </xf>
    <xf numFmtId="9" fontId="1" fillId="0" borderId="5" xfId="1" applyFont="1" applyBorder="1" applyAlignment="1">
      <alignment horizontal="right" vertical="center"/>
    </xf>
    <xf numFmtId="0" fontId="1" fillId="0" borderId="5" xfId="1" applyNumberFormat="1" applyFont="1" applyBorder="1" applyAlignment="1">
      <alignment horizontal="right" vertical="center"/>
    </xf>
    <xf numFmtId="9" fontId="1" fillId="0" borderId="5" xfId="1" applyNumberFormat="1" applyFont="1" applyBorder="1" applyAlignment="1">
      <alignment horizontal="right" vertical="center"/>
    </xf>
    <xf numFmtId="49" fontId="1" fillId="6" borderId="5" xfId="1" quotePrefix="1" applyNumberFormat="1" applyFont="1" applyFill="1" applyBorder="1" applyAlignment="1">
      <alignment vertical="center"/>
    </xf>
    <xf numFmtId="49" fontId="1" fillId="6" borderId="5" xfId="1" applyNumberFormat="1" applyFont="1" applyFill="1" applyBorder="1" applyAlignment="1">
      <alignment vertical="center"/>
    </xf>
    <xf numFmtId="49" fontId="1" fillId="6" borderId="5" xfId="1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/>
              <a:t>美国联邦基金利率</a:t>
            </a:r>
            <a:endParaRPr lang="en-US" altLang="zh-CN"/>
          </a:p>
          <a:p>
            <a:pPr algn="l">
              <a:defRPr/>
            </a:pP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</a:rPr>
              <a:t>1981-2000</a:t>
            </a:r>
            <a:endParaRPr lang="zh-CN" altLang="en-US" sz="1000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1.6203703703703703E-2"/>
          <c:y val="3.988603093836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8794291338582687E-2"/>
          <c:y val="0.19363254736017513"/>
          <c:w val="0.87933635899679208"/>
          <c:h val="0.6717758772963911"/>
        </c:manualLayout>
      </c:layout>
      <c:lineChart>
        <c:grouping val="standard"/>
        <c:varyColors val="0"/>
        <c:ser>
          <c:idx val="0"/>
          <c:order val="0"/>
          <c:tx>
            <c:strRef>
              <c:f>折线图法!$F$4</c:f>
              <c:strCache>
                <c:ptCount val="1"/>
                <c:pt idx="0">
                  <c:v>利率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折线图法!$E$5:$E$43</c:f>
              <c:numCache>
                <c:formatCode>m/d/yyyy</c:formatCode>
                <c:ptCount val="39"/>
                <c:pt idx="0">
                  <c:v>29587</c:v>
                </c:pt>
                <c:pt idx="1">
                  <c:v>29952</c:v>
                </c:pt>
                <c:pt idx="2">
                  <c:v>29952</c:v>
                </c:pt>
                <c:pt idx="3">
                  <c:v>30317</c:v>
                </c:pt>
                <c:pt idx="4">
                  <c:v>30317</c:v>
                </c:pt>
                <c:pt idx="5">
                  <c:v>30682</c:v>
                </c:pt>
                <c:pt idx="6">
                  <c:v>30682</c:v>
                </c:pt>
                <c:pt idx="7">
                  <c:v>31048</c:v>
                </c:pt>
                <c:pt idx="8">
                  <c:v>31048</c:v>
                </c:pt>
                <c:pt idx="9">
                  <c:v>31413</c:v>
                </c:pt>
                <c:pt idx="10">
                  <c:v>31413</c:v>
                </c:pt>
                <c:pt idx="11">
                  <c:v>31778</c:v>
                </c:pt>
                <c:pt idx="12">
                  <c:v>31778</c:v>
                </c:pt>
                <c:pt idx="13">
                  <c:v>32143</c:v>
                </c:pt>
                <c:pt idx="14">
                  <c:v>32143</c:v>
                </c:pt>
                <c:pt idx="15">
                  <c:v>32509</c:v>
                </c:pt>
                <c:pt idx="16">
                  <c:v>32509</c:v>
                </c:pt>
                <c:pt idx="17">
                  <c:v>32874</c:v>
                </c:pt>
                <c:pt idx="18">
                  <c:v>32874</c:v>
                </c:pt>
                <c:pt idx="19">
                  <c:v>33239</c:v>
                </c:pt>
                <c:pt idx="20">
                  <c:v>33239</c:v>
                </c:pt>
                <c:pt idx="21">
                  <c:v>33604</c:v>
                </c:pt>
                <c:pt idx="22">
                  <c:v>33604</c:v>
                </c:pt>
                <c:pt idx="23">
                  <c:v>33970</c:v>
                </c:pt>
                <c:pt idx="24">
                  <c:v>33970</c:v>
                </c:pt>
                <c:pt idx="25">
                  <c:v>34335</c:v>
                </c:pt>
                <c:pt idx="26">
                  <c:v>34335</c:v>
                </c:pt>
                <c:pt idx="27">
                  <c:v>34700</c:v>
                </c:pt>
                <c:pt idx="28">
                  <c:v>34700</c:v>
                </c:pt>
                <c:pt idx="29">
                  <c:v>35065</c:v>
                </c:pt>
                <c:pt idx="30">
                  <c:v>35065</c:v>
                </c:pt>
                <c:pt idx="31">
                  <c:v>35431</c:v>
                </c:pt>
                <c:pt idx="32">
                  <c:v>35431</c:v>
                </c:pt>
                <c:pt idx="33">
                  <c:v>35796</c:v>
                </c:pt>
                <c:pt idx="34">
                  <c:v>35796</c:v>
                </c:pt>
                <c:pt idx="35">
                  <c:v>36161</c:v>
                </c:pt>
                <c:pt idx="36">
                  <c:v>36161</c:v>
                </c:pt>
                <c:pt idx="37">
                  <c:v>36526</c:v>
                </c:pt>
                <c:pt idx="38">
                  <c:v>36526</c:v>
                </c:pt>
              </c:numCache>
            </c:numRef>
          </c:cat>
          <c:val>
            <c:numRef>
              <c:f>折线图法!$F$5:$F$43</c:f>
              <c:numCache>
                <c:formatCode>0.00</c:formatCode>
                <c:ptCount val="39"/>
                <c:pt idx="0">
                  <c:v>16.39</c:v>
                </c:pt>
                <c:pt idx="1">
                  <c:v>16.39</c:v>
                </c:pt>
                <c:pt idx="2">
                  <c:v>12.24</c:v>
                </c:pt>
                <c:pt idx="3">
                  <c:v>12.24</c:v>
                </c:pt>
                <c:pt idx="4">
                  <c:v>9.09</c:v>
                </c:pt>
                <c:pt idx="5">
                  <c:v>9.09</c:v>
                </c:pt>
                <c:pt idx="6">
                  <c:v>10.23</c:v>
                </c:pt>
                <c:pt idx="7">
                  <c:v>10.23</c:v>
                </c:pt>
                <c:pt idx="8">
                  <c:v>8.1</c:v>
                </c:pt>
                <c:pt idx="9">
                  <c:v>8.1</c:v>
                </c:pt>
                <c:pt idx="10">
                  <c:v>6.8</c:v>
                </c:pt>
                <c:pt idx="11">
                  <c:v>6.8</c:v>
                </c:pt>
                <c:pt idx="12">
                  <c:v>6.66</c:v>
                </c:pt>
                <c:pt idx="13">
                  <c:v>6.66</c:v>
                </c:pt>
                <c:pt idx="14">
                  <c:v>7.57</c:v>
                </c:pt>
                <c:pt idx="15">
                  <c:v>7.57</c:v>
                </c:pt>
                <c:pt idx="16">
                  <c:v>9.2100000000000009</c:v>
                </c:pt>
                <c:pt idx="17">
                  <c:v>9.2100000000000009</c:v>
                </c:pt>
                <c:pt idx="18">
                  <c:v>8.1</c:v>
                </c:pt>
                <c:pt idx="19">
                  <c:v>8.1</c:v>
                </c:pt>
                <c:pt idx="20">
                  <c:v>5.69</c:v>
                </c:pt>
                <c:pt idx="21">
                  <c:v>5.69</c:v>
                </c:pt>
                <c:pt idx="22">
                  <c:v>3.52</c:v>
                </c:pt>
                <c:pt idx="23">
                  <c:v>3.52</c:v>
                </c:pt>
                <c:pt idx="24">
                  <c:v>3.02</c:v>
                </c:pt>
                <c:pt idx="25">
                  <c:v>3.02</c:v>
                </c:pt>
                <c:pt idx="26">
                  <c:v>4.21</c:v>
                </c:pt>
                <c:pt idx="27">
                  <c:v>4.21</c:v>
                </c:pt>
                <c:pt idx="28">
                  <c:v>5.83</c:v>
                </c:pt>
                <c:pt idx="29">
                  <c:v>5.83</c:v>
                </c:pt>
                <c:pt idx="30">
                  <c:v>5.3</c:v>
                </c:pt>
                <c:pt idx="31">
                  <c:v>5.3</c:v>
                </c:pt>
                <c:pt idx="32">
                  <c:v>5.46</c:v>
                </c:pt>
                <c:pt idx="33">
                  <c:v>5.46</c:v>
                </c:pt>
                <c:pt idx="34">
                  <c:v>5.35</c:v>
                </c:pt>
                <c:pt idx="35">
                  <c:v>5.35</c:v>
                </c:pt>
                <c:pt idx="36">
                  <c:v>4.97</c:v>
                </c:pt>
                <c:pt idx="37">
                  <c:v>4.97</c:v>
                </c:pt>
                <c:pt idx="38">
                  <c:v>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8-4FCA-BD51-BF2929EB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104584"/>
        <c:axId val="673104912"/>
      </c:lineChart>
      <c:dateAx>
        <c:axId val="673104584"/>
        <c:scaling>
          <c:orientation val="minMax"/>
          <c:max val="36535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3104912"/>
        <c:crosses val="autoZero"/>
        <c:auto val="1"/>
        <c:lblOffset val="100"/>
        <c:baseTimeUnit val="days"/>
      </c:dateAx>
      <c:valAx>
        <c:axId val="67310491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310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/>
              <a:t>新个税税率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128088155647212"/>
          <c:y val="0.11780810308042373"/>
          <c:w val="0.79342811315252271"/>
          <c:h val="0.7576317823053587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散点图加误差线法!$F$5:$F$12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0.03</c:v>
                  </c:pt>
                  <c:pt idx="2">
                    <c:v>7.0000000000000007E-2</c:v>
                  </c:pt>
                  <c:pt idx="3">
                    <c:v>0.1</c:v>
                  </c:pt>
                  <c:pt idx="4">
                    <c:v>4.9999999999999989E-2</c:v>
                  </c:pt>
                  <c:pt idx="5">
                    <c:v>4.9999999999999989E-2</c:v>
                  </c:pt>
                  <c:pt idx="6">
                    <c:v>4.9999999999999989E-2</c:v>
                  </c:pt>
                  <c:pt idx="7">
                    <c:v>0.10000000000000003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x"/>
            <c:errBarType val="plus"/>
            <c:errValType val="cust"/>
            <c:noEndCap val="1"/>
            <c:plus>
              <c:numRef>
                <c:f>散点图加误差线法!$D$5:$D$12</c:f>
                <c:numCache>
                  <c:formatCode>General</c:formatCode>
                  <c:ptCount val="8"/>
                  <c:pt idx="0">
                    <c:v>3000</c:v>
                  </c:pt>
                  <c:pt idx="1">
                    <c:v>9000</c:v>
                  </c:pt>
                  <c:pt idx="2">
                    <c:v>13000</c:v>
                  </c:pt>
                  <c:pt idx="3">
                    <c:v>10000</c:v>
                  </c:pt>
                  <c:pt idx="4">
                    <c:v>20000</c:v>
                  </c:pt>
                  <c:pt idx="5">
                    <c:v>25000</c:v>
                  </c:pt>
                  <c:pt idx="6">
                    <c:v>70000</c:v>
                  </c:pt>
                  <c:pt idx="7">
                    <c:v>50000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散点图加误差线法!$B$5:$B$12</c:f>
              <c:numCache>
                <c:formatCode>General</c:formatCode>
                <c:ptCount val="8"/>
                <c:pt idx="0">
                  <c:v>0</c:v>
                </c:pt>
                <c:pt idx="1">
                  <c:v>3000</c:v>
                </c:pt>
                <c:pt idx="2">
                  <c:v>12000</c:v>
                </c:pt>
                <c:pt idx="3">
                  <c:v>25000</c:v>
                </c:pt>
                <c:pt idx="4">
                  <c:v>35000</c:v>
                </c:pt>
                <c:pt idx="5">
                  <c:v>55000</c:v>
                </c:pt>
                <c:pt idx="6">
                  <c:v>80000</c:v>
                </c:pt>
                <c:pt idx="7">
                  <c:v>150000</c:v>
                </c:pt>
              </c:numCache>
            </c:numRef>
          </c:xVal>
          <c:yVal>
            <c:numRef>
              <c:f>散点图加误差线法!$C$5:$C$12</c:f>
              <c:numCache>
                <c:formatCode>0%</c:formatCode>
                <c:ptCount val="8"/>
                <c:pt idx="0">
                  <c:v>0</c:v>
                </c:pt>
                <c:pt idx="1">
                  <c:v>0.03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A3-4286-A5CB-1E6EBA6E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657224"/>
        <c:axId val="572657552"/>
      </c:scatterChart>
      <c:valAx>
        <c:axId val="572657224"/>
        <c:scaling>
          <c:orientation val="minMax"/>
          <c:max val="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zh-CN" altLang="en-US" sz="105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应纳税所得额</a:t>
                </a:r>
                <a:endParaRPr lang="zh-CN" sz="105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72657552"/>
        <c:crosses val="autoZero"/>
        <c:crossBetween val="midCat"/>
      </c:valAx>
      <c:valAx>
        <c:axId val="57265755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zh-CN" altLang="en-US" sz="105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税率</a:t>
                </a:r>
                <a:endParaRPr lang="zh-CN" sz="105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9783985335166433E-2"/>
              <c:y val="0.41196792973070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72657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285749</xdr:rowOff>
    </xdr:from>
    <xdr:to>
      <xdr:col>15</xdr:col>
      <xdr:colOff>0</xdr:colOff>
      <xdr:row>25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06F4973-003D-4AFF-BDD8-2F6F6E897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57149</xdr:rowOff>
    </xdr:from>
    <xdr:to>
      <xdr:col>15</xdr:col>
      <xdr:colOff>0</xdr:colOff>
      <xdr:row>24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16E9BAD-0DFD-4238-9DCC-6EE826A29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xcelPro_ECO_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E0AF64"/>
      </a:accent1>
      <a:accent2>
        <a:srgbClr val="77BDC4"/>
      </a:accent2>
      <a:accent3>
        <a:srgbClr val="EF5B3E"/>
      </a:accent3>
      <a:accent4>
        <a:srgbClr val="024E66"/>
      </a:accent4>
      <a:accent5>
        <a:srgbClr val="9C5D82"/>
      </a:accent5>
      <a:accent6>
        <a:srgbClr val="5A90A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"/>
  <sheetViews>
    <sheetView showGridLines="0" tabSelected="1" zoomScaleNormal="100" workbookViewId="0"/>
  </sheetViews>
  <sheetFormatPr defaultRowHeight="15.95" customHeight="1" x14ac:dyDescent="0.2"/>
  <cols>
    <col min="1" max="1" width="2.625" style="1" customWidth="1"/>
    <col min="2" max="2" width="9" style="1"/>
    <col min="3" max="3" width="9.75" style="2" customWidth="1"/>
    <col min="4" max="4" width="2.625" style="1" customWidth="1"/>
    <col min="5" max="6" width="9" style="1"/>
    <col min="7" max="7" width="2.625" style="1" customWidth="1"/>
    <col min="8" max="16384" width="9" style="1"/>
  </cols>
  <sheetData>
    <row r="1" spans="2:6" ht="5.0999999999999996" customHeight="1" x14ac:dyDescent="0.2"/>
    <row r="2" spans="2:6" s="3" customFormat="1" ht="22.5" customHeight="1" x14ac:dyDescent="0.2">
      <c r="B2" s="5" t="s">
        <v>1</v>
      </c>
      <c r="C2" s="4"/>
    </row>
    <row r="3" spans="2:6" s="3" customFormat="1" ht="5.0999999999999996" customHeight="1" x14ac:dyDescent="0.2">
      <c r="C3" s="4"/>
    </row>
    <row r="4" spans="2:6" ht="15.95" customHeight="1" x14ac:dyDescent="0.2">
      <c r="B4" s="6" t="s">
        <v>2</v>
      </c>
      <c r="C4" s="7" t="s">
        <v>0</v>
      </c>
      <c r="E4" s="6" t="s">
        <v>2</v>
      </c>
      <c r="F4" s="7" t="s">
        <v>0</v>
      </c>
    </row>
    <row r="5" spans="2:6" ht="15.95" customHeight="1" x14ac:dyDescent="0.2">
      <c r="B5" s="9">
        <v>29587</v>
      </c>
      <c r="C5" s="8">
        <v>16.39</v>
      </c>
      <c r="E5" s="14">
        <v>29587</v>
      </c>
      <c r="F5" s="15">
        <v>16.39</v>
      </c>
    </row>
    <row r="6" spans="2:6" ht="15.95" customHeight="1" x14ac:dyDescent="0.2">
      <c r="B6" s="9">
        <v>29952</v>
      </c>
      <c r="C6" s="8">
        <v>12.24</v>
      </c>
      <c r="E6" s="12">
        <v>29952</v>
      </c>
      <c r="F6" s="13">
        <v>16.39</v>
      </c>
    </row>
    <row r="7" spans="2:6" ht="15.95" customHeight="1" x14ac:dyDescent="0.2">
      <c r="B7" s="9">
        <v>30317</v>
      </c>
      <c r="C7" s="8">
        <v>9.09</v>
      </c>
      <c r="E7" s="14">
        <v>29952</v>
      </c>
      <c r="F7" s="15">
        <v>12.24</v>
      </c>
    </row>
    <row r="8" spans="2:6" ht="15.95" customHeight="1" x14ac:dyDescent="0.2">
      <c r="B8" s="9">
        <v>30682</v>
      </c>
      <c r="C8" s="8">
        <v>10.23</v>
      </c>
      <c r="E8" s="12">
        <v>30317</v>
      </c>
      <c r="F8" s="13">
        <v>12.24</v>
      </c>
    </row>
    <row r="9" spans="2:6" ht="15.95" customHeight="1" x14ac:dyDescent="0.2">
      <c r="B9" s="9">
        <v>31048</v>
      </c>
      <c r="C9" s="8">
        <v>8.1</v>
      </c>
      <c r="E9" s="14">
        <v>30317</v>
      </c>
      <c r="F9" s="15">
        <v>9.09</v>
      </c>
    </row>
    <row r="10" spans="2:6" ht="15.95" customHeight="1" x14ac:dyDescent="0.2">
      <c r="B10" s="9">
        <v>31413</v>
      </c>
      <c r="C10" s="8">
        <v>6.8</v>
      </c>
      <c r="E10" s="12">
        <v>30682</v>
      </c>
      <c r="F10" s="13">
        <v>9.09</v>
      </c>
    </row>
    <row r="11" spans="2:6" ht="15.95" customHeight="1" x14ac:dyDescent="0.2">
      <c r="B11" s="9">
        <v>31778</v>
      </c>
      <c r="C11" s="8">
        <v>6.66</v>
      </c>
      <c r="E11" s="14">
        <v>30682</v>
      </c>
      <c r="F11" s="15">
        <v>10.23</v>
      </c>
    </row>
    <row r="12" spans="2:6" ht="15.95" customHeight="1" x14ac:dyDescent="0.2">
      <c r="B12" s="9">
        <v>32143</v>
      </c>
      <c r="C12" s="8">
        <v>7.57</v>
      </c>
      <c r="E12" s="12">
        <v>31048</v>
      </c>
      <c r="F12" s="13">
        <v>10.23</v>
      </c>
    </row>
    <row r="13" spans="2:6" ht="15.95" customHeight="1" x14ac:dyDescent="0.2">
      <c r="B13" s="9">
        <v>32509</v>
      </c>
      <c r="C13" s="8">
        <v>9.2100000000000009</v>
      </c>
      <c r="E13" s="14">
        <v>31048</v>
      </c>
      <c r="F13" s="15">
        <v>8.1</v>
      </c>
    </row>
    <row r="14" spans="2:6" ht="15.95" customHeight="1" x14ac:dyDescent="0.2">
      <c r="B14" s="9">
        <v>32874</v>
      </c>
      <c r="C14" s="8">
        <v>8.1</v>
      </c>
      <c r="E14" s="12">
        <v>31413</v>
      </c>
      <c r="F14" s="13">
        <v>8.1</v>
      </c>
    </row>
    <row r="15" spans="2:6" ht="15.95" customHeight="1" x14ac:dyDescent="0.2">
      <c r="B15" s="9">
        <v>33239</v>
      </c>
      <c r="C15" s="8">
        <v>5.69</v>
      </c>
      <c r="E15" s="14">
        <v>31413</v>
      </c>
      <c r="F15" s="15">
        <v>6.8</v>
      </c>
    </row>
    <row r="16" spans="2:6" ht="15.95" customHeight="1" x14ac:dyDescent="0.2">
      <c r="B16" s="9">
        <v>33604</v>
      </c>
      <c r="C16" s="8">
        <v>3.52</v>
      </c>
      <c r="E16" s="12">
        <v>31778</v>
      </c>
      <c r="F16" s="13">
        <v>6.8</v>
      </c>
    </row>
    <row r="17" spans="2:6" ht="15.95" customHeight="1" x14ac:dyDescent="0.2">
      <c r="B17" s="9">
        <v>33970</v>
      </c>
      <c r="C17" s="8">
        <v>3.02</v>
      </c>
      <c r="E17" s="14">
        <v>31778</v>
      </c>
      <c r="F17" s="15">
        <v>6.66</v>
      </c>
    </row>
    <row r="18" spans="2:6" ht="15.95" customHeight="1" x14ac:dyDescent="0.2">
      <c r="B18" s="9">
        <v>34335</v>
      </c>
      <c r="C18" s="8">
        <v>4.21</v>
      </c>
      <c r="E18" s="12">
        <v>32143</v>
      </c>
      <c r="F18" s="13">
        <v>6.66</v>
      </c>
    </row>
    <row r="19" spans="2:6" ht="15.95" customHeight="1" x14ac:dyDescent="0.2">
      <c r="B19" s="9">
        <v>34700</v>
      </c>
      <c r="C19" s="8">
        <v>5.83</v>
      </c>
      <c r="E19" s="14">
        <v>32143</v>
      </c>
      <c r="F19" s="15">
        <v>7.57</v>
      </c>
    </row>
    <row r="20" spans="2:6" ht="15.95" customHeight="1" x14ac:dyDescent="0.2">
      <c r="B20" s="9">
        <v>35065</v>
      </c>
      <c r="C20" s="8">
        <v>5.3</v>
      </c>
      <c r="E20" s="12">
        <v>32509</v>
      </c>
      <c r="F20" s="13">
        <v>7.57</v>
      </c>
    </row>
    <row r="21" spans="2:6" ht="15.95" customHeight="1" x14ac:dyDescent="0.2">
      <c r="B21" s="9">
        <v>35431</v>
      </c>
      <c r="C21" s="8">
        <v>5.46</v>
      </c>
      <c r="E21" s="14">
        <v>32509</v>
      </c>
      <c r="F21" s="15">
        <v>9.2100000000000009</v>
      </c>
    </row>
    <row r="22" spans="2:6" ht="15.95" customHeight="1" x14ac:dyDescent="0.2">
      <c r="B22" s="9">
        <v>35796</v>
      </c>
      <c r="C22" s="8">
        <v>5.35</v>
      </c>
      <c r="E22" s="12">
        <v>32874</v>
      </c>
      <c r="F22" s="13">
        <v>9.2100000000000009</v>
      </c>
    </row>
    <row r="23" spans="2:6" ht="15.95" customHeight="1" x14ac:dyDescent="0.2">
      <c r="B23" s="9">
        <v>36161</v>
      </c>
      <c r="C23" s="8">
        <v>4.97</v>
      </c>
      <c r="E23" s="16">
        <v>32874</v>
      </c>
      <c r="F23" s="15">
        <v>8.1</v>
      </c>
    </row>
    <row r="24" spans="2:6" ht="15.95" customHeight="1" x14ac:dyDescent="0.2">
      <c r="B24" s="10">
        <v>36526</v>
      </c>
      <c r="C24" s="11">
        <v>6.24</v>
      </c>
      <c r="E24" s="12">
        <v>33239</v>
      </c>
      <c r="F24" s="13">
        <v>8.1</v>
      </c>
    </row>
    <row r="25" spans="2:6" ht="15.95" customHeight="1" x14ac:dyDescent="0.2">
      <c r="E25" s="14">
        <v>33239</v>
      </c>
      <c r="F25" s="15">
        <v>5.69</v>
      </c>
    </row>
    <row r="26" spans="2:6" ht="15.95" customHeight="1" x14ac:dyDescent="0.2">
      <c r="E26" s="12">
        <v>33604</v>
      </c>
      <c r="F26" s="13">
        <v>5.69</v>
      </c>
    </row>
    <row r="27" spans="2:6" ht="15.95" customHeight="1" x14ac:dyDescent="0.2">
      <c r="E27" s="14">
        <v>33604</v>
      </c>
      <c r="F27" s="15">
        <v>3.52</v>
      </c>
    </row>
    <row r="28" spans="2:6" ht="15.95" customHeight="1" x14ac:dyDescent="0.2">
      <c r="E28" s="12">
        <v>33970</v>
      </c>
      <c r="F28" s="13">
        <v>3.52</v>
      </c>
    </row>
    <row r="29" spans="2:6" ht="15.95" customHeight="1" x14ac:dyDescent="0.2">
      <c r="E29" s="14">
        <v>33970</v>
      </c>
      <c r="F29" s="15">
        <v>3.02</v>
      </c>
    </row>
    <row r="30" spans="2:6" ht="15.95" customHeight="1" x14ac:dyDescent="0.2">
      <c r="E30" s="12">
        <v>34335</v>
      </c>
      <c r="F30" s="13">
        <v>3.02</v>
      </c>
    </row>
    <row r="31" spans="2:6" ht="15.95" customHeight="1" x14ac:dyDescent="0.2">
      <c r="E31" s="14">
        <v>34335</v>
      </c>
      <c r="F31" s="15">
        <v>4.21</v>
      </c>
    </row>
    <row r="32" spans="2:6" ht="15.95" customHeight="1" x14ac:dyDescent="0.2">
      <c r="E32" s="12">
        <v>34700</v>
      </c>
      <c r="F32" s="13">
        <v>4.21</v>
      </c>
    </row>
    <row r="33" spans="5:6" ht="15.95" customHeight="1" x14ac:dyDescent="0.2">
      <c r="E33" s="14">
        <v>34700</v>
      </c>
      <c r="F33" s="15">
        <v>5.83</v>
      </c>
    </row>
    <row r="34" spans="5:6" ht="15.95" customHeight="1" x14ac:dyDescent="0.2">
      <c r="E34" s="12">
        <v>35065</v>
      </c>
      <c r="F34" s="13">
        <v>5.83</v>
      </c>
    </row>
    <row r="35" spans="5:6" ht="15.95" customHeight="1" x14ac:dyDescent="0.2">
      <c r="E35" s="14">
        <v>35065</v>
      </c>
      <c r="F35" s="15">
        <v>5.3</v>
      </c>
    </row>
    <row r="36" spans="5:6" ht="15.95" customHeight="1" x14ac:dyDescent="0.2">
      <c r="E36" s="12">
        <v>35431</v>
      </c>
      <c r="F36" s="13">
        <v>5.3</v>
      </c>
    </row>
    <row r="37" spans="5:6" ht="15.95" customHeight="1" x14ac:dyDescent="0.2">
      <c r="E37" s="14">
        <v>35431</v>
      </c>
      <c r="F37" s="15">
        <v>5.46</v>
      </c>
    </row>
    <row r="38" spans="5:6" ht="15.95" customHeight="1" x14ac:dyDescent="0.2">
      <c r="E38" s="12">
        <v>35796</v>
      </c>
      <c r="F38" s="13">
        <v>5.46</v>
      </c>
    </row>
    <row r="39" spans="5:6" ht="15.95" customHeight="1" x14ac:dyDescent="0.2">
      <c r="E39" s="14">
        <v>35796</v>
      </c>
      <c r="F39" s="15">
        <v>5.35</v>
      </c>
    </row>
    <row r="40" spans="5:6" ht="15.95" customHeight="1" x14ac:dyDescent="0.2">
      <c r="E40" s="12">
        <v>36161</v>
      </c>
      <c r="F40" s="13">
        <v>5.35</v>
      </c>
    </row>
    <row r="41" spans="5:6" ht="15.95" customHeight="1" x14ac:dyDescent="0.2">
      <c r="E41" s="14">
        <v>36161</v>
      </c>
      <c r="F41" s="15">
        <v>4.97</v>
      </c>
    </row>
    <row r="42" spans="5:6" ht="15.95" customHeight="1" x14ac:dyDescent="0.2">
      <c r="E42" s="12">
        <v>36526</v>
      </c>
      <c r="F42" s="13">
        <v>4.97</v>
      </c>
    </row>
    <row r="43" spans="5:6" ht="15.95" customHeight="1" x14ac:dyDescent="0.2">
      <c r="E43" s="16">
        <v>36526</v>
      </c>
      <c r="F43" s="17">
        <v>6.24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C5:C2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BC2D-DD38-4CFA-9E4F-586E04E4A106}">
  <dimension ref="A1:G32"/>
  <sheetViews>
    <sheetView showGridLines="0" workbookViewId="0"/>
  </sheetViews>
  <sheetFormatPr defaultRowHeight="15.95" customHeight="1" x14ac:dyDescent="0.2"/>
  <cols>
    <col min="1" max="1" width="2.625" style="1" customWidth="1"/>
    <col min="2" max="2" width="14.25" style="1" customWidth="1"/>
    <col min="3" max="3" width="9.75" style="2" customWidth="1"/>
    <col min="4" max="4" width="9" style="1"/>
    <col min="5" max="5" width="12.625" style="1" customWidth="1"/>
    <col min="6" max="6" width="9" style="1"/>
    <col min="7" max="7" width="12.625" style="1" customWidth="1"/>
    <col min="8" max="8" width="2.625" style="1" customWidth="1"/>
    <col min="9" max="16384" width="9" style="1"/>
  </cols>
  <sheetData>
    <row r="1" spans="1:7" ht="5.0999999999999996" customHeight="1" x14ac:dyDescent="0.2"/>
    <row r="2" spans="1:7" s="3" customFormat="1" ht="22.5" customHeight="1" x14ac:dyDescent="0.2">
      <c r="B2" s="5" t="s">
        <v>5</v>
      </c>
      <c r="C2" s="4"/>
    </row>
    <row r="3" spans="1:7" s="3" customFormat="1" ht="5.0999999999999996" customHeight="1" x14ac:dyDescent="0.2">
      <c r="C3" s="4"/>
    </row>
    <row r="4" spans="1:7" ht="15.95" customHeight="1" x14ac:dyDescent="0.2">
      <c r="B4" s="6" t="s">
        <v>3</v>
      </c>
      <c r="C4" s="7" t="s">
        <v>4</v>
      </c>
      <c r="D4" s="7" t="s">
        <v>6</v>
      </c>
      <c r="E4" s="26" t="s">
        <v>24</v>
      </c>
      <c r="F4" s="7" t="s">
        <v>7</v>
      </c>
      <c r="G4" s="26" t="s">
        <v>25</v>
      </c>
    </row>
    <row r="5" spans="1:7" ht="15.95" customHeight="1" x14ac:dyDescent="0.2">
      <c r="B5" s="18">
        <v>0</v>
      </c>
      <c r="C5" s="20">
        <v>0</v>
      </c>
      <c r="D5" s="21">
        <f>B6-B5</f>
        <v>3000</v>
      </c>
      <c r="E5" s="23" t="s">
        <v>8</v>
      </c>
      <c r="F5" s="22" t="e">
        <f>C5-C4</f>
        <v>#VALUE!</v>
      </c>
      <c r="G5" s="25" t="s">
        <v>16</v>
      </c>
    </row>
    <row r="6" spans="1:7" ht="15.95" customHeight="1" x14ac:dyDescent="0.2">
      <c r="B6" s="19">
        <v>3000</v>
      </c>
      <c r="C6" s="20">
        <v>0.03</v>
      </c>
      <c r="D6" s="21">
        <f>B7-B6</f>
        <v>9000</v>
      </c>
      <c r="E6" s="24" t="s">
        <v>9</v>
      </c>
      <c r="F6" s="22">
        <f t="shared" ref="F6:F12" si="0">C6-C5</f>
        <v>0.03</v>
      </c>
      <c r="G6" s="25" t="s">
        <v>17</v>
      </c>
    </row>
    <row r="7" spans="1:7" ht="15.95" customHeight="1" x14ac:dyDescent="0.2">
      <c r="B7" s="19">
        <v>12000</v>
      </c>
      <c r="C7" s="20">
        <v>0.1</v>
      </c>
      <c r="D7" s="21">
        <f t="shared" ref="D7:E11" si="1">B8-B7</f>
        <v>13000</v>
      </c>
      <c r="E7" s="24" t="s">
        <v>10</v>
      </c>
      <c r="F7" s="22">
        <f t="shared" si="0"/>
        <v>7.0000000000000007E-2</v>
      </c>
      <c r="G7" s="25" t="s">
        <v>18</v>
      </c>
    </row>
    <row r="8" spans="1:7" ht="15.95" customHeight="1" x14ac:dyDescent="0.2">
      <c r="B8" s="19">
        <v>25000</v>
      </c>
      <c r="C8" s="20">
        <v>0.2</v>
      </c>
      <c r="D8" s="21">
        <f t="shared" si="1"/>
        <v>10000</v>
      </c>
      <c r="E8" s="24" t="s">
        <v>11</v>
      </c>
      <c r="F8" s="22">
        <f t="shared" si="0"/>
        <v>0.1</v>
      </c>
      <c r="G8" s="25" t="s">
        <v>19</v>
      </c>
    </row>
    <row r="9" spans="1:7" ht="15.95" customHeight="1" x14ac:dyDescent="0.2">
      <c r="B9" s="19">
        <v>35000</v>
      </c>
      <c r="C9" s="20">
        <v>0.25</v>
      </c>
      <c r="D9" s="21">
        <f t="shared" si="1"/>
        <v>20000</v>
      </c>
      <c r="E9" s="24" t="s">
        <v>12</v>
      </c>
      <c r="F9" s="22">
        <f t="shared" si="0"/>
        <v>4.9999999999999989E-2</v>
      </c>
      <c r="G9" s="25" t="s">
        <v>20</v>
      </c>
    </row>
    <row r="10" spans="1:7" ht="15.95" customHeight="1" x14ac:dyDescent="0.2">
      <c r="B10" s="19">
        <v>55000</v>
      </c>
      <c r="C10" s="20">
        <v>0.3</v>
      </c>
      <c r="D10" s="21">
        <f t="shared" si="1"/>
        <v>25000</v>
      </c>
      <c r="E10" s="24" t="s">
        <v>13</v>
      </c>
      <c r="F10" s="22">
        <f t="shared" si="0"/>
        <v>4.9999999999999989E-2</v>
      </c>
      <c r="G10" s="25" t="s">
        <v>21</v>
      </c>
    </row>
    <row r="11" spans="1:7" ht="15.95" customHeight="1" x14ac:dyDescent="0.2">
      <c r="B11" s="19">
        <v>80000</v>
      </c>
      <c r="C11" s="20">
        <v>0.35</v>
      </c>
      <c r="D11" s="21">
        <f t="shared" si="1"/>
        <v>70000</v>
      </c>
      <c r="E11" s="24" t="s">
        <v>14</v>
      </c>
      <c r="F11" s="22">
        <f t="shared" si="0"/>
        <v>4.9999999999999989E-2</v>
      </c>
      <c r="G11" s="25" t="s">
        <v>22</v>
      </c>
    </row>
    <row r="12" spans="1:7" ht="15.95" customHeight="1" x14ac:dyDescent="0.2">
      <c r="B12" s="19">
        <v>150000</v>
      </c>
      <c r="C12" s="20">
        <v>0.45</v>
      </c>
      <c r="D12" s="21">
        <v>50000</v>
      </c>
      <c r="E12" s="24" t="s">
        <v>15</v>
      </c>
      <c r="F12" s="22">
        <f t="shared" si="0"/>
        <v>0.10000000000000003</v>
      </c>
      <c r="G12" s="25" t="s">
        <v>23</v>
      </c>
    </row>
    <row r="13" spans="1:7" ht="15.95" customHeight="1" x14ac:dyDescent="0.2">
      <c r="A13" s="2"/>
      <c r="B13" s="2"/>
    </row>
    <row r="14" spans="1:7" ht="15.95" customHeight="1" x14ac:dyDescent="0.2">
      <c r="A14" s="2"/>
      <c r="B14" s="2"/>
    </row>
    <row r="15" spans="1:7" ht="15.95" customHeight="1" x14ac:dyDescent="0.2">
      <c r="A15" s="2"/>
      <c r="B15" s="2"/>
    </row>
    <row r="16" spans="1:7" ht="15.95" customHeight="1" x14ac:dyDescent="0.2">
      <c r="A16" s="2"/>
      <c r="B16" s="2"/>
    </row>
    <row r="17" spans="1:2" ht="15.95" customHeight="1" x14ac:dyDescent="0.2">
      <c r="A17" s="2"/>
      <c r="B17" s="2"/>
    </row>
    <row r="18" spans="1:2" ht="15.95" customHeight="1" x14ac:dyDescent="0.2">
      <c r="A18" s="2"/>
      <c r="B18" s="2"/>
    </row>
    <row r="19" spans="1:2" ht="15.95" customHeight="1" x14ac:dyDescent="0.2">
      <c r="A19" s="2"/>
      <c r="B19" s="2"/>
    </row>
    <row r="20" spans="1:2" ht="15.95" customHeight="1" x14ac:dyDescent="0.2">
      <c r="A20" s="2"/>
      <c r="B20" s="2"/>
    </row>
    <row r="21" spans="1:2" ht="15.95" customHeight="1" x14ac:dyDescent="0.2">
      <c r="A21" s="2"/>
      <c r="B21" s="2"/>
    </row>
    <row r="22" spans="1:2" ht="15.95" customHeight="1" x14ac:dyDescent="0.2">
      <c r="A22" s="2"/>
      <c r="B22" s="2"/>
    </row>
    <row r="23" spans="1:2" ht="15.95" customHeight="1" x14ac:dyDescent="0.2">
      <c r="A23" s="2"/>
      <c r="B23" s="2"/>
    </row>
    <row r="24" spans="1:2" ht="15.95" customHeight="1" x14ac:dyDescent="0.2">
      <c r="A24" s="2"/>
      <c r="B24" s="2"/>
    </row>
    <row r="25" spans="1:2" ht="15.95" customHeight="1" x14ac:dyDescent="0.2">
      <c r="A25" s="2"/>
      <c r="B25" s="2"/>
    </row>
    <row r="26" spans="1:2" ht="15.95" customHeight="1" x14ac:dyDescent="0.2">
      <c r="A26" s="2"/>
      <c r="B26" s="2"/>
    </row>
    <row r="27" spans="1:2" ht="15.95" customHeight="1" x14ac:dyDescent="0.2">
      <c r="A27" s="2"/>
      <c r="B27" s="2"/>
    </row>
    <row r="28" spans="1:2" ht="15.95" customHeight="1" x14ac:dyDescent="0.2">
      <c r="A28" s="2"/>
      <c r="B28" s="2"/>
    </row>
    <row r="29" spans="1:2" ht="15.95" customHeight="1" x14ac:dyDescent="0.2">
      <c r="A29" s="2"/>
      <c r="B29" s="2"/>
    </row>
    <row r="30" spans="1:2" ht="15.95" customHeight="1" x14ac:dyDescent="0.2">
      <c r="A30" s="2"/>
      <c r="B30" s="2"/>
    </row>
    <row r="31" spans="1:2" ht="15.95" customHeight="1" x14ac:dyDescent="0.2">
      <c r="A31" s="2"/>
      <c r="B31" s="2"/>
    </row>
    <row r="32" spans="1:2" ht="15.95" customHeight="1" x14ac:dyDescent="0.2">
      <c r="A32" s="2"/>
      <c r="B32" s="2"/>
    </row>
  </sheetData>
  <phoneticPr fontId="2" type="noConversion"/>
  <pageMargins left="0.7" right="0.7" top="0.75" bottom="0.75" header="0.3" footer="0.3"/>
  <ignoredErrors>
    <ignoredError sqref="F5" evalError="1"/>
    <ignoredError sqref="E1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折线图法</vt:lpstr>
      <vt:lpstr>散点图加误差线法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2018-09-09T10:31:37Z</dcterms:modified>
</cp:coreProperties>
</file>