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D:\2-输出\7-Monetizing\课件开发\KF013-Excel这样用，图表课程\T12-福利模板\第1波，福利模板\1-基础图表 10例\"/>
    </mc:Choice>
  </mc:AlternateContent>
  <xr:revisionPtr revIDLastSave="0" documentId="13_ncr:1_{A7149E69-C72D-4347-81FC-760736FD59F2}" xr6:coauthVersionLast="40" xr6:coauthVersionMax="40" xr10:uidLastSave="{00000000-0000-0000-0000-000000000000}"/>
  <bookViews>
    <workbookView xWindow="-108" yWindow="-108" windowWidth="23256" windowHeight="12720" activeTab="5" xr2:uid="{00000000-000D-0000-FFFF-FFFF00000000}"/>
  </bookViews>
  <sheets>
    <sheet name="图1" sheetId="2" r:id="rId1"/>
    <sheet name="图2" sheetId="3" r:id="rId2"/>
    <sheet name="图3" sheetId="4" r:id="rId3"/>
    <sheet name="图4" sheetId="5" r:id="rId4"/>
    <sheet name="图5" sheetId="6" r:id="rId5"/>
    <sheet name="图6" sheetId="7" r:id="rId6"/>
  </sheets>
  <externalReferences>
    <externalReference r:id="rId7"/>
    <externalReference r:id="rId8"/>
  </externalReference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6" i="6" l="1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5" i="6"/>
  <c r="M6" i="6" l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5" i="6"/>
  <c r="K6" i="5" l="1"/>
  <c r="K7" i="5"/>
  <c r="K8" i="5"/>
  <c r="K9" i="5"/>
  <c r="K10" i="5"/>
  <c r="K5" i="5"/>
  <c r="J6" i="5"/>
  <c r="J7" i="5"/>
  <c r="J8" i="5"/>
  <c r="J9" i="5"/>
  <c r="J10" i="5"/>
  <c r="J5" i="5"/>
  <c r="I6" i="5"/>
  <c r="I7" i="5"/>
  <c r="I8" i="5"/>
  <c r="I9" i="5"/>
  <c r="I10" i="5"/>
  <c r="I5" i="5"/>
  <c r="H6" i="4" l="1"/>
  <c r="H7" i="4"/>
  <c r="H8" i="4"/>
  <c r="H9" i="4"/>
  <c r="H10" i="4"/>
  <c r="H11" i="4"/>
  <c r="H12" i="4"/>
  <c r="H13" i="4"/>
  <c r="H14" i="4"/>
  <c r="H15" i="4"/>
  <c r="H16" i="4"/>
  <c r="H5" i="4"/>
  <c r="C6" i="4" l="1"/>
  <c r="C7" i="4"/>
  <c r="C8" i="4"/>
  <c r="C9" i="4"/>
  <c r="C10" i="4"/>
  <c r="C11" i="4"/>
  <c r="C12" i="4"/>
  <c r="C13" i="4"/>
  <c r="C14" i="4"/>
  <c r="C15" i="4"/>
  <c r="C16" i="4"/>
  <c r="C5" i="4"/>
</calcChain>
</file>

<file path=xl/sharedStrings.xml><?xml version="1.0" encoding="utf-8"?>
<sst xmlns="http://schemas.openxmlformats.org/spreadsheetml/2006/main" count="168" uniqueCount="88">
  <si>
    <t>2050年世界十大经济体</t>
    <phoneticPr fontId="1" type="noConversion"/>
  </si>
  <si>
    <t>国家</t>
    <phoneticPr fontId="1" type="noConversion"/>
  </si>
  <si>
    <t>GDP</t>
    <phoneticPr fontId="1" type="noConversion"/>
  </si>
  <si>
    <t>中国</t>
    <phoneticPr fontId="1" type="noConversion"/>
  </si>
  <si>
    <t>美国</t>
    <phoneticPr fontId="1" type="noConversion"/>
  </si>
  <si>
    <t>印度</t>
    <phoneticPr fontId="1" type="noConversion"/>
  </si>
  <si>
    <t>印度尼西亚</t>
    <phoneticPr fontId="1" type="noConversion"/>
  </si>
  <si>
    <t>日本</t>
    <phoneticPr fontId="1" type="noConversion"/>
  </si>
  <si>
    <t>德国</t>
    <phoneticPr fontId="1" type="noConversion"/>
  </si>
  <si>
    <t>巴西</t>
    <phoneticPr fontId="1" type="noConversion"/>
  </si>
  <si>
    <t>墨西哥</t>
    <phoneticPr fontId="1" type="noConversion"/>
  </si>
  <si>
    <t>英国</t>
    <phoneticPr fontId="1" type="noConversion"/>
  </si>
  <si>
    <t>法国</t>
    <phoneticPr fontId="1" type="noConversion"/>
  </si>
  <si>
    <t>比率</t>
    <phoneticPr fontId="1" type="noConversion"/>
  </si>
  <si>
    <t>东南亚超重成年人占整体成年人人口的比率</t>
    <phoneticPr fontId="1" type="noConversion"/>
  </si>
  <si>
    <t>马来西亚</t>
    <phoneticPr fontId="1" type="noConversion"/>
  </si>
  <si>
    <t>新加坡</t>
    <phoneticPr fontId="1" type="noConversion"/>
  </si>
  <si>
    <t>泰国</t>
    <phoneticPr fontId="1" type="noConversion"/>
  </si>
  <si>
    <t>印尼</t>
    <phoneticPr fontId="1" type="noConversion"/>
  </si>
  <si>
    <t>菲律宾</t>
    <phoneticPr fontId="1" type="noConversion"/>
  </si>
  <si>
    <t>越南</t>
    <phoneticPr fontId="1" type="noConversion"/>
  </si>
  <si>
    <t>辅助列</t>
    <phoneticPr fontId="1" type="noConversion"/>
  </si>
  <si>
    <t>拉丁美洲主要国家贸易收支平衡状况</t>
    <phoneticPr fontId="1" type="noConversion"/>
  </si>
  <si>
    <t>数值</t>
    <phoneticPr fontId="1" type="noConversion"/>
  </si>
  <si>
    <t>巴拿马</t>
    <phoneticPr fontId="1" type="noConversion"/>
  </si>
  <si>
    <t>智利</t>
    <phoneticPr fontId="1" type="noConversion"/>
  </si>
  <si>
    <t>阿根廷</t>
    <phoneticPr fontId="1" type="noConversion"/>
  </si>
  <si>
    <t>秘鲁</t>
    <phoneticPr fontId="1" type="noConversion"/>
  </si>
  <si>
    <t>多米尼加</t>
    <phoneticPr fontId="1" type="noConversion"/>
  </si>
  <si>
    <t>哥伦比亚</t>
    <phoneticPr fontId="1" type="noConversion"/>
  </si>
  <si>
    <t>哥斯达黎加</t>
    <phoneticPr fontId="1" type="noConversion"/>
  </si>
  <si>
    <t>厄瓜多尔</t>
    <phoneticPr fontId="1" type="noConversion"/>
  </si>
  <si>
    <t>尼加拉瓜</t>
    <phoneticPr fontId="1" type="noConversion"/>
  </si>
  <si>
    <t>委内瑞拉</t>
    <phoneticPr fontId="1" type="noConversion"/>
  </si>
  <si>
    <t>墨西哥</t>
    <phoneticPr fontId="1" type="noConversion"/>
  </si>
  <si>
    <t>巴西</t>
    <phoneticPr fontId="1" type="noConversion"/>
  </si>
  <si>
    <t>数值</t>
    <phoneticPr fontId="1" type="noConversion"/>
  </si>
  <si>
    <t>helper</t>
    <phoneticPr fontId="1" type="noConversion"/>
  </si>
  <si>
    <t>作图数据：</t>
    <phoneticPr fontId="1" type="noConversion"/>
  </si>
  <si>
    <t>东南亚国家，应对肥胖症所花费的成本在医疗保健费用中的比重</t>
    <phoneticPr fontId="1" type="noConversion"/>
  </si>
  <si>
    <t>下限</t>
    <phoneticPr fontId="1" type="noConversion"/>
  </si>
  <si>
    <t>上限</t>
    <phoneticPr fontId="1" type="noConversion"/>
  </si>
  <si>
    <t>作图数据</t>
    <phoneticPr fontId="1" type="noConversion"/>
  </si>
  <si>
    <t>helper1</t>
    <phoneticPr fontId="1" type="noConversion"/>
  </si>
  <si>
    <t>helper2</t>
  </si>
  <si>
    <t>helper3</t>
  </si>
  <si>
    <t>helper4</t>
  </si>
  <si>
    <t>女性更多的从事于生产率较低的行业</t>
    <phoneticPr fontId="1" type="noConversion"/>
  </si>
  <si>
    <t>行业</t>
    <phoneticPr fontId="1" type="noConversion"/>
  </si>
  <si>
    <t>女性雇员占比</t>
    <phoneticPr fontId="1" type="noConversion"/>
  </si>
  <si>
    <t>人均GDP产值</t>
    <phoneticPr fontId="1" type="noConversion"/>
  </si>
  <si>
    <t>建筑业</t>
    <phoneticPr fontId="1" type="noConversion"/>
  </si>
  <si>
    <t>公用事业</t>
    <phoneticPr fontId="1" type="noConversion"/>
  </si>
  <si>
    <t>农林牧渔及资源业</t>
    <phoneticPr fontId="1" type="noConversion"/>
  </si>
  <si>
    <t>交通运输业</t>
    <phoneticPr fontId="1" type="noConversion"/>
  </si>
  <si>
    <t>制造业</t>
    <phoneticPr fontId="1" type="noConversion"/>
  </si>
  <si>
    <t>科学技术</t>
    <phoneticPr fontId="1" type="noConversion"/>
  </si>
  <si>
    <t>商业</t>
    <phoneticPr fontId="1" type="noConversion"/>
  </si>
  <si>
    <t>信息文化业</t>
    <phoneticPr fontId="1" type="noConversion"/>
  </si>
  <si>
    <t>批发与零售业</t>
    <phoneticPr fontId="1" type="noConversion"/>
  </si>
  <si>
    <t>公共行政管理</t>
    <phoneticPr fontId="1" type="noConversion"/>
  </si>
  <si>
    <t>其他服务业</t>
    <phoneticPr fontId="1" type="noConversion"/>
  </si>
  <si>
    <t>金融行业</t>
    <phoneticPr fontId="1" type="noConversion"/>
  </si>
  <si>
    <t>住宿与食品服务行业</t>
    <phoneticPr fontId="1" type="noConversion"/>
  </si>
  <si>
    <t>教育行业</t>
    <phoneticPr fontId="1" type="noConversion"/>
  </si>
  <si>
    <t>卫生保健与社会援助</t>
    <phoneticPr fontId="1" type="noConversion"/>
  </si>
  <si>
    <t>helper2</t>
    <phoneticPr fontId="1" type="noConversion"/>
  </si>
  <si>
    <t>x</t>
    <phoneticPr fontId="1" type="noConversion"/>
  </si>
  <si>
    <t>y</t>
    <phoneticPr fontId="1" type="noConversion"/>
  </si>
  <si>
    <t>人均GDP产值(千美元)</t>
    <phoneticPr fontId="1" type="noConversion"/>
  </si>
  <si>
    <t>平均值</t>
    <phoneticPr fontId="1" type="noConversion"/>
  </si>
  <si>
    <t>平均值111</t>
    <phoneticPr fontId="1" type="noConversion"/>
  </si>
  <si>
    <t>helper3</t>
    <phoneticPr fontId="1" type="noConversion"/>
  </si>
  <si>
    <t>一些非欧国家的银行增加了他们的对外投资</t>
    <phoneticPr fontId="1" type="noConversion"/>
  </si>
  <si>
    <t>加拿大</t>
    <phoneticPr fontId="1" type="noConversion"/>
  </si>
  <si>
    <t>澳大利亚</t>
    <phoneticPr fontId="1" type="noConversion"/>
  </si>
  <si>
    <t>俄罗斯</t>
    <phoneticPr fontId="1" type="noConversion"/>
  </si>
  <si>
    <t>对外投资占总资产的比，%</t>
    <phoneticPr fontId="1" type="noConversion"/>
  </si>
  <si>
    <t>作图数据</t>
    <phoneticPr fontId="1" type="noConversion"/>
  </si>
  <si>
    <t>helper5</t>
  </si>
  <si>
    <t>helper6</t>
  </si>
  <si>
    <t>helper7</t>
  </si>
  <si>
    <t xml:space="preserve"> </t>
    <phoneticPr fontId="1" type="noConversion"/>
  </si>
  <si>
    <t xml:space="preserve"> </t>
    <phoneticPr fontId="1" type="noConversion"/>
  </si>
  <si>
    <t>x2</t>
  </si>
  <si>
    <t>y3</t>
  </si>
  <si>
    <t>2007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</si>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</sst>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_ "/>
  </numFmts>
  <fonts count="5" x14ac:knownFonts="1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Calibri"/>
      <family val="2"/>
    </font>
    <font>
      <b/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1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1" applyNumberFormat="1" applyFon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10" fontId="0" fillId="0" borderId="0" xfId="1" applyNumberFormat="1" applyFo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right" vertical="center"/>
    </xf>
  </cellXfs>
  <cellStyles count="2">
    <cellStyle name="百分比" xfId="1" builtinId="5"/>
    <cellStyle name="常规" xfId="0" builtinId="0"/>
  </cellStyles>
  <dxfs count="24">
    <dxf>
      <numFmt numFmtId="1" formatCode="0"/>
    </dxf>
    <dxf>
      <numFmt numFmtId="1" formatCode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4" formatCode="0.0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4" formatCode="0.00%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4" formatCode="0.0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4" formatCode="0.00%"/>
      <alignment horizontal="right" vertical="center" textRotation="0" wrapText="0" indent="0" justifyLastLine="0" shrinkToFit="0" readingOrder="0"/>
    </dxf>
    <dxf>
      <numFmt numFmtId="176" formatCode="0.0_ "/>
    </dxf>
    <dxf>
      <numFmt numFmtId="176" formatCode="0.0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176" formatCode="0.0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176" formatCode="0.0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33" formatCode="_ * #,##0_ ;_ * \-#,##0_ ;_ * &quot;-&quot;_ ;_ @_ "/>
      <alignment horizontal="righ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AA8E1"/>
      <color rgb="FF98DBF6"/>
      <color rgb="FF99D7DB"/>
      <color rgb="FF66CEF5"/>
      <color rgb="FF00AD4C"/>
      <color rgb="FFBC1E24"/>
      <color rgb="FFC9CABB"/>
      <color rgb="FF2EC0E3"/>
      <color rgb="FF849EA8"/>
      <color rgb="FF527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100" b="0">
                <a:latin typeface="ITC Officina Sans Std Book" panose="020B0506040203020204" pitchFamily="34" charset="0"/>
                <a:ea typeface="+mn-ea"/>
              </a:defRPr>
            </a:pPr>
            <a:r>
              <a:rPr lang="zh-CN" altLang="en-US" sz="1100">
                <a:latin typeface="ITC Officina Sans Std Book" panose="020B0506040203020204" pitchFamily="34" charset="0"/>
                <a:ea typeface="+mn-ea"/>
              </a:rPr>
              <a:t>到</a:t>
            </a:r>
            <a:r>
              <a:rPr lang="en-US" altLang="zh-CN" sz="1100">
                <a:latin typeface="ITC Officina Sans Std Book" panose="020B0506040203020204" pitchFamily="34" charset="0"/>
                <a:ea typeface="+mn-ea"/>
              </a:rPr>
              <a:t>2050</a:t>
            </a:r>
            <a:r>
              <a:rPr lang="zh-CN" altLang="en-US" sz="1100">
                <a:latin typeface="ITC Officina Sans Std Book" panose="020B0506040203020204" pitchFamily="34" charset="0"/>
                <a:ea typeface="+mn-ea"/>
              </a:rPr>
              <a:t>年，中国的名义</a:t>
            </a:r>
            <a:r>
              <a:rPr lang="en-US" altLang="zh-CN" sz="1100">
                <a:latin typeface="ITC Officina Sans Std Book" panose="020B0506040203020204" pitchFamily="34" charset="0"/>
                <a:ea typeface="+mn-ea"/>
              </a:rPr>
              <a:t>GDP</a:t>
            </a:r>
            <a:r>
              <a:rPr lang="zh-CN" altLang="en-US" sz="1100">
                <a:latin typeface="ITC Officina Sans Std Book" panose="020B0506040203020204" pitchFamily="34" charset="0"/>
                <a:ea typeface="+mn-ea"/>
              </a:rPr>
              <a:t>将达到</a:t>
            </a:r>
            <a:r>
              <a:rPr lang="en-US" altLang="zh-CN" sz="1100">
                <a:latin typeface="ITC Officina Sans Std Book" panose="020B0506040203020204" pitchFamily="34" charset="0"/>
                <a:ea typeface="+mn-ea"/>
              </a:rPr>
              <a:t>105.9</a:t>
            </a:r>
            <a:r>
              <a:rPr lang="zh-CN" altLang="en-US" sz="1100">
                <a:latin typeface="ITC Officina Sans Std Book" panose="020B0506040203020204" pitchFamily="34" charset="0"/>
                <a:ea typeface="+mn-ea"/>
              </a:rPr>
              <a:t>万亿美元，远超美国的</a:t>
            </a:r>
            <a:r>
              <a:rPr lang="en-US" altLang="zh-CN" sz="1100">
                <a:latin typeface="ITC Officina Sans Std Book" panose="020B0506040203020204" pitchFamily="34" charset="0"/>
                <a:ea typeface="+mn-ea"/>
              </a:rPr>
              <a:t>70.9</a:t>
            </a:r>
            <a:r>
              <a:rPr lang="zh-CN" altLang="en-US" sz="1100">
                <a:latin typeface="ITC Officina Sans Std Book" panose="020B0506040203020204" pitchFamily="34" charset="0"/>
                <a:ea typeface="+mn-ea"/>
              </a:rPr>
              <a:t>万亿美元</a:t>
            </a:r>
            <a:endParaRPr lang="en-US" altLang="zh-CN" sz="1100">
              <a:latin typeface="ITC Officina Sans Std Book" panose="020B0506040203020204" pitchFamily="34" charset="0"/>
              <a:ea typeface="+mn-ea"/>
            </a:endParaRPr>
          </a:p>
          <a:p>
            <a:pPr algn="l">
              <a:defRPr sz="1100" b="0">
                <a:latin typeface="ITC Officina Sans Std Book" panose="020B0506040203020204" pitchFamily="34" charset="0"/>
                <a:ea typeface="+mn-ea"/>
              </a:defRPr>
            </a:pPr>
            <a:r>
              <a:rPr lang="zh-CN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ITC Officina Sans Std Book" panose="020B0506040203020204" pitchFamily="34" charset="0"/>
                <a:ea typeface="+mn-ea"/>
              </a:rPr>
              <a:t>单位：十亿美元</a:t>
            </a:r>
            <a:endParaRPr lang="en-US" altLang="zh-CN" sz="1000">
              <a:solidFill>
                <a:schemeClr val="tx1">
                  <a:lumMod val="50000"/>
                  <a:lumOff val="50000"/>
                </a:schemeClr>
              </a:solidFill>
              <a:latin typeface="ITC Officina Sans Std Book" panose="020B0506040203020204" pitchFamily="34" charset="0"/>
              <a:ea typeface="+mn-ea"/>
            </a:endParaRPr>
          </a:p>
        </c:rich>
      </c:tx>
      <c:layout>
        <c:manualLayout>
          <c:xMode val="edge"/>
          <c:yMode val="edge"/>
          <c:x val="1.3385358080239969E-2"/>
          <c:y val="1.83066169360408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9582817772778402"/>
          <c:y val="0.15621052631578947"/>
          <c:w val="0.77440991751031119"/>
          <c:h val="0.762385964912280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图1!$C$4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5751-4AF4-BFE1-4407289D604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51-4AF4-BFE1-4407289D6049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51-4AF4-BFE1-4407289D6049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51-4AF4-BFE1-4407289D60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图1!$B$5:$B$14</c:f>
              <c:strCache>
                <c:ptCount val="10"/>
                <c:pt idx="0">
                  <c:v>中国</c:v>
                </c:pt>
                <c:pt idx="1">
                  <c:v>美国</c:v>
                </c:pt>
                <c:pt idx="2">
                  <c:v>印度</c:v>
                </c:pt>
                <c:pt idx="3">
                  <c:v>印度尼西亚</c:v>
                </c:pt>
                <c:pt idx="4">
                  <c:v>日本</c:v>
                </c:pt>
                <c:pt idx="5">
                  <c:v>德国</c:v>
                </c:pt>
                <c:pt idx="6">
                  <c:v>巴西</c:v>
                </c:pt>
                <c:pt idx="7">
                  <c:v>墨西哥</c:v>
                </c:pt>
                <c:pt idx="8">
                  <c:v>英国</c:v>
                </c:pt>
                <c:pt idx="9">
                  <c:v>法国</c:v>
                </c:pt>
              </c:strCache>
            </c:strRef>
          </c:cat>
          <c:val>
            <c:numRef>
              <c:f>图1!$C$5:$C$14</c:f>
              <c:numCache>
                <c:formatCode>_(* #,##0_);_(* \(#,##0\);_(* "-"_);_(@_)</c:formatCode>
                <c:ptCount val="10"/>
                <c:pt idx="0">
                  <c:v>105916</c:v>
                </c:pt>
                <c:pt idx="1">
                  <c:v>70913</c:v>
                </c:pt>
                <c:pt idx="2">
                  <c:v>63842</c:v>
                </c:pt>
                <c:pt idx="3">
                  <c:v>15432</c:v>
                </c:pt>
                <c:pt idx="4">
                  <c:v>11367</c:v>
                </c:pt>
                <c:pt idx="5">
                  <c:v>11334</c:v>
                </c:pt>
                <c:pt idx="6">
                  <c:v>10334</c:v>
                </c:pt>
                <c:pt idx="7">
                  <c:v>9826</c:v>
                </c:pt>
                <c:pt idx="8">
                  <c:v>9812</c:v>
                </c:pt>
                <c:pt idx="9">
                  <c:v>9671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51-4AF4-BFE1-4407289D6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69761024"/>
        <c:axId val="275199104"/>
      </c:barChart>
      <c:catAx>
        <c:axId val="16976102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700">
            <a:noFill/>
          </a:ln>
        </c:spPr>
        <c:txPr>
          <a:bodyPr/>
          <a:lstStyle/>
          <a:p>
            <a:pPr>
              <a:defRPr>
                <a:latin typeface="+mn-ea"/>
                <a:ea typeface="+mn-ea"/>
              </a:defRPr>
            </a:pPr>
            <a:endParaRPr lang="zh-CN"/>
          </a:p>
        </c:txPr>
        <c:crossAx val="275199104"/>
        <c:crosses val="autoZero"/>
        <c:auto val="1"/>
        <c:lblAlgn val="ctr"/>
        <c:lblOffset val="100"/>
        <c:noMultiLvlLbl val="0"/>
      </c:catAx>
      <c:valAx>
        <c:axId val="275199104"/>
        <c:scaling>
          <c:orientation val="minMax"/>
        </c:scaling>
        <c:delete val="0"/>
        <c:axPos val="t"/>
        <c:numFmt formatCode="_(* #,##0_);_(* \(#,##0\);_(* &quot;-&quot;_);_(@_)" sourceLinked="1"/>
        <c:majorTickMark val="none"/>
        <c:minorTickMark val="none"/>
        <c:tickLblPos val="none"/>
        <c:spPr>
          <a:ln>
            <a:noFill/>
          </a:ln>
        </c:spPr>
        <c:crossAx val="169761024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0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 sz="10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东南亚国家中，马来西亚成年人超重的比率最高</a:t>
            </a:r>
            <a:endPara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endParaRPr>
          </a:p>
          <a:p>
            <a:pPr algn="l">
              <a:defRPr sz="1000"/>
            </a:pPr>
            <a:r>
              <a:rPr lang="en-US" altLang="zh-CN" sz="900">
                <a:solidFill>
                  <a:schemeClr val="bg1">
                    <a:lumMod val="50000"/>
                  </a:schemeClr>
                </a:solidFill>
              </a:rPr>
              <a:t>%</a:t>
            </a:r>
            <a:r>
              <a:rPr lang="zh-CN" altLang="en-US" sz="900" baseline="0">
                <a:solidFill>
                  <a:schemeClr val="bg1">
                    <a:lumMod val="50000"/>
                  </a:schemeClr>
                </a:solidFill>
              </a:rPr>
              <a:t> </a:t>
            </a:r>
            <a:r>
              <a:rPr lang="zh-CN" altLang="en-US" sz="900">
                <a:solidFill>
                  <a:schemeClr val="bg1">
                    <a:lumMod val="50000"/>
                  </a:schemeClr>
                </a:solidFill>
              </a:rPr>
              <a:t>超重成年人占整体成年人口的比重</a:t>
            </a:r>
            <a:endParaRPr lang="zh-CN" sz="900">
              <a:solidFill>
                <a:schemeClr val="bg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3.3333333333333333E-2"/>
          <c:y val="2.7910616588245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0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583333333333333E-2"/>
          <c:y val="0.12627017399498688"/>
          <c:w val="0.90833333333333333"/>
          <c:h val="0.792875675075822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图2!$C$4</c:f>
              <c:strCache>
                <c:ptCount val="1"/>
                <c:pt idx="0">
                  <c:v>辅助列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l"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图2!$B$5:$B$10</c:f>
              <c:strCache>
                <c:ptCount val="6"/>
                <c:pt idx="0">
                  <c:v>马来西亚</c:v>
                </c:pt>
                <c:pt idx="1">
                  <c:v>新加坡</c:v>
                </c:pt>
                <c:pt idx="2">
                  <c:v>泰国</c:v>
                </c:pt>
                <c:pt idx="3">
                  <c:v>印尼</c:v>
                </c:pt>
                <c:pt idx="4">
                  <c:v>菲律宾</c:v>
                </c:pt>
                <c:pt idx="5">
                  <c:v>越南</c:v>
                </c:pt>
              </c:strCache>
            </c:strRef>
          </c:cat>
          <c:val>
            <c:numRef>
              <c:f>图2!$C$5:$C$10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E-459B-933B-DBEDB649DE97}"/>
            </c:ext>
          </c:extLst>
        </c:ser>
        <c:ser>
          <c:idx val="1"/>
          <c:order val="1"/>
          <c:tx>
            <c:strRef>
              <c:f>图2!$D$4</c:f>
              <c:strCache>
                <c:ptCount val="1"/>
                <c:pt idx="0">
                  <c:v>比率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图2!$B$5:$B$10</c:f>
              <c:strCache>
                <c:ptCount val="6"/>
                <c:pt idx="0">
                  <c:v>马来西亚</c:v>
                </c:pt>
                <c:pt idx="1">
                  <c:v>新加坡</c:v>
                </c:pt>
                <c:pt idx="2">
                  <c:v>泰国</c:v>
                </c:pt>
                <c:pt idx="3">
                  <c:v>印尼</c:v>
                </c:pt>
                <c:pt idx="4">
                  <c:v>菲律宾</c:v>
                </c:pt>
                <c:pt idx="5">
                  <c:v>越南</c:v>
                </c:pt>
              </c:strCache>
            </c:strRef>
          </c:cat>
          <c:val>
            <c:numRef>
              <c:f>图2!$D$5:$D$10</c:f>
              <c:numCache>
                <c:formatCode>General</c:formatCode>
                <c:ptCount val="6"/>
                <c:pt idx="0">
                  <c:v>38</c:v>
                </c:pt>
                <c:pt idx="1">
                  <c:v>33</c:v>
                </c:pt>
                <c:pt idx="2">
                  <c:v>30</c:v>
                </c:pt>
                <c:pt idx="3">
                  <c:v>25</c:v>
                </c:pt>
                <c:pt idx="4">
                  <c:v>23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E-459B-933B-DBEDB649DE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281162880"/>
        <c:axId val="281166592"/>
      </c:barChart>
      <c:catAx>
        <c:axId val="28116288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281166592"/>
        <c:crosses val="autoZero"/>
        <c:auto val="1"/>
        <c:lblAlgn val="ctr"/>
        <c:lblOffset val="100"/>
        <c:noMultiLvlLbl val="0"/>
      </c:catAx>
      <c:valAx>
        <c:axId val="281166592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2811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100" b="0">
                <a:latin typeface="ITC Officina Sans Std Book" panose="020B0506040203020204" pitchFamily="34" charset="0"/>
                <a:ea typeface="+mn-ea"/>
              </a:defRPr>
            </a:pPr>
            <a:r>
              <a:rPr lang="zh-CN" altLang="en-US" sz="1200" b="0">
                <a:latin typeface="ITC Officina Sans Std Book" panose="020B0506040203020204" pitchFamily="34" charset="0"/>
                <a:ea typeface="+mn-ea"/>
              </a:rPr>
              <a:t>拉丁美洲主要国家的贸易收支平衡</a:t>
            </a:r>
            <a:endParaRPr lang="en-US" altLang="zh-CN" sz="1200" b="0">
              <a:latin typeface="ITC Officina Sans Std Book" panose="020B0506040203020204" pitchFamily="34" charset="0"/>
              <a:ea typeface="+mn-ea"/>
            </a:endParaRPr>
          </a:p>
          <a:p>
            <a:pPr algn="l">
              <a:defRPr sz="1100" b="0">
                <a:latin typeface="ITC Officina Sans Std Book" panose="020B0506040203020204" pitchFamily="34" charset="0"/>
                <a:ea typeface="+mn-ea"/>
              </a:defRPr>
            </a:pPr>
            <a:r>
              <a:rPr lang="zh-CN" altLang="en-US" sz="1050" b="0">
                <a:latin typeface="ITC Officina Sans Std Book" panose="020B0506040203020204" pitchFamily="34" charset="0"/>
                <a:ea typeface="+mn-ea"/>
              </a:rPr>
              <a:t>墨西哥有着高达</a:t>
            </a:r>
            <a:r>
              <a:rPr lang="en-US" altLang="zh-CN" sz="1050" b="0">
                <a:latin typeface="ITC Officina Sans Std Book" panose="020B0506040203020204" pitchFamily="34" charset="0"/>
                <a:ea typeface="+mn-ea"/>
              </a:rPr>
              <a:t>600</a:t>
            </a:r>
            <a:r>
              <a:rPr lang="zh-CN" altLang="en-US" sz="1050" b="0">
                <a:latin typeface="ITC Officina Sans Std Book" panose="020B0506040203020204" pitchFamily="34" charset="0"/>
                <a:ea typeface="+mn-ea"/>
              </a:rPr>
              <a:t>多亿美元的贸易赤字</a:t>
            </a:r>
            <a:endParaRPr lang="en-US" altLang="zh-CN" sz="1050" b="0">
              <a:latin typeface="ITC Officina Sans Std Book" panose="020B0506040203020204" pitchFamily="34" charset="0"/>
              <a:ea typeface="+mn-ea"/>
            </a:endParaRPr>
          </a:p>
          <a:p>
            <a:pPr algn="l">
              <a:defRPr sz="1100" b="0">
                <a:latin typeface="ITC Officina Sans Std Book" panose="020B0506040203020204" pitchFamily="34" charset="0"/>
                <a:ea typeface="+mn-ea"/>
              </a:defRPr>
            </a:pPr>
            <a:r>
              <a:rPr lang="en-US" altLang="zh-CN" sz="1000" b="0">
                <a:solidFill>
                  <a:schemeClr val="tx1">
                    <a:lumMod val="50000"/>
                    <a:lumOff val="50000"/>
                  </a:schemeClr>
                </a:solidFill>
                <a:latin typeface="ITC Officina Sans Std Book" panose="020B0506040203020204" pitchFamily="34" charset="0"/>
                <a:ea typeface="+mn-ea"/>
                <a:cs typeface="Vrinda" panose="020B0502040204020203" pitchFamily="34" charset="0"/>
              </a:rPr>
              <a:t>US$bn</a:t>
            </a:r>
            <a:endParaRPr lang="zh-CN" altLang="en-US" sz="1000" b="0">
              <a:solidFill>
                <a:schemeClr val="tx1">
                  <a:lumMod val="50000"/>
                  <a:lumOff val="50000"/>
                </a:schemeClr>
              </a:solidFill>
              <a:latin typeface="ITC Officina Sans Std Book" panose="020B0506040203020204" pitchFamily="34" charset="0"/>
              <a:ea typeface="+mn-ea"/>
              <a:cs typeface="Vrinda" panose="020B0502040204020203" pitchFamily="34" charset="0"/>
            </a:endParaRPr>
          </a:p>
        </c:rich>
      </c:tx>
      <c:layout>
        <c:manualLayout>
          <c:xMode val="edge"/>
          <c:yMode val="edge"/>
          <c:x val="2.7777777777777776E-2"/>
          <c:y val="1.619433198380566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5701467478508507"/>
          <c:w val="0.93888888888888888"/>
          <c:h val="0.809423316012623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图3!$G$4</c:f>
              <c:strCache>
                <c:ptCount val="1"/>
                <c:pt idx="0">
                  <c:v>数值</c:v>
                </c:pt>
              </c:strCache>
            </c:strRef>
          </c:tx>
          <c:spPr>
            <a:solidFill>
              <a:srgbClr val="008982"/>
            </a:solidFill>
          </c:spPr>
          <c:invertIfNegative val="1"/>
          <c:dPt>
            <c:idx val="11"/>
            <c:invertIfNegative val="1"/>
            <c:bubble3D val="0"/>
            <c:spPr>
              <a:solidFill>
                <a:srgbClr val="E06D26"/>
              </a:solidFill>
            </c:spPr>
            <c:extLst>
              <c:ext xmlns:c16="http://schemas.microsoft.com/office/drawing/2014/chart" uri="{C3380CC4-5D6E-409C-BE32-E72D297353CC}">
                <c16:uniqueId val="{00000001-3559-49AC-825A-160BC182E8D0}"/>
              </c:ext>
            </c:extLst>
          </c:dPt>
          <c:dLbls>
            <c:dLbl>
              <c:idx val="11"/>
              <c:spPr/>
              <c:txPr>
                <a:bodyPr/>
                <a:lstStyle/>
                <a:p>
                  <a:pPr>
                    <a:defRPr b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Arial Unicode MS" panose="020B0604020202020204" pitchFamily="34" charset="-122"/>
                      <a:cs typeface="Vrinda" panose="020B0502040204020203" pitchFamily="34" charset="0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559-49AC-825A-160BC182E8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Arial Unicode MS" panose="020B0604020202020204" pitchFamily="34" charset="-122"/>
                    <a:cs typeface="Vrinda" panose="020B0502040204020203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图3!$F$5:$F$16</c:f>
              <c:strCache>
                <c:ptCount val="12"/>
                <c:pt idx="0">
                  <c:v>巴拿马</c:v>
                </c:pt>
                <c:pt idx="1">
                  <c:v>智利</c:v>
                </c:pt>
                <c:pt idx="2">
                  <c:v>阿根廷</c:v>
                </c:pt>
                <c:pt idx="3">
                  <c:v>秘鲁</c:v>
                </c:pt>
                <c:pt idx="4">
                  <c:v>巴西</c:v>
                </c:pt>
                <c:pt idx="5">
                  <c:v>多米尼加</c:v>
                </c:pt>
                <c:pt idx="6">
                  <c:v>哥伦比亚</c:v>
                </c:pt>
                <c:pt idx="7">
                  <c:v>哥斯达黎加</c:v>
                </c:pt>
                <c:pt idx="8">
                  <c:v>厄瓜多尔</c:v>
                </c:pt>
                <c:pt idx="9">
                  <c:v>尼加拉瓜</c:v>
                </c:pt>
                <c:pt idx="10">
                  <c:v>委内瑞拉</c:v>
                </c:pt>
                <c:pt idx="11">
                  <c:v>墨西哥</c:v>
                </c:pt>
              </c:strCache>
            </c:strRef>
          </c:cat>
          <c:val>
            <c:numRef>
              <c:f>图3!$G$5:$G$16</c:f>
              <c:numCache>
                <c:formatCode>0.0_ </c:formatCode>
                <c:ptCount val="12"/>
                <c:pt idx="0">
                  <c:v>7.4</c:v>
                </c:pt>
                <c:pt idx="1">
                  <c:v>5.9</c:v>
                </c:pt>
                <c:pt idx="2">
                  <c:v>5.2</c:v>
                </c:pt>
                <c:pt idx="3">
                  <c:v>3.4</c:v>
                </c:pt>
                <c:pt idx="4">
                  <c:v>3.2</c:v>
                </c:pt>
                <c:pt idx="5">
                  <c:v>2.4</c:v>
                </c:pt>
                <c:pt idx="6">
                  <c:v>1.8</c:v>
                </c:pt>
                <c:pt idx="7">
                  <c:v>1.5</c:v>
                </c:pt>
                <c:pt idx="8">
                  <c:v>-2</c:v>
                </c:pt>
                <c:pt idx="9">
                  <c:v>-2</c:v>
                </c:pt>
                <c:pt idx="10">
                  <c:v>-7.9</c:v>
                </c:pt>
                <c:pt idx="11">
                  <c:v>-61.1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06D26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3559-49AC-825A-160BC182E8D0}"/>
            </c:ext>
          </c:extLst>
        </c:ser>
        <c:ser>
          <c:idx val="1"/>
          <c:order val="1"/>
          <c:tx>
            <c:strRef>
              <c:f>图3!$H$4</c:f>
              <c:strCache>
                <c:ptCount val="1"/>
                <c:pt idx="0">
                  <c:v>helper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图3!$F$5:$F$16</c:f>
              <c:strCache>
                <c:ptCount val="12"/>
                <c:pt idx="0">
                  <c:v>巴拿马</c:v>
                </c:pt>
                <c:pt idx="1">
                  <c:v>智利</c:v>
                </c:pt>
                <c:pt idx="2">
                  <c:v>阿根廷</c:v>
                </c:pt>
                <c:pt idx="3">
                  <c:v>秘鲁</c:v>
                </c:pt>
                <c:pt idx="4">
                  <c:v>巴西</c:v>
                </c:pt>
                <c:pt idx="5">
                  <c:v>多米尼加</c:v>
                </c:pt>
                <c:pt idx="6">
                  <c:v>哥伦比亚</c:v>
                </c:pt>
                <c:pt idx="7">
                  <c:v>哥斯达黎加</c:v>
                </c:pt>
                <c:pt idx="8">
                  <c:v>厄瓜多尔</c:v>
                </c:pt>
                <c:pt idx="9">
                  <c:v>尼加拉瓜</c:v>
                </c:pt>
                <c:pt idx="10">
                  <c:v>委内瑞拉</c:v>
                </c:pt>
                <c:pt idx="11">
                  <c:v>墨西哥</c:v>
                </c:pt>
              </c:strCache>
            </c:strRef>
          </c:cat>
          <c:val>
            <c:numRef>
              <c:f>图3!$H$5:$H$16</c:f>
              <c:numCache>
                <c:formatCode>0.0_ </c:formatCode>
                <c:ptCount val="1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59-49AC-825A-160BC182E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38879232"/>
        <c:axId val="338881152"/>
      </c:barChart>
      <c:catAx>
        <c:axId val="33887923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one"/>
        <c:spPr>
          <a:ln w="15875">
            <a:solidFill>
              <a:schemeClr val="bg1">
                <a:lumMod val="65000"/>
              </a:schemeClr>
            </a:solidFill>
          </a:ln>
        </c:spPr>
        <c:crossAx val="338881152"/>
        <c:crosses val="autoZero"/>
        <c:auto val="1"/>
        <c:lblAlgn val="ctr"/>
        <c:lblOffset val="100"/>
        <c:noMultiLvlLbl val="0"/>
      </c:catAx>
      <c:valAx>
        <c:axId val="338881152"/>
        <c:scaling>
          <c:orientation val="minMax"/>
        </c:scaling>
        <c:delete val="0"/>
        <c:axPos val="t"/>
        <c:numFmt formatCode="0.0_ " sourceLinked="1"/>
        <c:majorTickMark val="none"/>
        <c:minorTickMark val="none"/>
        <c:tickLblPos val="none"/>
        <c:spPr>
          <a:ln>
            <a:noFill/>
          </a:ln>
        </c:spPr>
        <c:crossAx val="338879232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050">
                <a:latin typeface="ITC Officina Sans Std Book" panose="020B0506040203020204" pitchFamily="34" charset="0"/>
              </a:defRPr>
            </a:pPr>
            <a:r>
              <a:rPr 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东南亚国家，应对肥胖症所花费的成本在医疗保健费用中的比重</a:t>
            </a:r>
            <a:endParaRPr lang="en-US" sz="12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endParaRPr>
          </a:p>
          <a:p>
            <a:pPr algn="l">
              <a:defRPr sz="1050">
                <a:latin typeface="ITC Officina Sans Std Book" panose="020B0506040203020204" pitchFamily="34" charset="0"/>
              </a:defRPr>
            </a:pPr>
            <a:r>
              <a:rPr lang="zh-CN" sz="10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马来西亚和印尼在应对肥胖症上花费了最高的医疗保健费用</a:t>
            </a:r>
            <a:endParaRPr lang="en-US" sz="10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endParaRPr>
          </a:p>
          <a:p>
            <a:pPr algn="l">
              <a:defRPr sz="1050">
                <a:latin typeface="ITC Officina Sans Std Book" panose="020B0506040203020204" pitchFamily="34" charset="0"/>
              </a:defRPr>
            </a:pPr>
            <a:r>
              <a:rPr lang="zh-CN" sz="900">
                <a:solidFill>
                  <a:schemeClr val="bg1">
                    <a:lumMod val="50000"/>
                  </a:schemeClr>
                </a:solidFill>
                <a:latin typeface="ITC Officina Sans Std Book" panose="020B0506040203020204" pitchFamily="34" charset="0"/>
              </a:rPr>
              <a:t>下限</a:t>
            </a:r>
            <a:r>
              <a:rPr lang="en-US" sz="900">
                <a:solidFill>
                  <a:schemeClr val="bg1">
                    <a:lumMod val="50000"/>
                  </a:schemeClr>
                </a:solidFill>
                <a:latin typeface="ITC Officina Sans Std Book" panose="020B0506040203020204" pitchFamily="34" charset="0"/>
              </a:rPr>
              <a:t>&amp;</a:t>
            </a:r>
            <a:r>
              <a:rPr lang="zh-CN" sz="900">
                <a:solidFill>
                  <a:schemeClr val="bg1">
                    <a:lumMod val="50000"/>
                  </a:schemeClr>
                </a:solidFill>
                <a:latin typeface="ITC Officina Sans Std Book" panose="020B0506040203020204" pitchFamily="34" charset="0"/>
              </a:rPr>
              <a:t>上限</a:t>
            </a:r>
            <a:endParaRPr lang="en-US" sz="900">
              <a:solidFill>
                <a:schemeClr val="bg1">
                  <a:lumMod val="50000"/>
                </a:schemeClr>
              </a:solidFill>
              <a:latin typeface="ITC Officina Sans Std Book" panose="020B0506040203020204" pitchFamily="34" charset="0"/>
            </a:endParaRPr>
          </a:p>
        </c:rich>
      </c:tx>
      <c:layout>
        <c:manualLayout>
          <c:xMode val="edge"/>
          <c:yMode val="edge"/>
          <c:x val="0.10265151515151515"/>
          <c:y val="2.67335004177109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"/>
          <c:y val="0.2095630151494221"/>
          <c:w val="0.88068181818181823"/>
          <c:h val="0.6968697333885896"/>
        </c:manualLayout>
      </c:layout>
      <c:barChart>
        <c:barDir val="bar"/>
        <c:grouping val="stacked"/>
        <c:varyColors val="0"/>
        <c:ser>
          <c:idx val="3"/>
          <c:order val="0"/>
          <c:tx>
            <c:strRef>
              <c:f>图4!$H$4</c:f>
              <c:strCache>
                <c:ptCount val="1"/>
                <c:pt idx="0">
                  <c:v>helper4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4.7348484848484848E-2"/>
                  <c:y val="3.3424769272262325E-3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FC-406B-AD1E-CEAAACE3079C}"/>
                </c:ext>
              </c:extLst>
            </c:dLbl>
            <c:dLbl>
              <c:idx val="1"/>
              <c:layout>
                <c:manualLayout>
                  <c:x val="-4.7348484848484848E-2"/>
                  <c:y val="3.3424769272262021E-3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FC-406B-AD1E-CEAAACE3079C}"/>
                </c:ext>
              </c:extLst>
            </c:dLbl>
            <c:dLbl>
              <c:idx val="2"/>
              <c:layout>
                <c:manualLayout>
                  <c:x val="-3.787878787878788E-2"/>
                  <c:y val="3.3424769272262633E-3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FC-406B-AD1E-CEAAACE3079C}"/>
                </c:ext>
              </c:extLst>
            </c:dLbl>
            <c:dLbl>
              <c:idx val="3"/>
              <c:layout>
                <c:manualLayout>
                  <c:x val="-3.787878787878788E-2"/>
                  <c:y val="3.3424769272262021E-3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FC-406B-AD1E-CEAAACE3079C}"/>
                </c:ext>
              </c:extLst>
            </c:dLbl>
            <c:dLbl>
              <c:idx val="4"/>
              <c:layout>
                <c:manualLayout>
                  <c:x val="-2.8409090909090908E-2"/>
                  <c:y val="3.3424769272262021E-3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FC-406B-AD1E-CEAAACE3079C}"/>
                </c:ext>
              </c:extLst>
            </c:dLbl>
            <c:dLbl>
              <c:idx val="5"/>
              <c:layout>
                <c:manualLayout>
                  <c:x val="-4.7348484848484848E-2"/>
                  <c:y val="3.3424769272262021E-3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FC-406B-AD1E-CEAAACE30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图4!$H$5:$H$10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FC-406B-AD1E-CEAAACE3079C}"/>
            </c:ext>
          </c:extLst>
        </c:ser>
        <c:ser>
          <c:idx val="0"/>
          <c:order val="1"/>
          <c:tx>
            <c:strRef>
              <c:f>图4!$I$4</c:f>
              <c:strCache>
                <c:ptCount val="1"/>
                <c:pt idx="0">
                  <c:v>helper1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图4!$G$5:$G$10</c:f>
              <c:strCache>
                <c:ptCount val="6"/>
                <c:pt idx="0">
                  <c:v>越南</c:v>
                </c:pt>
                <c:pt idx="1">
                  <c:v>泰国</c:v>
                </c:pt>
                <c:pt idx="2">
                  <c:v>新加坡</c:v>
                </c:pt>
                <c:pt idx="3">
                  <c:v>菲律宾</c:v>
                </c:pt>
                <c:pt idx="4">
                  <c:v>马来西亚</c:v>
                </c:pt>
                <c:pt idx="5">
                  <c:v>印尼</c:v>
                </c:pt>
              </c:strCache>
            </c:strRef>
          </c:cat>
          <c:val>
            <c:numRef>
              <c:f>图4!$I$5:$I$10</c:f>
              <c:numCache>
                <c:formatCode>0.00%</c:formatCode>
                <c:ptCount val="6"/>
                <c:pt idx="0">
                  <c:v>1.49E-2</c:v>
                </c:pt>
                <c:pt idx="1">
                  <c:v>3.0200000000000001E-2</c:v>
                </c:pt>
                <c:pt idx="2">
                  <c:v>2.9100000000000001E-2</c:v>
                </c:pt>
                <c:pt idx="3">
                  <c:v>4.1099999999999998E-2</c:v>
                </c:pt>
                <c:pt idx="4">
                  <c:v>9.5699999999999993E-2</c:v>
                </c:pt>
                <c:pt idx="5">
                  <c:v>7.9699999999999993E-2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FC-406B-AD1E-CEAAACE3079C}"/>
            </c:ext>
          </c:extLst>
        </c:ser>
        <c:ser>
          <c:idx val="1"/>
          <c:order val="2"/>
          <c:tx>
            <c:strRef>
              <c:f>图4!$J$4</c:f>
              <c:strCache>
                <c:ptCount val="1"/>
                <c:pt idx="0">
                  <c:v>helper2</c:v>
                </c:pt>
              </c:strCache>
            </c:strRef>
          </c:tx>
          <c:invertIfNegative val="1"/>
          <c:dPt>
            <c:idx val="0"/>
            <c:invertIfNegative val="0"/>
            <c:bubble3D val="0"/>
            <c:spPr>
              <a:solidFill>
                <a:srgbClr val="0F7B92"/>
              </a:solidFill>
            </c:spPr>
            <c:extLst>
              <c:ext xmlns:c16="http://schemas.microsoft.com/office/drawing/2014/chart" uri="{C3380CC4-5D6E-409C-BE32-E72D297353CC}">
                <c16:uniqueId val="{00000009-B9FC-406B-AD1E-CEAAACE3079C}"/>
              </c:ext>
            </c:extLst>
          </c:dPt>
          <c:dPt>
            <c:idx val="1"/>
            <c:invertIfNegative val="0"/>
            <c:bubble3D val="0"/>
            <c:spPr>
              <a:solidFill>
                <a:srgbClr val="EE2F36"/>
              </a:solidFill>
            </c:spPr>
            <c:extLst>
              <c:ext xmlns:c16="http://schemas.microsoft.com/office/drawing/2014/chart" uri="{C3380CC4-5D6E-409C-BE32-E72D297353CC}">
                <c16:uniqueId val="{0000000B-B9FC-406B-AD1E-CEAAACE3079C}"/>
              </c:ext>
            </c:extLst>
          </c:dPt>
          <c:dPt>
            <c:idx val="2"/>
            <c:invertIfNegative val="0"/>
            <c:bubble3D val="0"/>
            <c:spPr>
              <a:solidFill>
                <a:srgbClr val="527C7C"/>
              </a:solidFill>
            </c:spPr>
            <c:extLst>
              <c:ext xmlns:c16="http://schemas.microsoft.com/office/drawing/2014/chart" uri="{C3380CC4-5D6E-409C-BE32-E72D297353CC}">
                <c16:uniqueId val="{0000000D-B9FC-406B-AD1E-CEAAACE3079C}"/>
              </c:ext>
            </c:extLst>
          </c:dPt>
          <c:dPt>
            <c:idx val="3"/>
            <c:invertIfNegative val="0"/>
            <c:bubble3D val="0"/>
            <c:spPr>
              <a:solidFill>
                <a:srgbClr val="849EA8"/>
              </a:solidFill>
            </c:spPr>
            <c:extLst>
              <c:ext xmlns:c16="http://schemas.microsoft.com/office/drawing/2014/chart" uri="{C3380CC4-5D6E-409C-BE32-E72D297353CC}">
                <c16:uniqueId val="{0000000F-B9FC-406B-AD1E-CEAAACE3079C}"/>
              </c:ext>
            </c:extLst>
          </c:dPt>
          <c:dPt>
            <c:idx val="4"/>
            <c:invertIfNegative val="0"/>
            <c:bubble3D val="0"/>
            <c:spPr>
              <a:solidFill>
                <a:srgbClr val="2EC0E3"/>
              </a:solidFill>
            </c:spPr>
            <c:extLst>
              <c:ext xmlns:c16="http://schemas.microsoft.com/office/drawing/2014/chart" uri="{C3380CC4-5D6E-409C-BE32-E72D297353CC}">
                <c16:uniqueId val="{00000011-B9FC-406B-AD1E-CEAAACE3079C}"/>
              </c:ext>
            </c:extLst>
          </c:dPt>
          <c:dPt>
            <c:idx val="5"/>
            <c:invertIfNegative val="0"/>
            <c:bubble3D val="0"/>
            <c:spPr>
              <a:solidFill>
                <a:srgbClr val="C9CABB"/>
              </a:solidFill>
            </c:spPr>
            <c:extLst>
              <c:ext xmlns:c16="http://schemas.microsoft.com/office/drawing/2014/chart" uri="{C3380CC4-5D6E-409C-BE32-E72D297353CC}">
                <c16:uniqueId val="{00000013-B9FC-406B-AD1E-CEAAACE3079C}"/>
              </c:ext>
            </c:extLst>
          </c:dPt>
          <c:cat>
            <c:strRef>
              <c:f>图4!$G$5:$G$10</c:f>
              <c:strCache>
                <c:ptCount val="6"/>
                <c:pt idx="0">
                  <c:v>越南</c:v>
                </c:pt>
                <c:pt idx="1">
                  <c:v>泰国</c:v>
                </c:pt>
                <c:pt idx="2">
                  <c:v>新加坡</c:v>
                </c:pt>
                <c:pt idx="3">
                  <c:v>菲律宾</c:v>
                </c:pt>
                <c:pt idx="4">
                  <c:v>马来西亚</c:v>
                </c:pt>
                <c:pt idx="5">
                  <c:v>印尼</c:v>
                </c:pt>
              </c:strCache>
            </c:strRef>
          </c:cat>
          <c:val>
            <c:numRef>
              <c:f>图4!$J$5:$J$10</c:f>
              <c:numCache>
                <c:formatCode>0.00%</c:formatCode>
                <c:ptCount val="6"/>
                <c:pt idx="0">
                  <c:v>1.2199999999999999E-2</c:v>
                </c:pt>
                <c:pt idx="1">
                  <c:v>2.7300000000000001E-2</c:v>
                </c:pt>
                <c:pt idx="2">
                  <c:v>6.7299999999999999E-2</c:v>
                </c:pt>
                <c:pt idx="3">
                  <c:v>3.7600000000000008E-2</c:v>
                </c:pt>
                <c:pt idx="4">
                  <c:v>9.7900000000000001E-2</c:v>
                </c:pt>
                <c:pt idx="5">
                  <c:v>7.7399999999999997E-2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FC-406B-AD1E-CEAAACE3079C}"/>
            </c:ext>
          </c:extLst>
        </c:ser>
        <c:ser>
          <c:idx val="2"/>
          <c:order val="3"/>
          <c:tx>
            <c:strRef>
              <c:f>图4!$K$4</c:f>
              <c:strCache>
                <c:ptCount val="1"/>
                <c:pt idx="0">
                  <c:v>helper3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图4!$K$5:$K$10</c:f>
              <c:numCache>
                <c:formatCode>0.00%</c:formatCode>
                <c:ptCount val="6"/>
                <c:pt idx="0">
                  <c:v>2.7099999999999999E-2</c:v>
                </c:pt>
                <c:pt idx="1">
                  <c:v>5.7500000000000002E-2</c:v>
                </c:pt>
                <c:pt idx="2">
                  <c:v>9.64E-2</c:v>
                </c:pt>
                <c:pt idx="3">
                  <c:v>7.8700000000000006E-2</c:v>
                </c:pt>
                <c:pt idx="4">
                  <c:v>0.19359999999999999</c:v>
                </c:pt>
                <c:pt idx="5">
                  <c:v>0.15709999999999999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9FC-406B-AD1E-CEAAACE30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95398784"/>
        <c:axId val="320857984"/>
      </c:barChart>
      <c:catAx>
        <c:axId val="295398784"/>
        <c:scaling>
          <c:orientation val="maxMin"/>
        </c:scaling>
        <c:delete val="0"/>
        <c:axPos val="l"/>
        <c:majorTickMark val="none"/>
        <c:minorTickMark val="none"/>
        <c:tickLblPos val="none"/>
        <c:spPr>
          <a:ln>
            <a:noFill/>
          </a:ln>
        </c:spPr>
        <c:crossAx val="320857984"/>
        <c:crosses val="autoZero"/>
        <c:auto val="1"/>
        <c:lblAlgn val="ctr"/>
        <c:lblOffset val="100"/>
        <c:noMultiLvlLbl val="0"/>
      </c:catAx>
      <c:valAx>
        <c:axId val="320857984"/>
        <c:scaling>
          <c:orientation val="minMax"/>
          <c:max val="0.2"/>
          <c:min val="-5.000000000000001E-2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2953987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女性更多的从事于生产率较低的行业</a:t>
            </a:r>
          </a:p>
        </c:rich>
      </c:tx>
      <c:layout>
        <c:manualLayout>
          <c:xMode val="edge"/>
          <c:yMode val="edge"/>
          <c:x val="8.3333333333333332E-3"/>
          <c:y val="2.824296734674809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841666666666666"/>
          <c:y val="0.16091411781424961"/>
          <c:w val="0.76302608267716532"/>
          <c:h val="0.7241463205126037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图5!$G$4</c:f>
              <c:strCache>
                <c:ptCount val="1"/>
                <c:pt idx="0">
                  <c:v>helper1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5312500000000001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18-4DD1-BA6D-6BA2CDB7D022}"/>
                </c:ext>
              </c:extLst>
            </c:dLbl>
            <c:dLbl>
              <c:idx val="1"/>
              <c:layout>
                <c:manualLayout>
                  <c:x val="-0.14374999999999999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18-4DD1-BA6D-6BA2CDB7D022}"/>
                </c:ext>
              </c:extLst>
            </c:dLbl>
            <c:dLbl>
              <c:idx val="2"/>
              <c:layout>
                <c:manualLayout>
                  <c:x val="-0.10625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118-4DD1-BA6D-6BA2CDB7D022}"/>
                </c:ext>
              </c:extLst>
            </c:dLbl>
            <c:dLbl>
              <c:idx val="3"/>
              <c:layout>
                <c:manualLayout>
                  <c:x val="-0.13437499999999999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18-4DD1-BA6D-6BA2CDB7D022}"/>
                </c:ext>
              </c:extLst>
            </c:dLbl>
            <c:dLbl>
              <c:idx val="4"/>
              <c:layout>
                <c:manualLayout>
                  <c:x val="-0.15312500000000001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118-4DD1-BA6D-6BA2CDB7D022}"/>
                </c:ext>
              </c:extLst>
            </c:dLbl>
            <c:dLbl>
              <c:idx val="5"/>
              <c:layout>
                <c:manualLayout>
                  <c:x val="-0.14374999999999999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18-4DD1-BA6D-6BA2CDB7D022}"/>
                </c:ext>
              </c:extLst>
            </c:dLbl>
            <c:dLbl>
              <c:idx val="6"/>
              <c:layout>
                <c:manualLayout>
                  <c:x val="-0.16250000000000001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118-4DD1-BA6D-6BA2CDB7D022}"/>
                </c:ext>
              </c:extLst>
            </c:dLbl>
            <c:dLbl>
              <c:idx val="7"/>
              <c:layout>
                <c:manualLayout>
                  <c:x val="-0.13437499999999999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118-4DD1-BA6D-6BA2CDB7D022}"/>
                </c:ext>
              </c:extLst>
            </c:dLbl>
            <c:dLbl>
              <c:idx val="8"/>
              <c:layout>
                <c:manualLayout>
                  <c:x val="-0.125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118-4DD1-BA6D-6BA2CDB7D022}"/>
                </c:ext>
              </c:extLst>
            </c:dLbl>
            <c:dLbl>
              <c:idx val="9"/>
              <c:layout>
                <c:manualLayout>
                  <c:x val="-0.125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118-4DD1-BA6D-6BA2CDB7D022}"/>
                </c:ext>
              </c:extLst>
            </c:dLbl>
            <c:dLbl>
              <c:idx val="10"/>
              <c:layout>
                <c:manualLayout>
                  <c:x val="-0.13437499999999999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118-4DD1-BA6D-6BA2CDB7D022}"/>
                </c:ext>
              </c:extLst>
            </c:dLbl>
            <c:dLbl>
              <c:idx val="11"/>
              <c:layout>
                <c:manualLayout>
                  <c:x val="-0.14374999999999999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118-4DD1-BA6D-6BA2CDB7D022}"/>
                </c:ext>
              </c:extLst>
            </c:dLbl>
            <c:dLbl>
              <c:idx val="12"/>
              <c:layout>
                <c:manualLayout>
                  <c:x val="-9.6875000000000003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118-4DD1-BA6D-6BA2CDB7D022}"/>
                </c:ext>
              </c:extLst>
            </c:dLbl>
            <c:dLbl>
              <c:idx val="13"/>
              <c:layout>
                <c:manualLayout>
                  <c:x val="-0.14374999999999999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118-4DD1-BA6D-6BA2CDB7D022}"/>
                </c:ext>
              </c:extLst>
            </c:dLbl>
            <c:dLbl>
              <c:idx val="14"/>
              <c:layout>
                <c:manualLayout>
                  <c:x val="-9.6875000000000003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118-4DD1-BA6D-6BA2CDB7D0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图5!$F$5:$F$19</c:f>
              <c:strCache>
                <c:ptCount val="15"/>
                <c:pt idx="0">
                  <c:v>建筑业</c:v>
                </c:pt>
                <c:pt idx="1">
                  <c:v>公用事业</c:v>
                </c:pt>
                <c:pt idx="2">
                  <c:v>农林牧渔及资源业</c:v>
                </c:pt>
                <c:pt idx="3">
                  <c:v>交通运输业</c:v>
                </c:pt>
                <c:pt idx="4">
                  <c:v>制造业</c:v>
                </c:pt>
                <c:pt idx="5">
                  <c:v>科学技术</c:v>
                </c:pt>
                <c:pt idx="6">
                  <c:v>商业</c:v>
                </c:pt>
                <c:pt idx="7">
                  <c:v>信息文化业</c:v>
                </c:pt>
                <c:pt idx="8">
                  <c:v>批发与零售业</c:v>
                </c:pt>
                <c:pt idx="9">
                  <c:v>公共行政管理</c:v>
                </c:pt>
                <c:pt idx="10">
                  <c:v>其他服务业</c:v>
                </c:pt>
                <c:pt idx="11">
                  <c:v>金融行业</c:v>
                </c:pt>
                <c:pt idx="12">
                  <c:v>住宿与食品服务行业</c:v>
                </c:pt>
                <c:pt idx="13">
                  <c:v>教育行业</c:v>
                </c:pt>
                <c:pt idx="14">
                  <c:v>卫生保健与社会援助</c:v>
                </c:pt>
              </c:strCache>
            </c:strRef>
          </c:cat>
          <c:val>
            <c:numRef>
              <c:f>图5!$G$5:$G$19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8-4DD1-BA6D-6BA2CDB7D022}"/>
            </c:ext>
          </c:extLst>
        </c:ser>
        <c:ser>
          <c:idx val="1"/>
          <c:order val="1"/>
          <c:tx>
            <c:strRef>
              <c:f>图5!$H$4</c:f>
              <c:strCache>
                <c:ptCount val="1"/>
                <c:pt idx="0">
                  <c:v>女性雇员占比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图5!$F$5:$F$19</c:f>
              <c:strCache>
                <c:ptCount val="15"/>
                <c:pt idx="0">
                  <c:v>建筑业</c:v>
                </c:pt>
                <c:pt idx="1">
                  <c:v>公用事业</c:v>
                </c:pt>
                <c:pt idx="2">
                  <c:v>农林牧渔及资源业</c:v>
                </c:pt>
                <c:pt idx="3">
                  <c:v>交通运输业</c:v>
                </c:pt>
                <c:pt idx="4">
                  <c:v>制造业</c:v>
                </c:pt>
                <c:pt idx="5">
                  <c:v>科学技术</c:v>
                </c:pt>
                <c:pt idx="6">
                  <c:v>商业</c:v>
                </c:pt>
                <c:pt idx="7">
                  <c:v>信息文化业</c:v>
                </c:pt>
                <c:pt idx="8">
                  <c:v>批发与零售业</c:v>
                </c:pt>
                <c:pt idx="9">
                  <c:v>公共行政管理</c:v>
                </c:pt>
                <c:pt idx="10">
                  <c:v>其他服务业</c:v>
                </c:pt>
                <c:pt idx="11">
                  <c:v>金融行业</c:v>
                </c:pt>
                <c:pt idx="12">
                  <c:v>住宿与食品服务行业</c:v>
                </c:pt>
                <c:pt idx="13">
                  <c:v>教育行业</c:v>
                </c:pt>
                <c:pt idx="14">
                  <c:v>卫生保健与社会援助</c:v>
                </c:pt>
              </c:strCache>
            </c:strRef>
          </c:cat>
          <c:val>
            <c:numRef>
              <c:f>图5!$H$5:$H$19</c:f>
              <c:numCache>
                <c:formatCode>General</c:formatCode>
                <c:ptCount val="15"/>
                <c:pt idx="0">
                  <c:v>12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28</c:v>
                </c:pt>
                <c:pt idx="5">
                  <c:v>43</c:v>
                </c:pt>
                <c:pt idx="6">
                  <c:v>45</c:v>
                </c:pt>
                <c:pt idx="7">
                  <c:v>45</c:v>
                </c:pt>
                <c:pt idx="8">
                  <c:v>49</c:v>
                </c:pt>
                <c:pt idx="9">
                  <c:v>50</c:v>
                </c:pt>
                <c:pt idx="10">
                  <c:v>53</c:v>
                </c:pt>
                <c:pt idx="11">
                  <c:v>55</c:v>
                </c:pt>
                <c:pt idx="12">
                  <c:v>58</c:v>
                </c:pt>
                <c:pt idx="13">
                  <c:v>67</c:v>
                </c:pt>
                <c:pt idx="1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18-4DD1-BA6D-6BA2CDB7D022}"/>
            </c:ext>
          </c:extLst>
        </c:ser>
        <c:ser>
          <c:idx val="2"/>
          <c:order val="2"/>
          <c:tx>
            <c:strRef>
              <c:f>图5!$I$4</c:f>
              <c:strCache>
                <c:ptCount val="1"/>
                <c:pt idx="0">
                  <c:v>helper2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0986868-D695-4998-9BCE-9EE5282264D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3118-4DD1-BA6D-6BA2CDB7D0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5023266-8849-48A6-B837-B31B1D9014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118-4DD1-BA6D-6BA2CDB7D0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B877E66-6066-4F3F-B0FD-80E1D45330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118-4DD1-BA6D-6BA2CDB7D0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0BD46C-F4CB-4801-A23D-ADADF23D9A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118-4DD1-BA6D-6BA2CDB7D0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4A7C0BF-63E3-4CD2-8CBC-C24E99FAFC2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118-4DD1-BA6D-6BA2CDB7D0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091EECE-0B42-4468-B035-F5179CD42D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118-4DD1-BA6D-6BA2CDB7D0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897D1E-62E9-42FB-9F2B-C7E9A64AD4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118-4DD1-BA6D-6BA2CDB7D0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84634EA-DC77-47D3-8630-02A8ACCF882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118-4DD1-BA6D-6BA2CDB7D0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5F535A0-0BF2-4C95-B53F-89C237A7C6E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118-4DD1-BA6D-6BA2CDB7D0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8BF38F0-50EE-42A2-A57D-90B7A618F8C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118-4DD1-BA6D-6BA2CDB7D0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0D29022-84BA-47DA-BDF9-7B0C6BB64C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118-4DD1-BA6D-6BA2CDB7D0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ECF800-0B0B-48AB-8B16-853DC52446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118-4DD1-BA6D-6BA2CDB7D02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58111E5-B2FF-41E1-B992-BDB5958DC2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118-4DD1-BA6D-6BA2CDB7D02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EE06338-CAAC-421A-A55F-9378D8ADA90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118-4DD1-BA6D-6BA2CDB7D02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02AACC9-8558-4FCD-A0CC-1417EBB6747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118-4DD1-BA6D-6BA2CDB7D0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图5!$F$5:$F$19</c:f>
              <c:strCache>
                <c:ptCount val="15"/>
                <c:pt idx="0">
                  <c:v>建筑业</c:v>
                </c:pt>
                <c:pt idx="1">
                  <c:v>公用事业</c:v>
                </c:pt>
                <c:pt idx="2">
                  <c:v>农林牧渔及资源业</c:v>
                </c:pt>
                <c:pt idx="3">
                  <c:v>交通运输业</c:v>
                </c:pt>
                <c:pt idx="4">
                  <c:v>制造业</c:v>
                </c:pt>
                <c:pt idx="5">
                  <c:v>科学技术</c:v>
                </c:pt>
                <c:pt idx="6">
                  <c:v>商业</c:v>
                </c:pt>
                <c:pt idx="7">
                  <c:v>信息文化业</c:v>
                </c:pt>
                <c:pt idx="8">
                  <c:v>批发与零售业</c:v>
                </c:pt>
                <c:pt idx="9">
                  <c:v>公共行政管理</c:v>
                </c:pt>
                <c:pt idx="10">
                  <c:v>其他服务业</c:v>
                </c:pt>
                <c:pt idx="11">
                  <c:v>金融行业</c:v>
                </c:pt>
                <c:pt idx="12">
                  <c:v>住宿与食品服务行业</c:v>
                </c:pt>
                <c:pt idx="13">
                  <c:v>教育行业</c:v>
                </c:pt>
                <c:pt idx="14">
                  <c:v>卫生保健与社会援助</c:v>
                </c:pt>
              </c:strCache>
            </c:strRef>
          </c:cat>
          <c:val>
            <c:numRef>
              <c:f>图5!$I$5:$I$19</c:f>
              <c:numCache>
                <c:formatCode>General</c:formatCode>
                <c:ptCount val="15"/>
                <c:pt idx="0">
                  <c:v>108</c:v>
                </c:pt>
                <c:pt idx="1">
                  <c:v>97</c:v>
                </c:pt>
                <c:pt idx="2">
                  <c:v>96</c:v>
                </c:pt>
                <c:pt idx="3">
                  <c:v>96</c:v>
                </c:pt>
                <c:pt idx="4">
                  <c:v>92</c:v>
                </c:pt>
                <c:pt idx="5">
                  <c:v>77</c:v>
                </c:pt>
                <c:pt idx="6">
                  <c:v>75</c:v>
                </c:pt>
                <c:pt idx="7">
                  <c:v>75</c:v>
                </c:pt>
                <c:pt idx="8">
                  <c:v>71</c:v>
                </c:pt>
                <c:pt idx="9">
                  <c:v>70</c:v>
                </c:pt>
                <c:pt idx="10">
                  <c:v>67</c:v>
                </c:pt>
                <c:pt idx="11">
                  <c:v>65</c:v>
                </c:pt>
                <c:pt idx="12">
                  <c:v>62</c:v>
                </c:pt>
                <c:pt idx="13">
                  <c:v>53</c:v>
                </c:pt>
                <c:pt idx="14">
                  <c:v>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图5!$H$5:$H$19</c15:f>
                <c15:dlblRangeCache>
                  <c:ptCount val="15"/>
                  <c:pt idx="0">
                    <c:v>12</c:v>
                  </c:pt>
                  <c:pt idx="1">
                    <c:v>23</c:v>
                  </c:pt>
                  <c:pt idx="2">
                    <c:v>24</c:v>
                  </c:pt>
                  <c:pt idx="3">
                    <c:v>24</c:v>
                  </c:pt>
                  <c:pt idx="4">
                    <c:v>28</c:v>
                  </c:pt>
                  <c:pt idx="5">
                    <c:v>43</c:v>
                  </c:pt>
                  <c:pt idx="6">
                    <c:v>45</c:v>
                  </c:pt>
                  <c:pt idx="7">
                    <c:v>45</c:v>
                  </c:pt>
                  <c:pt idx="8">
                    <c:v>49</c:v>
                  </c:pt>
                  <c:pt idx="9">
                    <c:v>50</c:v>
                  </c:pt>
                  <c:pt idx="10">
                    <c:v>53</c:v>
                  </c:pt>
                  <c:pt idx="11">
                    <c:v>55</c:v>
                  </c:pt>
                  <c:pt idx="12">
                    <c:v>58</c:v>
                  </c:pt>
                  <c:pt idx="13">
                    <c:v>67</c:v>
                  </c:pt>
                  <c:pt idx="14">
                    <c:v>82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3118-4DD1-BA6D-6BA2CDB7D022}"/>
            </c:ext>
          </c:extLst>
        </c:ser>
        <c:ser>
          <c:idx val="3"/>
          <c:order val="3"/>
          <c:tx>
            <c:strRef>
              <c:f>图5!$J$4</c:f>
              <c:strCache>
                <c:ptCount val="1"/>
                <c:pt idx="0">
                  <c:v>人均GDP产值(千美元)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图5!$F$5:$F$19</c:f>
              <c:strCache>
                <c:ptCount val="15"/>
                <c:pt idx="0">
                  <c:v>建筑业</c:v>
                </c:pt>
                <c:pt idx="1">
                  <c:v>公用事业</c:v>
                </c:pt>
                <c:pt idx="2">
                  <c:v>农林牧渔及资源业</c:v>
                </c:pt>
                <c:pt idx="3">
                  <c:v>交通运输业</c:v>
                </c:pt>
                <c:pt idx="4">
                  <c:v>制造业</c:v>
                </c:pt>
                <c:pt idx="5">
                  <c:v>科学技术</c:v>
                </c:pt>
                <c:pt idx="6">
                  <c:v>商业</c:v>
                </c:pt>
                <c:pt idx="7">
                  <c:v>信息文化业</c:v>
                </c:pt>
                <c:pt idx="8">
                  <c:v>批发与零售业</c:v>
                </c:pt>
                <c:pt idx="9">
                  <c:v>公共行政管理</c:v>
                </c:pt>
                <c:pt idx="10">
                  <c:v>其他服务业</c:v>
                </c:pt>
                <c:pt idx="11">
                  <c:v>金融行业</c:v>
                </c:pt>
                <c:pt idx="12">
                  <c:v>住宿与食品服务行业</c:v>
                </c:pt>
                <c:pt idx="13">
                  <c:v>教育行业</c:v>
                </c:pt>
                <c:pt idx="14">
                  <c:v>卫生保健与社会援助</c:v>
                </c:pt>
              </c:strCache>
            </c:strRef>
          </c:cat>
          <c:val>
            <c:numRef>
              <c:f>图5!$J$5:$J$19</c:f>
              <c:numCache>
                <c:formatCode>General</c:formatCode>
                <c:ptCount val="15"/>
                <c:pt idx="0">
                  <c:v>88</c:v>
                </c:pt>
                <c:pt idx="1">
                  <c:v>268</c:v>
                </c:pt>
                <c:pt idx="2">
                  <c:v>244</c:v>
                </c:pt>
                <c:pt idx="3">
                  <c:v>78</c:v>
                </c:pt>
                <c:pt idx="4">
                  <c:v>101</c:v>
                </c:pt>
                <c:pt idx="5">
                  <c:v>66</c:v>
                </c:pt>
                <c:pt idx="6">
                  <c:v>72</c:v>
                </c:pt>
                <c:pt idx="7">
                  <c:v>83</c:v>
                </c:pt>
                <c:pt idx="8">
                  <c:v>68</c:v>
                </c:pt>
                <c:pt idx="9">
                  <c:v>116</c:v>
                </c:pt>
                <c:pt idx="10">
                  <c:v>43</c:v>
                </c:pt>
                <c:pt idx="11">
                  <c:v>298</c:v>
                </c:pt>
                <c:pt idx="12">
                  <c:v>29</c:v>
                </c:pt>
                <c:pt idx="13">
                  <c:v>68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18-4DD1-BA6D-6BA2CDB7D022}"/>
            </c:ext>
          </c:extLst>
        </c:ser>
        <c:ser>
          <c:idx val="6"/>
          <c:order val="6"/>
          <c:tx>
            <c:strRef>
              <c:f>图5!$K$4</c:f>
              <c:strCache>
                <c:ptCount val="1"/>
                <c:pt idx="0">
                  <c:v>helper3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E2A2BE4-3DD5-4221-844D-4BBCA2E76F0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3118-4DD1-BA6D-6BA2CDB7D0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F467D7-ABF5-40A6-8439-92AC39AFFE5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3118-4DD1-BA6D-6BA2CDB7D0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4070368-D74B-48E7-A202-19403BD197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3118-4DD1-BA6D-6BA2CDB7D0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8E8F88E-12A1-4EE8-9FD8-C00167353C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3118-4DD1-BA6D-6BA2CDB7D0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2CF9827-0411-41AD-A8F1-11293BE497A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3118-4DD1-BA6D-6BA2CDB7D0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E9E6769-2EAC-48F7-A2E7-B5B7398888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3118-4DD1-BA6D-6BA2CDB7D0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68118F-A688-49AE-AD03-B5B2D8C2F7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118-4DD1-BA6D-6BA2CDB7D0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1C6FD31-97E7-49FC-B797-C99FC86A10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3118-4DD1-BA6D-6BA2CDB7D0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186FC7E-910F-4640-BE7D-AB29B64199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118-4DD1-BA6D-6BA2CDB7D0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3B45609-D0A1-4A00-B9C4-268E14CC17E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3118-4DD1-BA6D-6BA2CDB7D0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7F84DBF-F0D9-499E-BE0A-006D8CECEE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118-4DD1-BA6D-6BA2CDB7D0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6147950-78E3-43FE-B181-227D6D8C33A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3118-4DD1-BA6D-6BA2CDB7D02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5F1BCC9-B18D-426F-A516-9344B8A0F4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118-4DD1-BA6D-6BA2CDB7D02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3A46683-C987-4B2D-A80E-49E1C2F993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3118-4DD1-BA6D-6BA2CDB7D02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0D633E0-BB4B-475A-8F86-36A5C401F7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118-4DD1-BA6D-6BA2CDB7D0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图5!$K$5:$K$19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图5!$J$5:$J$19</c15:f>
                <c15:dlblRangeCache>
                  <c:ptCount val="15"/>
                  <c:pt idx="0">
                    <c:v>88</c:v>
                  </c:pt>
                  <c:pt idx="1">
                    <c:v>268</c:v>
                  </c:pt>
                  <c:pt idx="2">
                    <c:v>244</c:v>
                  </c:pt>
                  <c:pt idx="3">
                    <c:v>78</c:v>
                  </c:pt>
                  <c:pt idx="4">
                    <c:v>101</c:v>
                  </c:pt>
                  <c:pt idx="5">
                    <c:v>66</c:v>
                  </c:pt>
                  <c:pt idx="6">
                    <c:v>72</c:v>
                  </c:pt>
                  <c:pt idx="7">
                    <c:v>83</c:v>
                  </c:pt>
                  <c:pt idx="8">
                    <c:v>68</c:v>
                  </c:pt>
                  <c:pt idx="9">
                    <c:v>116</c:v>
                  </c:pt>
                  <c:pt idx="10">
                    <c:v>43</c:v>
                  </c:pt>
                  <c:pt idx="11">
                    <c:v>298</c:v>
                  </c:pt>
                  <c:pt idx="12">
                    <c:v>29</c:v>
                  </c:pt>
                  <c:pt idx="13">
                    <c:v>68</c:v>
                  </c:pt>
                  <c:pt idx="14">
                    <c:v>48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5-3118-4DD1-BA6D-6BA2CDB7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568091048"/>
        <c:axId val="568091376"/>
      </c:barChart>
      <c:scatterChart>
        <c:scatterStyle val="lineMarker"/>
        <c:varyColors val="0"/>
        <c:ser>
          <c:idx val="4"/>
          <c:order val="4"/>
          <c:tx>
            <c:strRef>
              <c:f>图5!$M$3</c:f>
              <c:strCache>
                <c:ptCount val="1"/>
                <c:pt idx="0">
                  <c:v>平均值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4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3118-4DD1-BA6D-6BA2CDB7D022}"/>
              </c:ext>
            </c:extLst>
          </c:dPt>
          <c:dLbls>
            <c:dLbl>
              <c:idx val="14"/>
              <c:layout>
                <c:manualLayout>
                  <c:x val="-4.583333333333333E-2"/>
                  <c:y val="3.36098544969447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1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118-4DD1-BA6D-6BA2CDB7D0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图5!$M$5:$M$19</c:f>
              <c:numCache>
                <c:formatCode>0</c:formatCode>
                <c:ptCount val="15"/>
                <c:pt idx="0">
                  <c:v>43.866666666666667</c:v>
                </c:pt>
                <c:pt idx="1">
                  <c:v>43.866666666666667</c:v>
                </c:pt>
                <c:pt idx="2">
                  <c:v>43.866666666666667</c:v>
                </c:pt>
                <c:pt idx="3">
                  <c:v>43.866666666666667</c:v>
                </c:pt>
                <c:pt idx="4">
                  <c:v>43.866666666666667</c:v>
                </c:pt>
                <c:pt idx="5">
                  <c:v>43.866666666666667</c:v>
                </c:pt>
                <c:pt idx="6">
                  <c:v>43.866666666666667</c:v>
                </c:pt>
                <c:pt idx="7">
                  <c:v>43.866666666666667</c:v>
                </c:pt>
                <c:pt idx="8">
                  <c:v>43.866666666666667</c:v>
                </c:pt>
                <c:pt idx="9">
                  <c:v>43.866666666666667</c:v>
                </c:pt>
                <c:pt idx="10">
                  <c:v>43.866666666666667</c:v>
                </c:pt>
                <c:pt idx="11">
                  <c:v>43.866666666666667</c:v>
                </c:pt>
                <c:pt idx="12">
                  <c:v>43.866666666666667</c:v>
                </c:pt>
                <c:pt idx="13">
                  <c:v>43.866666666666667</c:v>
                </c:pt>
                <c:pt idx="14">
                  <c:v>43.866666666666667</c:v>
                </c:pt>
              </c:numCache>
            </c:numRef>
          </c:xVal>
          <c:yVal>
            <c:numRef>
              <c:f>图5!$N$5:$N$19</c:f>
              <c:numCache>
                <c:formatCode>General</c:formatCode>
                <c:ptCount val="15"/>
                <c:pt idx="0">
                  <c:v>15.5</c:v>
                </c:pt>
                <c:pt idx="1">
                  <c:v>13.5</c:v>
                </c:pt>
                <c:pt idx="2">
                  <c:v>12.5</c:v>
                </c:pt>
                <c:pt idx="3">
                  <c:v>11.5</c:v>
                </c:pt>
                <c:pt idx="4">
                  <c:v>10.5</c:v>
                </c:pt>
                <c:pt idx="5">
                  <c:v>9.5</c:v>
                </c:pt>
                <c:pt idx="6">
                  <c:v>8.5</c:v>
                </c:pt>
                <c:pt idx="7">
                  <c:v>7.5</c:v>
                </c:pt>
                <c:pt idx="8">
                  <c:v>6.5</c:v>
                </c:pt>
                <c:pt idx="9">
                  <c:v>5.5</c:v>
                </c:pt>
                <c:pt idx="10">
                  <c:v>4.5</c:v>
                </c:pt>
                <c:pt idx="11">
                  <c:v>3.5</c:v>
                </c:pt>
                <c:pt idx="12">
                  <c:v>2.5</c:v>
                </c:pt>
                <c:pt idx="13">
                  <c:v>1.5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18-4DD1-BA6D-6BA2CDB7D022}"/>
            </c:ext>
          </c:extLst>
        </c:ser>
        <c:ser>
          <c:idx val="5"/>
          <c:order val="5"/>
          <c:tx>
            <c:strRef>
              <c:f>图5!$O$3</c:f>
              <c:strCache>
                <c:ptCount val="1"/>
                <c:pt idx="0">
                  <c:v>平均值111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4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3118-4DD1-BA6D-6BA2CDB7D022}"/>
              </c:ext>
            </c:extLst>
          </c:dPt>
          <c:dLbls>
            <c:dLbl>
              <c:idx val="14"/>
              <c:layout>
                <c:manualLayout>
                  <c:x val="-4.8974081364829398E-2"/>
                  <c:y val="3.48039751668445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6.8781332020997371E-2"/>
                      <c:h val="6.05701649795957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3118-4DD1-BA6D-6BA2CDB7D0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图5!$O$5:$O$19</c:f>
              <c:numCache>
                <c:formatCode>0</c:formatCode>
                <c:ptCount val="15"/>
                <c:pt idx="0">
                  <c:v>231.33333333333331</c:v>
                </c:pt>
                <c:pt idx="1">
                  <c:v>231.33333333333331</c:v>
                </c:pt>
                <c:pt idx="2">
                  <c:v>231.33333333333331</c:v>
                </c:pt>
                <c:pt idx="3">
                  <c:v>231.33333333333331</c:v>
                </c:pt>
                <c:pt idx="4">
                  <c:v>231.33333333333331</c:v>
                </c:pt>
                <c:pt idx="5">
                  <c:v>231.33333333333331</c:v>
                </c:pt>
                <c:pt idx="6">
                  <c:v>231.33333333333331</c:v>
                </c:pt>
                <c:pt idx="7">
                  <c:v>231.33333333333331</c:v>
                </c:pt>
                <c:pt idx="8">
                  <c:v>231.33333333333331</c:v>
                </c:pt>
                <c:pt idx="9">
                  <c:v>231.33333333333331</c:v>
                </c:pt>
                <c:pt idx="10">
                  <c:v>231.33333333333331</c:v>
                </c:pt>
                <c:pt idx="11">
                  <c:v>231.33333333333331</c:v>
                </c:pt>
                <c:pt idx="12">
                  <c:v>231.33333333333331</c:v>
                </c:pt>
                <c:pt idx="13">
                  <c:v>231.33333333333331</c:v>
                </c:pt>
                <c:pt idx="14">
                  <c:v>231.33333333333331</c:v>
                </c:pt>
              </c:numCache>
            </c:numRef>
          </c:xVal>
          <c:yVal>
            <c:numRef>
              <c:f>图5!$P$5:$P$19</c:f>
              <c:numCache>
                <c:formatCode>General</c:formatCode>
                <c:ptCount val="15"/>
                <c:pt idx="0">
                  <c:v>15.5</c:v>
                </c:pt>
                <c:pt idx="1">
                  <c:v>13.5</c:v>
                </c:pt>
                <c:pt idx="2">
                  <c:v>12.5</c:v>
                </c:pt>
                <c:pt idx="3">
                  <c:v>11.5</c:v>
                </c:pt>
                <c:pt idx="4">
                  <c:v>10.5</c:v>
                </c:pt>
                <c:pt idx="5">
                  <c:v>9.5</c:v>
                </c:pt>
                <c:pt idx="6">
                  <c:v>8.5</c:v>
                </c:pt>
                <c:pt idx="7">
                  <c:v>7.5</c:v>
                </c:pt>
                <c:pt idx="8">
                  <c:v>6.5</c:v>
                </c:pt>
                <c:pt idx="9">
                  <c:v>5.5</c:v>
                </c:pt>
                <c:pt idx="10">
                  <c:v>4.5</c:v>
                </c:pt>
                <c:pt idx="11">
                  <c:v>3.5</c:v>
                </c:pt>
                <c:pt idx="12">
                  <c:v>2.5</c:v>
                </c:pt>
                <c:pt idx="13">
                  <c:v>1.5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18-4DD1-BA6D-6BA2CDB7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511984"/>
        <c:axId val="574793240"/>
      </c:scatterChart>
      <c:catAx>
        <c:axId val="568091048"/>
        <c:scaling>
          <c:orientation val="maxMin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rPr>
                  <a:t>行业</a:t>
                </a:r>
              </a:p>
            </c:rich>
          </c:tx>
          <c:layout>
            <c:manualLayout>
              <c:xMode val="edge"/>
              <c:yMode val="edge"/>
              <c:x val="1.0916666666666667E-2"/>
              <c:y val="0.103662701222686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8091376"/>
        <c:crosses val="autoZero"/>
        <c:auto val="1"/>
        <c:lblAlgn val="ctr"/>
        <c:lblOffset val="100"/>
        <c:noMultiLvlLbl val="0"/>
      </c:catAx>
      <c:valAx>
        <c:axId val="568091376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r>
                  <a:rPr lang="zh-CN" altLang="en-US" sz="10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rPr>
                  <a:t>女性雇员占比</a:t>
                </a:r>
                <a:r>
                  <a:rPr lang="en-US" altLang="zh-CN" sz="10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rPr>
                  <a:t>%</a:t>
                </a:r>
                <a:endParaRPr lang="zh-CN" altLang="en-US" sz="1000">
                  <a:solidFill>
                    <a:schemeClr val="tx1">
                      <a:lumMod val="85000"/>
                      <a:lumOff val="15000"/>
                    </a:schemeClr>
                  </a:solidFill>
                  <a:latin typeface="ITC Officina Sans Std Book" panose="020B0506040203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0076295931758531"/>
              <c:y val="0.103494939996038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one"/>
        <c:crossAx val="568091048"/>
        <c:crosses val="autoZero"/>
        <c:crossBetween val="between"/>
      </c:valAx>
      <c:valAx>
        <c:axId val="574793240"/>
        <c:scaling>
          <c:orientation val="minMax"/>
          <c:max val="15"/>
          <c:min val="0"/>
        </c:scaling>
        <c:delete val="1"/>
        <c:axPos val="r"/>
        <c:numFmt formatCode="General" sourceLinked="1"/>
        <c:majorTickMark val="out"/>
        <c:minorTickMark val="none"/>
        <c:tickLblPos val="none"/>
        <c:crossAx val="602511984"/>
        <c:crosses val="max"/>
        <c:crossBetween val="midCat"/>
      </c:valAx>
      <c:valAx>
        <c:axId val="602511984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r>
                  <a:rPr lang="zh-CN" altLang="en-US" sz="1000">
                    <a:latin typeface="ITC Officina Sans Std Book" panose="020B0506040203020204" pitchFamily="34" charset="0"/>
                  </a:rPr>
                  <a:t>人均</a:t>
                </a:r>
                <a:r>
                  <a:rPr lang="en-US" altLang="zh-CN" sz="1000">
                    <a:latin typeface="ITC Officina Sans Std Book" panose="020B0506040203020204" pitchFamily="34" charset="0"/>
                  </a:rPr>
                  <a:t>GDP</a:t>
                </a:r>
                <a:r>
                  <a:rPr lang="zh-CN" altLang="en-US" sz="1000">
                    <a:latin typeface="ITC Officina Sans Std Book" panose="020B0506040203020204" pitchFamily="34" charset="0"/>
                  </a:rPr>
                  <a:t>产值</a:t>
                </a:r>
                <a:r>
                  <a:rPr lang="en-US" altLang="zh-CN" sz="1000">
                    <a:latin typeface="ITC Officina Sans Std Book" panose="020B0506040203020204" pitchFamily="34" charset="0"/>
                  </a:rPr>
                  <a:t>(</a:t>
                </a:r>
                <a:r>
                  <a:rPr lang="zh-CN" altLang="en-US" sz="1000">
                    <a:latin typeface="ITC Officina Sans Std Book" panose="020B0506040203020204" pitchFamily="34" charset="0"/>
                  </a:rPr>
                  <a:t>千美元</a:t>
                </a:r>
                <a:r>
                  <a:rPr lang="en-US" altLang="zh-CN" sz="1000">
                    <a:latin typeface="ITC Officina Sans Std Book" panose="020B0506040203020204" pitchFamily="34" charset="0"/>
                  </a:rPr>
                  <a:t>)</a:t>
                </a:r>
                <a:endParaRPr lang="zh-CN" altLang="en-US" sz="1000">
                  <a:latin typeface="ITC Officina Sans Std Book" panose="020B0506040203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451295931758532"/>
              <c:y val="0.1038307943378238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crossAx val="57479324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</a:rPr>
              <a:t>一些非欧国家的银行增加了他们的对外投资</a:t>
            </a:r>
            <a:endParaRPr lang="en-US" altLang="zh-CN" sz="1200">
              <a:solidFill>
                <a:schemeClr val="tx1">
                  <a:lumMod val="85000"/>
                  <a:lumOff val="15000"/>
                </a:schemeClr>
              </a:solidFill>
            </a:endParaRPr>
          </a:p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050">
                <a:solidFill>
                  <a:schemeClr val="bg1">
                    <a:lumMod val="50000"/>
                  </a:schemeClr>
                </a:solidFill>
              </a:rPr>
              <a:t>%</a:t>
            </a:r>
            <a:r>
              <a:rPr lang="zh-CN" altLang="en-US" sz="1050">
                <a:solidFill>
                  <a:schemeClr val="bg1">
                    <a:lumMod val="50000"/>
                  </a:schemeClr>
                </a:solidFill>
              </a:rPr>
              <a:t>对外投资占总资产的比</a:t>
            </a:r>
            <a:endParaRPr lang="zh-CN" sz="1000">
              <a:solidFill>
                <a:schemeClr val="bg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1.6666666666666666E-2"/>
          <c:y val="1.68776339265881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11111111111114"/>
          <c:y val="9.9660624764823749E-2"/>
          <c:w val="0.81043066491688553"/>
          <c:h val="0.819692762513654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图6!$G$5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98DBF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图6!$F$6:$F$12</c:f>
              <c:strCache>
                <c:ptCount val="7"/>
                <c:pt idx="0">
                  <c:v>加拿大</c:v>
                </c:pt>
                <c:pt idx="1">
                  <c:v>日本</c:v>
                </c:pt>
                <c:pt idx="2">
                  <c:v>澳大利亚</c:v>
                </c:pt>
                <c:pt idx="3">
                  <c:v>俄罗斯</c:v>
                </c:pt>
                <c:pt idx="4">
                  <c:v>印度</c:v>
                </c:pt>
                <c:pt idx="5">
                  <c:v>中国</c:v>
                </c:pt>
                <c:pt idx="6">
                  <c:v>巴西</c:v>
                </c:pt>
              </c:strCache>
            </c:strRef>
          </c:cat>
          <c:val>
            <c:numRef>
              <c:f>图6!$G$6:$G$12</c:f>
              <c:numCache>
                <c:formatCode>General</c:formatCode>
                <c:ptCount val="7"/>
                <c:pt idx="0">
                  <c:v>38</c:v>
                </c:pt>
                <c:pt idx="1">
                  <c:v>17</c:v>
                </c:pt>
                <c:pt idx="2">
                  <c:v>29</c:v>
                </c:pt>
                <c:pt idx="3">
                  <c:v>7</c:v>
                </c:pt>
                <c:pt idx="4">
                  <c:v>9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8-492C-BEC1-24E416E92FBA}"/>
            </c:ext>
          </c:extLst>
        </c:ser>
        <c:ser>
          <c:idx val="1"/>
          <c:order val="1"/>
          <c:tx>
            <c:strRef>
              <c:f>图6!$H$5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0AA8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图6!$F$6:$F$12</c:f>
              <c:strCache>
                <c:ptCount val="7"/>
                <c:pt idx="0">
                  <c:v>加拿大</c:v>
                </c:pt>
                <c:pt idx="1">
                  <c:v>日本</c:v>
                </c:pt>
                <c:pt idx="2">
                  <c:v>澳大利亚</c:v>
                </c:pt>
                <c:pt idx="3">
                  <c:v>俄罗斯</c:v>
                </c:pt>
                <c:pt idx="4">
                  <c:v>印度</c:v>
                </c:pt>
                <c:pt idx="5">
                  <c:v>中国</c:v>
                </c:pt>
                <c:pt idx="6">
                  <c:v>巴西</c:v>
                </c:pt>
              </c:strCache>
            </c:strRef>
          </c:cat>
          <c:val>
            <c:numRef>
              <c:f>图6!$H$6:$H$12</c:f>
              <c:numCache>
                <c:formatCode>General</c:formatCode>
                <c:ptCount val="7"/>
                <c:pt idx="0">
                  <c:v>50</c:v>
                </c:pt>
                <c:pt idx="1">
                  <c:v>25</c:v>
                </c:pt>
                <c:pt idx="2">
                  <c:v>20</c:v>
                </c:pt>
                <c:pt idx="3">
                  <c:v>18</c:v>
                </c:pt>
                <c:pt idx="4">
                  <c:v>13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8-492C-BEC1-24E416E92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1759112"/>
        <c:axId val="651762064"/>
      </c:barChart>
      <c:scatterChart>
        <c:scatterStyle val="lineMarker"/>
        <c:varyColors val="0"/>
        <c:ser>
          <c:idx val="2"/>
          <c:order val="2"/>
          <c:tx>
            <c:strRef>
              <c:f>图6!$K$4</c:f>
              <c:strCache>
                <c:ptCount val="1"/>
                <c:pt idx="0">
                  <c:v>helper1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2.5000000000000102E-2"/>
                  <c:y val="-2.4110905609411684E-3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12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AE8-492C-BEC1-24E416E92F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AD4C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图6!$K$6:$K$7</c:f>
              <c:numCache>
                <c:formatCode>General</c:formatCode>
                <c:ptCount val="2"/>
                <c:pt idx="0">
                  <c:v>38</c:v>
                </c:pt>
                <c:pt idx="1">
                  <c:v>50</c:v>
                </c:pt>
              </c:numCache>
            </c:numRef>
          </c:xVal>
          <c:yVal>
            <c:numRef>
              <c:f>图6!$L$6:$L$7</c:f>
              <c:numCache>
                <c:formatCode>General</c:formatCode>
                <c:ptCount val="2"/>
                <c:pt idx="0">
                  <c:v>18.850000000000001</c:v>
                </c:pt>
                <c:pt idx="1">
                  <c:v>18.850000000000001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E8-492C-BEC1-24E416E92FBA}"/>
            </c:ext>
          </c:extLst>
        </c:ser>
        <c:ser>
          <c:idx val="3"/>
          <c:order val="3"/>
          <c:tx>
            <c:strRef>
              <c:f>图6!$M$4</c:f>
              <c:strCache>
                <c:ptCount val="1"/>
                <c:pt idx="0">
                  <c:v>helper2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2.2222222222222223E-2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8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AE8-492C-BEC1-24E416E92F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AD4C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图6!$M$6:$M$7</c:f>
              <c:numCache>
                <c:formatCode>General</c:formatCode>
                <c:ptCount val="2"/>
                <c:pt idx="0">
                  <c:v>17</c:v>
                </c:pt>
                <c:pt idx="1">
                  <c:v>25</c:v>
                </c:pt>
              </c:numCache>
            </c:numRef>
          </c:xVal>
          <c:yVal>
            <c:numRef>
              <c:f>图6!$N$6:$N$7</c:f>
              <c:numCache>
                <c:formatCode>General</c:formatCode>
                <c:ptCount val="2"/>
                <c:pt idx="0">
                  <c:v>15.75</c:v>
                </c:pt>
                <c:pt idx="1">
                  <c:v>15.75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E8-492C-BEC1-24E416E92FBA}"/>
            </c:ext>
          </c:extLst>
        </c:ser>
        <c:ser>
          <c:idx val="4"/>
          <c:order val="4"/>
          <c:tx>
            <c:strRef>
              <c:f>图6!$O$4</c:f>
              <c:strCache>
                <c:ptCount val="1"/>
                <c:pt idx="0">
                  <c:v>helper3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Pt>
            <c:idx val="0"/>
            <c:marker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FAE8-492C-BEC1-24E416E92FBA}"/>
              </c:ext>
            </c:extLst>
          </c:dPt>
          <c:dLbls>
            <c:dLbl>
              <c:idx val="0"/>
              <c:layout>
                <c:manualLayout>
                  <c:x val="-2.2222222222222223E-2"/>
                  <c:y val="-2.411090560941168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BC1E24"/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r>
                      <a:rPr lang="en-US" altLang="zh-CN" sz="1000" b="1">
                        <a:solidFill>
                          <a:srgbClr val="BC1E24"/>
                        </a:solidFill>
                      </a:rPr>
                      <a:t>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AE8-492C-BEC1-24E416E92F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图6!$O$6:$O$7</c:f>
              <c:numCache>
                <c:formatCode>General</c:formatCode>
                <c:ptCount val="2"/>
                <c:pt idx="0">
                  <c:v>29</c:v>
                </c:pt>
                <c:pt idx="1">
                  <c:v>20</c:v>
                </c:pt>
              </c:numCache>
            </c:numRef>
          </c:xVal>
          <c:yVal>
            <c:numRef>
              <c:f>图6!$P$6:$P$7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AE8-492C-BEC1-24E416E92FBA}"/>
            </c:ext>
          </c:extLst>
        </c:ser>
        <c:ser>
          <c:idx val="5"/>
          <c:order val="5"/>
          <c:tx>
            <c:strRef>
              <c:f>图6!$Q$4</c:f>
              <c:strCache>
                <c:ptCount val="1"/>
                <c:pt idx="0">
                  <c:v>helper4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2.2222222222222272E-2"/>
                  <c:y val="-8.8405632631764054E-17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sz="1000" b="1">
                        <a:solidFill>
                          <a:srgbClr val="00AD4C"/>
                        </a:solidFill>
                      </a:rPr>
                      <a:t>11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AE8-492C-BEC1-24E416E92F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图6!$Q$6:$Q$7</c:f>
              <c:numCache>
                <c:formatCode>General</c:formatCode>
                <c:ptCount val="2"/>
                <c:pt idx="0">
                  <c:v>7</c:v>
                </c:pt>
                <c:pt idx="1">
                  <c:v>18</c:v>
                </c:pt>
              </c:numCache>
            </c:numRef>
          </c:xVal>
          <c:yVal>
            <c:numRef>
              <c:f>图6!$R$6:$R$7</c:f>
              <c:numCache>
                <c:formatCode>General</c:formatCode>
                <c:ptCount val="2"/>
                <c:pt idx="0">
                  <c:v>9.5</c:v>
                </c:pt>
                <c:pt idx="1">
                  <c:v>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AE8-492C-BEC1-24E416E92FBA}"/>
            </c:ext>
          </c:extLst>
        </c:ser>
        <c:ser>
          <c:idx val="6"/>
          <c:order val="6"/>
          <c:tx>
            <c:strRef>
              <c:f>图6!$S$4</c:f>
              <c:strCache>
                <c:ptCount val="1"/>
                <c:pt idx="0">
                  <c:v>helper5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1.9444444444444497E-2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sz="1000" b="1">
                        <a:solidFill>
                          <a:srgbClr val="00AD4C"/>
                        </a:solidFill>
                      </a:rPr>
                      <a:t>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AE8-492C-BEC1-24E416E92F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图6!$S$6:$S$7</c:f>
              <c:numCache>
                <c:formatCode>General</c:formatCode>
                <c:ptCount val="2"/>
                <c:pt idx="0">
                  <c:v>9</c:v>
                </c:pt>
                <c:pt idx="1">
                  <c:v>13</c:v>
                </c:pt>
              </c:numCache>
            </c:numRef>
          </c:xVal>
          <c:yVal>
            <c:numRef>
              <c:f>图6!$T$6:$T$7</c:f>
              <c:numCache>
                <c:formatCode>General</c:formatCode>
                <c:ptCount val="2"/>
                <c:pt idx="0">
                  <c:v>6.25</c:v>
                </c:pt>
                <c:pt idx="1">
                  <c:v>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AE8-492C-BEC1-24E416E92FBA}"/>
            </c:ext>
          </c:extLst>
        </c:ser>
        <c:ser>
          <c:idx val="7"/>
          <c:order val="7"/>
          <c:tx>
            <c:strRef>
              <c:f>图6!$U$4</c:f>
              <c:strCache>
                <c:ptCount val="1"/>
                <c:pt idx="0">
                  <c:v>helper6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2.2222222222222223E-2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sz="1000" b="1">
                        <a:solidFill>
                          <a:srgbClr val="00AD4C"/>
                        </a:solidFill>
                      </a:rPr>
                      <a:t>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AE8-492C-BEC1-24E416E92F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图6!$U$6:$U$7</c:f>
              <c:numCache>
                <c:formatCode>General</c:formatCode>
                <c:ptCount val="2"/>
                <c:pt idx="0">
                  <c:v>2</c:v>
                </c:pt>
                <c:pt idx="1">
                  <c:v>9</c:v>
                </c:pt>
              </c:numCache>
            </c:numRef>
          </c:xVal>
          <c:yVal>
            <c:numRef>
              <c:f>图6!$V$6:$V$7</c:f>
              <c:numCache>
                <c:formatCode>General</c:formatCode>
                <c:ptCount val="2"/>
                <c:pt idx="0">
                  <c:v>3.1</c:v>
                </c:pt>
                <c:pt idx="1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AE8-492C-BEC1-24E416E92FBA}"/>
            </c:ext>
          </c:extLst>
        </c:ser>
        <c:ser>
          <c:idx val="8"/>
          <c:order val="8"/>
          <c:tx>
            <c:strRef>
              <c:f>图6!$W$4</c:f>
              <c:strCache>
                <c:ptCount val="1"/>
                <c:pt idx="0">
                  <c:v>helper7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2.2222222222222223E-2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="1">
                        <a:solidFill>
                          <a:srgbClr val="00AD4C"/>
                        </a:solidFill>
                      </a:rPr>
                      <a:t>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AE8-492C-BEC1-24E416E92F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图6!$W$6:$W$7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xVal>
          <c:yVal>
            <c:numRef>
              <c:f>图6!$X$6:$X$7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AE8-492C-BEC1-24E416E92FBA}"/>
            </c:ext>
          </c:extLst>
        </c:ser>
        <c:ser>
          <c:idx val="9"/>
          <c:order val="9"/>
          <c:tx>
            <c:v>helper8</c:v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xVal>
            <c:numRef>
              <c:f>图6!$O$8</c:f>
              <c:numCache>
                <c:formatCode>General</c:formatCode>
                <c:ptCount val="1"/>
                <c:pt idx="0">
                  <c:v>29.1</c:v>
                </c:pt>
              </c:numCache>
            </c:numRef>
          </c:xVal>
          <c:yVal>
            <c:numRef>
              <c:f>图6!$P$8</c:f>
              <c:numCache>
                <c:formatCode>General</c:formatCode>
                <c:ptCount val="1"/>
                <c:pt idx="0">
                  <c:v>13.5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AE8-492C-BEC1-24E416E92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798672"/>
        <c:axId val="651809168"/>
      </c:scatterChart>
      <c:catAx>
        <c:axId val="651759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51762064"/>
        <c:crosses val="autoZero"/>
        <c:auto val="1"/>
        <c:lblAlgn val="ctr"/>
        <c:lblOffset val="100"/>
        <c:noMultiLvlLbl val="0"/>
      </c:catAx>
      <c:valAx>
        <c:axId val="65176206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51759112"/>
        <c:crosses val="autoZero"/>
        <c:crossBetween val="between"/>
      </c:valAx>
      <c:valAx>
        <c:axId val="651809168"/>
        <c:scaling>
          <c:orientation val="minMax"/>
          <c:max val="22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51798672"/>
        <c:crosses val="max"/>
        <c:crossBetween val="midCat"/>
      </c:valAx>
      <c:valAx>
        <c:axId val="651798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1809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73367147856517934"/>
          <c:y val="5.5813708891380563E-2"/>
          <c:w val="0.21388976377952759"/>
          <c:h val="4.3862103845480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120014</xdr:rowOff>
    </xdr:from>
    <xdr:to>
      <xdr:col>10</xdr:col>
      <xdr:colOff>38100</xdr:colOff>
      <xdr:row>27</xdr:row>
      <xdr:rowOff>120014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37</xdr:row>
      <xdr:rowOff>76200</xdr:rowOff>
    </xdr:from>
    <xdr:to>
      <xdr:col>7</xdr:col>
      <xdr:colOff>76200</xdr:colOff>
      <xdr:row>38</xdr:row>
      <xdr:rowOff>76200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317DB98C-2A5C-42D2-A65C-0585BB8547DE}"/>
            </a:ext>
          </a:extLst>
        </xdr:cNvPr>
        <xdr:cNvSpPr/>
      </xdr:nvSpPr>
      <xdr:spPr>
        <a:xfrm>
          <a:off x="2381250" y="6772275"/>
          <a:ext cx="2514600" cy="1809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5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数据来源：经济学人智库预测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2</xdr:row>
      <xdr:rowOff>120013</xdr:rowOff>
    </xdr:from>
    <xdr:to>
      <xdr:col>10</xdr:col>
      <xdr:colOff>106680</xdr:colOff>
      <xdr:row>26</xdr:row>
      <xdr:rowOff>120014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C45B2EA-68FD-4EBD-96F3-9929402FA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32</xdr:row>
      <xdr:rowOff>57150</xdr:rowOff>
    </xdr:from>
    <xdr:to>
      <xdr:col>8</xdr:col>
      <xdr:colOff>238125</xdr:colOff>
      <xdr:row>33</xdr:row>
      <xdr:rowOff>152400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569A2C5D-6C0D-47FF-9BBA-281B2ED617B5}"/>
            </a:ext>
          </a:extLst>
        </xdr:cNvPr>
        <xdr:cNvSpPr/>
      </xdr:nvSpPr>
      <xdr:spPr>
        <a:xfrm>
          <a:off x="2152650" y="5848350"/>
          <a:ext cx="2619375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资料来源：经济学人智库报告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180974</xdr:rowOff>
    </xdr:from>
    <xdr:to>
      <xdr:col>16</xdr:col>
      <xdr:colOff>304800</xdr:colOff>
      <xdr:row>29</xdr:row>
      <xdr:rowOff>180974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81914</xdr:rowOff>
    </xdr:from>
    <xdr:to>
      <xdr:col>11</xdr:col>
      <xdr:colOff>144780</xdr:colOff>
      <xdr:row>31</xdr:row>
      <xdr:rowOff>81914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310515</xdr:colOff>
      <xdr:row>10</xdr:row>
      <xdr:rowOff>93345</xdr:rowOff>
    </xdr:from>
    <xdr:to>
      <xdr:col>10</xdr:col>
      <xdr:colOff>360045</xdr:colOff>
      <xdr:row>31</xdr:row>
      <xdr:rowOff>140970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5EED92F-4763-4540-9A5D-7E1F280853EF}"/>
            </a:ext>
          </a:extLst>
        </xdr:cNvPr>
        <xdr:cNvSpPr/>
      </xdr:nvSpPr>
      <xdr:spPr>
        <a:xfrm>
          <a:off x="561975" y="1769745"/>
          <a:ext cx="5695950" cy="3568065"/>
        </a:xfrm>
        <a:prstGeom prst="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28575</xdr:colOff>
      <xdr:row>29</xdr:row>
      <xdr:rowOff>171450</xdr:rowOff>
    </xdr:from>
    <xdr:to>
      <xdr:col>17</xdr:col>
      <xdr:colOff>314325</xdr:colOff>
      <xdr:row>31</xdr:row>
      <xdr:rowOff>9525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4448E87-69F3-44A4-9EB4-065CE091B277}"/>
            </a:ext>
          </a:extLst>
        </xdr:cNvPr>
        <xdr:cNvSpPr/>
      </xdr:nvSpPr>
      <xdr:spPr>
        <a:xfrm>
          <a:off x="7343775" y="5419725"/>
          <a:ext cx="333375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/>
              </a:solidFill>
              <a:latin typeface="+mn-ea"/>
              <a:ea typeface="+mn-ea"/>
            </a:rPr>
            <a:t>数据来源：经济学人报告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16</xdr:row>
      <xdr:rowOff>28574</xdr:rowOff>
    </xdr:from>
    <xdr:to>
      <xdr:col>11</xdr:col>
      <xdr:colOff>269925</xdr:colOff>
      <xdr:row>16</xdr:row>
      <xdr:rowOff>136574</xdr:rowOff>
    </xdr:to>
    <xdr:sp macro="" textlink="">
      <xdr:nvSpPr>
        <xdr:cNvPr id="3" name="等腰三角形 2">
          <a:extLst>
            <a:ext uri="{FF2B5EF4-FFF2-40B4-BE49-F238E27FC236}">
              <a16:creationId xmlns:a16="http://schemas.microsoft.com/office/drawing/2014/main" id="{0B986AA8-BC94-4E20-A152-ECEB2951DB44}"/>
            </a:ext>
          </a:extLst>
        </xdr:cNvPr>
        <xdr:cNvSpPr/>
      </xdr:nvSpPr>
      <xdr:spPr>
        <a:xfrm>
          <a:off x="8791575" y="2924174"/>
          <a:ext cx="108000" cy="108000"/>
        </a:xfrm>
        <a:prstGeom prst="triangle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absolute">
    <xdr:from>
      <xdr:col>0</xdr:col>
      <xdr:colOff>198120</xdr:colOff>
      <xdr:row>19</xdr:row>
      <xdr:rowOff>51433</xdr:rowOff>
    </xdr:from>
    <xdr:to>
      <xdr:col>8</xdr:col>
      <xdr:colOff>318135</xdr:colOff>
      <xdr:row>52</xdr:row>
      <xdr:rowOff>53340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4C66BB6-0886-4EF7-9ADE-2C3D6FA8A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51</xdr:row>
      <xdr:rowOff>76200</xdr:rowOff>
    </xdr:from>
    <xdr:to>
      <xdr:col>10</xdr:col>
      <xdr:colOff>590550</xdr:colOff>
      <xdr:row>52</xdr:row>
      <xdr:rowOff>133350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C882AD3F-38E2-4CFA-9163-9C2CD2914652}"/>
            </a:ext>
          </a:extLst>
        </xdr:cNvPr>
        <xdr:cNvSpPr/>
      </xdr:nvSpPr>
      <xdr:spPr>
        <a:xfrm>
          <a:off x="4010025" y="9305925"/>
          <a:ext cx="3638550" cy="238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资料来源</a:t>
          </a:r>
          <a:r>
            <a:rPr lang="en-US" altLang="zh-CN" sz="9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: </a:t>
          </a:r>
          <a:r>
            <a:rPr lang="zh-CN" altLang="en-US" sz="9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加拿大统计局</a:t>
          </a:r>
          <a:r>
            <a:rPr lang="en-US" altLang="zh-CN" sz="9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;</a:t>
          </a:r>
          <a:r>
            <a:rPr lang="zh-CN" altLang="en-US" sz="9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加拿大劳工调查</a:t>
          </a:r>
          <a:r>
            <a:rPr lang="en-US" altLang="zh-CN" sz="9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;</a:t>
          </a:r>
          <a:r>
            <a:rPr lang="zh-CN" altLang="en-US" sz="9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麦肯锡全球研究院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2</xdr:row>
      <xdr:rowOff>9524</xdr:rowOff>
    </xdr:from>
    <xdr:to>
      <xdr:col>11</xdr:col>
      <xdr:colOff>502920</xdr:colOff>
      <xdr:row>31</xdr:row>
      <xdr:rowOff>0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A7C258FF-1509-4A98-B4F1-77411ED2EAF3}"/>
            </a:ext>
          </a:extLst>
        </xdr:cNvPr>
        <xdr:cNvGrpSpPr/>
      </xdr:nvGrpSpPr>
      <xdr:grpSpPr>
        <a:xfrm>
          <a:off x="2278380" y="344804"/>
          <a:ext cx="4572000" cy="4867276"/>
          <a:chOff x="2689860" y="2188844"/>
          <a:chExt cx="4572000" cy="4867276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3DF3CEFB-1CC8-41A6-BF9C-515B51934A73}"/>
              </a:ext>
            </a:extLst>
          </xdr:cNvPr>
          <xdr:cNvGraphicFramePr/>
        </xdr:nvGraphicFramePr>
        <xdr:xfrm>
          <a:off x="2689860" y="2188844"/>
          <a:ext cx="4572000" cy="48672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箭头: 右 7">
            <a:extLst>
              <a:ext uri="{FF2B5EF4-FFF2-40B4-BE49-F238E27FC236}">
                <a16:creationId xmlns:a16="http://schemas.microsoft.com/office/drawing/2014/main" id="{654690C4-70E8-4AB8-B59C-7C9944E10637}"/>
              </a:ext>
            </a:extLst>
          </xdr:cNvPr>
          <xdr:cNvSpPr/>
        </xdr:nvSpPr>
        <xdr:spPr>
          <a:xfrm>
            <a:off x="5699760" y="3194684"/>
            <a:ext cx="738000" cy="112665"/>
          </a:xfrm>
          <a:prstGeom prst="rightArrow">
            <a:avLst/>
          </a:prstGeom>
          <a:solidFill>
            <a:srgbClr val="00AD4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9" name="箭头: 右 8">
            <a:extLst>
              <a:ext uri="{FF2B5EF4-FFF2-40B4-BE49-F238E27FC236}">
                <a16:creationId xmlns:a16="http://schemas.microsoft.com/office/drawing/2014/main" id="{B5A597E7-BB99-4435-8418-2FD18335AA07}"/>
              </a:ext>
            </a:extLst>
          </xdr:cNvPr>
          <xdr:cNvSpPr/>
        </xdr:nvSpPr>
        <xdr:spPr>
          <a:xfrm>
            <a:off x="4404360" y="3750944"/>
            <a:ext cx="496800" cy="118380"/>
          </a:xfrm>
          <a:prstGeom prst="rightArrow">
            <a:avLst/>
          </a:prstGeom>
          <a:solidFill>
            <a:srgbClr val="00AD4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" name="箭头: 左 9">
            <a:extLst>
              <a:ext uri="{FF2B5EF4-FFF2-40B4-BE49-F238E27FC236}">
                <a16:creationId xmlns:a16="http://schemas.microsoft.com/office/drawing/2014/main" id="{7BA87D32-796E-4F52-BC99-FAED0D3B14D0}"/>
              </a:ext>
            </a:extLst>
          </xdr:cNvPr>
          <xdr:cNvSpPr/>
        </xdr:nvSpPr>
        <xdr:spPr>
          <a:xfrm>
            <a:off x="4575810" y="4339589"/>
            <a:ext cx="568800" cy="112665"/>
          </a:xfrm>
          <a:prstGeom prst="leftArrow">
            <a:avLst/>
          </a:prstGeom>
          <a:solidFill>
            <a:srgbClr val="BC1E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" name="箭头: 右 10">
            <a:extLst>
              <a:ext uri="{FF2B5EF4-FFF2-40B4-BE49-F238E27FC236}">
                <a16:creationId xmlns:a16="http://schemas.microsoft.com/office/drawing/2014/main" id="{33E4781E-3CDF-422F-98E3-D228838FAD66}"/>
              </a:ext>
            </a:extLst>
          </xdr:cNvPr>
          <xdr:cNvSpPr/>
        </xdr:nvSpPr>
        <xdr:spPr>
          <a:xfrm>
            <a:off x="3785234" y="4886324"/>
            <a:ext cx="676800" cy="126000"/>
          </a:xfrm>
          <a:prstGeom prst="rightArrow">
            <a:avLst/>
          </a:prstGeom>
          <a:solidFill>
            <a:srgbClr val="00AD4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2" name="箭头: 右 11">
            <a:extLst>
              <a:ext uri="{FF2B5EF4-FFF2-40B4-BE49-F238E27FC236}">
                <a16:creationId xmlns:a16="http://schemas.microsoft.com/office/drawing/2014/main" id="{DE88E7AE-9111-4355-8C49-4EEE7576707D}"/>
              </a:ext>
            </a:extLst>
          </xdr:cNvPr>
          <xdr:cNvSpPr/>
        </xdr:nvSpPr>
        <xdr:spPr>
          <a:xfrm>
            <a:off x="3909060" y="5484494"/>
            <a:ext cx="244800" cy="112665"/>
          </a:xfrm>
          <a:prstGeom prst="rightArrow">
            <a:avLst/>
          </a:prstGeom>
          <a:solidFill>
            <a:srgbClr val="00AD4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3" name="箭头: 右 12">
            <a:extLst>
              <a:ext uri="{FF2B5EF4-FFF2-40B4-BE49-F238E27FC236}">
                <a16:creationId xmlns:a16="http://schemas.microsoft.com/office/drawing/2014/main" id="{8F3346E5-D8AE-4ABB-A605-C7C8F04C0F56}"/>
              </a:ext>
            </a:extLst>
          </xdr:cNvPr>
          <xdr:cNvSpPr/>
        </xdr:nvSpPr>
        <xdr:spPr>
          <a:xfrm>
            <a:off x="3470909" y="6054089"/>
            <a:ext cx="439200" cy="112665"/>
          </a:xfrm>
          <a:prstGeom prst="rightArrow">
            <a:avLst/>
          </a:prstGeom>
          <a:solidFill>
            <a:srgbClr val="00AD4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4" name="箭头: 右 13">
            <a:extLst>
              <a:ext uri="{FF2B5EF4-FFF2-40B4-BE49-F238E27FC236}">
                <a16:creationId xmlns:a16="http://schemas.microsoft.com/office/drawing/2014/main" id="{970C0E64-15F8-41CE-90B5-760AB7A776C0}"/>
              </a:ext>
            </a:extLst>
          </xdr:cNvPr>
          <xdr:cNvSpPr/>
        </xdr:nvSpPr>
        <xdr:spPr>
          <a:xfrm>
            <a:off x="3480434" y="6610349"/>
            <a:ext cx="367200" cy="112665"/>
          </a:xfrm>
          <a:prstGeom prst="rightArrow">
            <a:avLst/>
          </a:prstGeom>
          <a:solidFill>
            <a:srgbClr val="00AD4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5" name="矩形: 圆角 14">
            <a:extLst>
              <a:ext uri="{FF2B5EF4-FFF2-40B4-BE49-F238E27FC236}">
                <a16:creationId xmlns:a16="http://schemas.microsoft.com/office/drawing/2014/main" id="{E05BB7C0-7F9A-4593-9A1A-650653305DC0}"/>
              </a:ext>
            </a:extLst>
          </xdr:cNvPr>
          <xdr:cNvSpPr/>
        </xdr:nvSpPr>
        <xdr:spPr>
          <a:xfrm>
            <a:off x="2699385" y="6863715"/>
            <a:ext cx="4248150" cy="15811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zh-CN" altLang="en-US" sz="900">
                <a:solidFill>
                  <a:schemeClr val="tx1">
                    <a:lumMod val="85000"/>
                    <a:lumOff val="15000"/>
                  </a:schemeClr>
                </a:solidFill>
              </a:rPr>
              <a:t>数据来源：银行财报</a:t>
            </a:r>
            <a:r>
              <a:rPr lang="en-US" altLang="zh-CN" sz="900">
                <a:solidFill>
                  <a:schemeClr val="tx1">
                    <a:lumMod val="85000"/>
                    <a:lumOff val="15000"/>
                  </a:schemeClr>
                </a:solidFill>
              </a:rPr>
              <a:t>; </a:t>
            </a:r>
            <a:r>
              <a:rPr lang="zh-CN" altLang="en-US" sz="900">
                <a:solidFill>
                  <a:schemeClr val="tx1">
                    <a:lumMod val="85000"/>
                    <a:lumOff val="15000"/>
                  </a:schemeClr>
                </a:solidFill>
              </a:rPr>
              <a:t>标准普尔</a:t>
            </a:r>
            <a:r>
              <a:rPr lang="en-US" altLang="zh-CN" sz="900">
                <a:solidFill>
                  <a:schemeClr val="tx1">
                    <a:lumMod val="85000"/>
                    <a:lumOff val="15000"/>
                  </a:schemeClr>
                </a:solidFill>
              </a:rPr>
              <a:t>; </a:t>
            </a:r>
            <a:r>
              <a:rPr lang="zh-CN" altLang="en-US" sz="900">
                <a:solidFill>
                  <a:schemeClr val="tx1">
                    <a:lumMod val="85000"/>
                    <a:lumOff val="15000"/>
                  </a:schemeClr>
                </a:solidFill>
              </a:rPr>
              <a:t>澳大利亚金融管理局</a:t>
            </a:r>
            <a:r>
              <a:rPr lang="en-US" altLang="zh-CN" sz="900">
                <a:solidFill>
                  <a:schemeClr val="tx1">
                    <a:lumMod val="85000"/>
                    <a:lumOff val="15000"/>
                  </a:schemeClr>
                </a:solidFill>
              </a:rPr>
              <a:t>; </a:t>
            </a:r>
            <a:r>
              <a:rPr lang="zh-CN" altLang="en-US" sz="900">
                <a:solidFill>
                  <a:schemeClr val="tx1">
                    <a:lumMod val="85000"/>
                    <a:lumOff val="15000"/>
                  </a:schemeClr>
                </a:solidFill>
              </a:rPr>
              <a:t>麦肯锡全球研究院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3545;&#20013;&#22269;&#24433;&#21709;&#21147;&#30340;&#30475;&#27861;%20by%20Tarz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2270;&#34920;\&#32769;&#33487;&#22270;&#34920;&#38598;\CURRENT_Statistical-Portrait-of-the-Foreign-Born-2015_FINA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堆积条形图"/>
      <sheetName val="蝴蝶图"/>
    </sheetNames>
    <sheetDataSet>
      <sheetData sheetId="0"/>
      <sheetData sheetId="1">
        <row r="3">
          <cell r="F3" t="str">
            <v>辅助列2</v>
          </cell>
          <cell r="G3" t="str">
            <v>主要正面</v>
          </cell>
          <cell r="H3" t="str">
            <v>辅助列1</v>
          </cell>
          <cell r="I3" t="str">
            <v>主要负面</v>
          </cell>
        </row>
        <row r="4">
          <cell r="E4" t="str">
            <v>加拿大</v>
          </cell>
          <cell r="F4">
            <v>0</v>
          </cell>
          <cell r="G4">
            <v>37</v>
          </cell>
          <cell r="H4">
            <v>62</v>
          </cell>
          <cell r="I4">
            <v>51</v>
          </cell>
        </row>
        <row r="5">
          <cell r="E5" t="str">
            <v>美国</v>
          </cell>
          <cell r="F5">
            <v>0</v>
          </cell>
          <cell r="G5">
            <v>22</v>
          </cell>
          <cell r="H5">
            <v>58</v>
          </cell>
          <cell r="I5">
            <v>70</v>
          </cell>
        </row>
        <row r="6">
          <cell r="E6" t="str">
            <v>墨西哥</v>
          </cell>
          <cell r="F6">
            <v>0</v>
          </cell>
          <cell r="G6">
            <v>55</v>
          </cell>
          <cell r="H6">
            <v>69</v>
          </cell>
          <cell r="I6">
            <v>26</v>
          </cell>
        </row>
        <row r="7">
          <cell r="E7" t="str">
            <v>秘鲁</v>
          </cell>
          <cell r="F7">
            <v>0</v>
          </cell>
          <cell r="G7">
            <v>49</v>
          </cell>
          <cell r="H7">
            <v>67</v>
          </cell>
          <cell r="I7">
            <v>34</v>
          </cell>
        </row>
        <row r="8">
          <cell r="E8" t="str">
            <v>巴西</v>
          </cell>
          <cell r="F8">
            <v>0</v>
          </cell>
          <cell r="G8">
            <v>45</v>
          </cell>
          <cell r="H8">
            <v>67</v>
          </cell>
          <cell r="I8">
            <v>38</v>
          </cell>
        </row>
        <row r="9">
          <cell r="E9" t="str">
            <v>英国</v>
          </cell>
          <cell r="F9">
            <v>0</v>
          </cell>
          <cell r="G9">
            <v>37</v>
          </cell>
          <cell r="H9">
            <v>55</v>
          </cell>
          <cell r="I9">
            <v>58</v>
          </cell>
        </row>
        <row r="10">
          <cell r="E10" t="str">
            <v>希腊</v>
          </cell>
          <cell r="F10">
            <v>0</v>
          </cell>
          <cell r="G10">
            <v>37</v>
          </cell>
          <cell r="H10">
            <v>88</v>
          </cell>
          <cell r="I10">
            <v>25</v>
          </cell>
        </row>
        <row r="11">
          <cell r="E11" t="str">
            <v>法国</v>
          </cell>
          <cell r="F11">
            <v>0</v>
          </cell>
          <cell r="G11">
            <v>35</v>
          </cell>
          <cell r="H11">
            <v>55</v>
          </cell>
          <cell r="I11">
            <v>60</v>
          </cell>
        </row>
        <row r="12">
          <cell r="E12" t="str">
            <v>德国</v>
          </cell>
          <cell r="F12">
            <v>0</v>
          </cell>
          <cell r="G12">
            <v>20</v>
          </cell>
          <cell r="H12">
            <v>95</v>
          </cell>
          <cell r="I12">
            <v>35</v>
          </cell>
        </row>
        <row r="13">
          <cell r="E13" t="str">
            <v>西班牙</v>
          </cell>
          <cell r="F13">
            <v>0</v>
          </cell>
          <cell r="G13">
            <v>15</v>
          </cell>
          <cell r="H13">
            <v>67</v>
          </cell>
          <cell r="I13">
            <v>68</v>
          </cell>
        </row>
        <row r="14">
          <cell r="E14" t="str">
            <v>俄罗斯</v>
          </cell>
          <cell r="F14">
            <v>0</v>
          </cell>
          <cell r="G14">
            <v>44</v>
          </cell>
          <cell r="H14">
            <v>83</v>
          </cell>
          <cell r="I14">
            <v>23</v>
          </cell>
        </row>
        <row r="15">
          <cell r="E15" t="str">
            <v>土耳其</v>
          </cell>
          <cell r="F15">
            <v>0</v>
          </cell>
          <cell r="G15">
            <v>29</v>
          </cell>
          <cell r="H15">
            <v>67</v>
          </cell>
          <cell r="I15">
            <v>54</v>
          </cell>
        </row>
        <row r="16">
          <cell r="E16" t="str">
            <v>尼日利亚</v>
          </cell>
          <cell r="F16">
            <v>0</v>
          </cell>
          <cell r="G16">
            <v>83</v>
          </cell>
          <cell r="H16">
            <v>58</v>
          </cell>
          <cell r="I16">
            <v>9</v>
          </cell>
        </row>
        <row r="17">
          <cell r="E17" t="str">
            <v>肯尼亚</v>
          </cell>
          <cell r="F17">
            <v>0</v>
          </cell>
          <cell r="G17">
            <v>63</v>
          </cell>
          <cell r="H17">
            <v>60</v>
          </cell>
          <cell r="I17">
            <v>27</v>
          </cell>
        </row>
        <row r="18">
          <cell r="E18" t="str">
            <v>中国</v>
          </cell>
          <cell r="F18">
            <v>0</v>
          </cell>
          <cell r="G18">
            <v>88</v>
          </cell>
          <cell r="H18">
            <v>52</v>
          </cell>
          <cell r="I18">
            <v>10</v>
          </cell>
        </row>
        <row r="19">
          <cell r="E19" t="str">
            <v>巴基斯坦</v>
          </cell>
          <cell r="F19">
            <v>0</v>
          </cell>
          <cell r="G19">
            <v>63</v>
          </cell>
          <cell r="H19">
            <v>75</v>
          </cell>
          <cell r="I19">
            <v>12</v>
          </cell>
        </row>
        <row r="20">
          <cell r="E20" t="str">
            <v>澳大利亚</v>
          </cell>
          <cell r="F20">
            <v>0</v>
          </cell>
          <cell r="G20">
            <v>46</v>
          </cell>
          <cell r="H20">
            <v>57</v>
          </cell>
          <cell r="I20">
            <v>47</v>
          </cell>
        </row>
        <row r="21">
          <cell r="E21" t="str">
            <v>印度尼西亚</v>
          </cell>
          <cell r="F21">
            <v>0</v>
          </cell>
          <cell r="G21">
            <v>28</v>
          </cell>
          <cell r="H21">
            <v>72</v>
          </cell>
          <cell r="I21">
            <v>50</v>
          </cell>
        </row>
        <row r="22">
          <cell r="E22" t="str">
            <v>印度</v>
          </cell>
          <cell r="F22">
            <v>0</v>
          </cell>
          <cell r="G22">
            <v>19</v>
          </cell>
          <cell r="H22">
            <v>71</v>
          </cell>
          <cell r="I22">
            <v>60</v>
          </cell>
        </row>
        <row r="23">
          <cell r="E23" t="str">
            <v>全球平均(中国除外)</v>
          </cell>
          <cell r="F23">
            <v>0</v>
          </cell>
          <cell r="G23">
            <v>41</v>
          </cell>
          <cell r="H23">
            <v>67</v>
          </cell>
          <cell r="I23">
            <v>42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.Nativity"/>
      <sheetName val="2.Region"/>
      <sheetName val="3.Race&amp;Ethnicity"/>
      <sheetName val="4.RaceSelf-Id"/>
      <sheetName val="5.Origin"/>
      <sheetName val="6.PdArrival"/>
      <sheetName val="7.English"/>
      <sheetName val="8.Eng.DateofArr."/>
      <sheetName val="9.MedianAge"/>
      <sheetName val="10.Generations"/>
      <sheetName val="11.Sex&amp;Age"/>
      <sheetName val="12.Age-Sex Pyramids"/>
      <sheetName val="Sheet1"/>
      <sheetName val="13.MarStat"/>
      <sheetName val="14.Births"/>
      <sheetName val="15.UnmarriedBirth"/>
      <sheetName val="16.EducAttain"/>
      <sheetName val="17.SchoolEnrollment"/>
      <sheetName val="18.Dropout"/>
      <sheetName val="19.CollegeEnrollment"/>
      <sheetName val="20.Employment Status"/>
      <sheetName val="21.Occupation - Nativity"/>
      <sheetName val="22.Occupation"/>
      <sheetName val="23.Det.Occupation- Nativity"/>
      <sheetName val="24.Det.Occupation"/>
      <sheetName val="25.Industry- Nativity"/>
      <sheetName val="26.Industry"/>
      <sheetName val="27.Det.Industry- Nativity"/>
      <sheetName val="28.Det.Industry"/>
      <sheetName val="29.Earnings"/>
      <sheetName val="30.MedEarnings"/>
      <sheetName val="31.FTYREarnings"/>
      <sheetName val="32.FTYRMedEarnings"/>
      <sheetName val="33.HHldIncDist"/>
      <sheetName val="34.MedHHInc"/>
      <sheetName val="35.Poverty"/>
      <sheetName val="36.HealthInsurance"/>
      <sheetName val="37.Public v Private Health"/>
      <sheetName val="38.Homeownership"/>
      <sheetName val="39.FBHomeownership"/>
      <sheetName val="40.HouseholdType(p)"/>
      <sheetName val="41.HouseholdType(hhld)"/>
      <sheetName val="42.FamilySize"/>
      <sheetName val="43.HouseholderType"/>
      <sheetName val="44.Region"/>
      <sheetName val="45.State"/>
      <sheetName val="46. StatebyBirth#"/>
      <sheetName val="47.StatebyBirth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Age and gender distributions for nativity groups: 2015</v>
          </cell>
          <cell r="B2"/>
          <cell r="C2"/>
          <cell r="D2"/>
          <cell r="E2"/>
          <cell r="F2"/>
          <cell r="G2"/>
          <cell r="H2"/>
          <cell r="I2"/>
        </row>
        <row r="4">
          <cell r="A4" t="str">
            <v xml:space="preserve"> Age (years)                </v>
          </cell>
          <cell r="B4" t="str">
            <v xml:space="preserve"> Foreign Born</v>
          </cell>
          <cell r="C4"/>
          <cell r="D4"/>
        </row>
        <row r="5">
          <cell r="J5" t="str">
            <v>Younger than 5</v>
          </cell>
          <cell r="K5">
            <v>0.3</v>
          </cell>
          <cell r="M5">
            <v>-0.3</v>
          </cell>
          <cell r="Q5">
            <v>-6</v>
          </cell>
          <cell r="R5">
            <v>17.5</v>
          </cell>
        </row>
        <row r="6">
          <cell r="J6" t="str">
            <v>5 to 9</v>
          </cell>
          <cell r="K6">
            <v>0.6</v>
          </cell>
          <cell r="M6">
            <v>-0.6</v>
          </cell>
          <cell r="Q6">
            <v>6</v>
          </cell>
          <cell r="R6">
            <v>17.5</v>
          </cell>
        </row>
        <row r="7">
          <cell r="J7" t="str">
            <v>10 to 14</v>
          </cell>
          <cell r="K7">
            <v>1</v>
          </cell>
          <cell r="M7">
            <v>-1</v>
          </cell>
        </row>
        <row r="8">
          <cell r="J8" t="str">
            <v>15 to 19</v>
          </cell>
          <cell r="K8">
            <v>1.7</v>
          </cell>
          <cell r="M8">
            <v>-1.8</v>
          </cell>
        </row>
        <row r="9">
          <cell r="J9" t="str">
            <v>20 to 24</v>
          </cell>
          <cell r="K9">
            <v>2.6</v>
          </cell>
          <cell r="M9">
            <v>-2.9</v>
          </cell>
          <cell r="Q9" t="str">
            <v>Males</v>
          </cell>
        </row>
        <row r="10">
          <cell r="J10" t="str">
            <v>25 to 29</v>
          </cell>
          <cell r="K10">
            <v>3.9</v>
          </cell>
          <cell r="M10">
            <v>-4.0999999999999996</v>
          </cell>
          <cell r="Q10" t="str">
            <v>Famales</v>
          </cell>
        </row>
        <row r="11">
          <cell r="J11" t="str">
            <v>30 to 34</v>
          </cell>
          <cell r="K11">
            <v>4.8</v>
          </cell>
          <cell r="M11">
            <v>-5</v>
          </cell>
        </row>
        <row r="12">
          <cell r="J12" t="str">
            <v>35 to 39</v>
          </cell>
          <cell r="K12">
            <v>5.4</v>
          </cell>
          <cell r="M12">
            <v>-5.3</v>
          </cell>
        </row>
        <row r="13">
          <cell r="J13" t="str">
            <v>40 to 44</v>
          </cell>
          <cell r="K13">
            <v>5.6</v>
          </cell>
          <cell r="M13">
            <v>-5.4</v>
          </cell>
        </row>
        <row r="14">
          <cell r="J14" t="str">
            <v>45 to 49</v>
          </cell>
          <cell r="K14">
            <v>5.0999999999999996</v>
          </cell>
          <cell r="M14">
            <v>-4.9000000000000004</v>
          </cell>
        </row>
        <row r="15">
          <cell r="J15" t="str">
            <v>50 to 54</v>
          </cell>
          <cell r="K15">
            <v>4.5999999999999996</v>
          </cell>
          <cell r="M15">
            <v>-4.5</v>
          </cell>
        </row>
        <row r="16">
          <cell r="J16" t="str">
            <v>55 to 59</v>
          </cell>
          <cell r="K16">
            <v>3.9</v>
          </cell>
          <cell r="M16">
            <v>-3.7</v>
          </cell>
        </row>
        <row r="17">
          <cell r="J17" t="str">
            <v>60 to 64</v>
          </cell>
          <cell r="K17">
            <v>3.4</v>
          </cell>
          <cell r="M17">
            <v>-2.9</v>
          </cell>
        </row>
        <row r="18">
          <cell r="J18" t="str">
            <v>65 to 69</v>
          </cell>
          <cell r="K18">
            <v>2.7</v>
          </cell>
          <cell r="M18">
            <v>-2.2999999999999998</v>
          </cell>
        </row>
        <row r="19">
          <cell r="J19" t="str">
            <v>70 to 74</v>
          </cell>
          <cell r="K19">
            <v>2</v>
          </cell>
          <cell r="M19">
            <v>-1.5</v>
          </cell>
        </row>
        <row r="20">
          <cell r="J20" t="str">
            <v>75 to 79</v>
          </cell>
          <cell r="K20">
            <v>1.6</v>
          </cell>
          <cell r="M20">
            <v>-1.1000000000000001</v>
          </cell>
        </row>
        <row r="21">
          <cell r="J21" t="str">
            <v>80 to 84</v>
          </cell>
          <cell r="K21">
            <v>1.1000000000000001</v>
          </cell>
          <cell r="M21">
            <v>-0.7</v>
          </cell>
        </row>
        <row r="22">
          <cell r="J22" t="str">
            <v>85 to 89</v>
          </cell>
          <cell r="K22">
            <v>0.7</v>
          </cell>
          <cell r="M22">
            <v>-0.4</v>
          </cell>
        </row>
        <row r="23">
          <cell r="J23" t="str">
            <v>90 and older</v>
          </cell>
          <cell r="K23">
            <v>0.5</v>
          </cell>
          <cell r="M23">
            <v>-0.2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D2EA74-01BA-4538-921C-EE4176BFA1DA}" name="表2" displayName="表2" ref="B4:C14" totalsRowShown="0">
  <tableColumns count="2">
    <tableColumn id="1" xr3:uid="{6C183782-D03C-479B-B695-F35B8DE38383}" name="国家"/>
    <tableColumn id="2" xr3:uid="{D8E49C9D-3578-4168-8789-B856FD4B9EAC}" name="GDP" dataDxfId="2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C48E68-3D07-4B95-B5D5-4605695A3D1D}" name="表3" displayName="表3" ref="B4:D10" totalsRowShown="0">
  <tableColumns count="3">
    <tableColumn id="1" xr3:uid="{0C0B80F1-11ED-42D6-9EB6-FA93AC873D68}" name="国家"/>
    <tableColumn id="2" xr3:uid="{85372A40-6FB4-4EAE-9C2C-71E045383C51}" name="辅助列" dataDxfId="22"/>
    <tableColumn id="3" xr3:uid="{3F074487-7AD0-4837-9668-4C31AB1BF0A5}" name="比率" dataDxfId="21" dataCellStyle="百分比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F4:H16" totalsRowShown="0">
  <tableColumns count="3">
    <tableColumn id="1" xr3:uid="{00000000-0010-0000-0000-000001000000}" name="国家"/>
    <tableColumn id="2" xr3:uid="{00000000-0010-0000-0000-000002000000}" name="数值" dataDxfId="20" dataCellStyle="百分比"/>
    <tableColumn id="3" xr3:uid="{00000000-0010-0000-0000-000003000000}" name="helper" dataDxfId="19" dataCellStyle="百分比">
      <calculatedColumnFormula>-SIGN(G5)</calculatedColumnFormula>
    </tableColumn>
  </tableColumns>
  <tableStyleInfo name="TableStyleMedium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C43E7-14BE-49DE-923D-7812A8B303E6}" name="表4" displayName="表4" ref="B4:D16" totalsRowShown="0">
  <tableColumns count="3">
    <tableColumn id="1" xr3:uid="{C8C7B2B9-06CE-4E2D-AB52-FACE10CAC800}" name="国家"/>
    <tableColumn id="2" xr3:uid="{91EEC44F-9AD6-4D7E-B6F3-FF06D4295AFD}" name="辅助列" dataDxfId="18">
      <calculatedColumnFormula>-D5</calculatedColumnFormula>
    </tableColumn>
    <tableColumn id="3" xr3:uid="{6CD90ED5-0572-4673-9382-AEF7DB701D9B}" name="数值" dataDxfId="17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5BA45B-504A-45F2-A9C7-BCAFBC9FC7A0}" name="表5" displayName="表5" ref="B4:D10" totalsRowShown="0">
  <tableColumns count="3">
    <tableColumn id="1" xr3:uid="{CA2233C8-F735-4BB1-9F10-845E1A510AF5}" name="国家"/>
    <tableColumn id="2" xr3:uid="{98CD2723-6CC9-4618-905B-D90C33BF57E8}" name="下限" dataDxfId="16" dataCellStyle="百分比"/>
    <tableColumn id="3" xr3:uid="{C7B39408-821D-47AE-B711-71CDAFFCC5EB}" name="上限" dataDxfId="15" dataCellStyle="百分比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FDF792-4EBF-4EFD-B0EF-DE2B9F273F1A}" name="表6" displayName="表6" ref="G4:K10" totalsRowShown="0" headerRowDxfId="14">
  <tableColumns count="5">
    <tableColumn id="1" xr3:uid="{6F846338-D0D6-4C6A-B0B6-28D4C94372EB}" name="国家"/>
    <tableColumn id="2" xr3:uid="{9DBB4E39-B667-42A3-9237-6FF3B1BA1DDD}" name="helper4"/>
    <tableColumn id="3" xr3:uid="{B32AE07B-6385-40BE-8CE8-466E0BB17564}" name="helper1" dataDxfId="13" dataCellStyle="百分比">
      <calculatedColumnFormula>C5</calculatedColumnFormula>
    </tableColumn>
    <tableColumn id="4" xr3:uid="{50E21EBE-CBB6-4E43-82EB-29D43E2E54E9}" name="helper2" dataDxfId="12" dataCellStyle="百分比">
      <calculatedColumnFormula>D5-C5</calculatedColumnFormula>
    </tableColumn>
    <tableColumn id="5" xr3:uid="{3FDD3041-6A69-48B7-9B92-00E96A8BC4CD}" name="helper3" dataDxfId="11" dataCellStyle="百分比">
      <calculatedColumnFormula>D5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F4613B-C2D5-4D5C-A2B2-ED9786F9F9B2}" name="表7" displayName="表7" ref="B4:D19" totalsRowShown="0">
  <tableColumns count="3">
    <tableColumn id="1" xr3:uid="{D38F13B5-A08C-4B0B-B624-F002E8348B34}" name="行业"/>
    <tableColumn id="2" xr3:uid="{C95C5AF5-4DB4-43BF-A3B2-4C5EC3739031}" name="女性雇员占比" dataDxfId="10"/>
    <tableColumn id="3" xr3:uid="{90435323-8185-418B-A49C-41D2C88128B0}" name="人均GDP产值" dataDxfId="9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0A2EFA-B4ED-46EE-956E-F0A28D6569C5}" name="表8" displayName="表8" ref="F4:K19" totalsRowShown="0" headerRowDxfId="8" dataDxfId="7">
  <tableColumns count="6">
    <tableColumn id="1" xr3:uid="{025A091B-1073-4F3E-9019-E9B1921D9952}" name=" "/>
    <tableColumn id="2" xr3:uid="{D89E3D43-B714-44CC-9E39-0A5ABB6EA1CA}" name="helper1"/>
    <tableColumn id="3" xr3:uid="{89451A1D-0A5C-444F-BADC-190D2141EA54}" name="女性雇员占比" dataDxfId="6"/>
    <tableColumn id="4" xr3:uid="{B0B3E2BC-805F-4CB9-A3B6-40ADCD01308E}" name="helper2" dataDxfId="5">
      <calculatedColumnFormula>120-H5</calculatedColumnFormula>
    </tableColumn>
    <tableColumn id="5" xr3:uid="{1C9C7445-294A-4DE5-BACC-6DC363477E8D}" name="人均GDP产值(千美元)" dataDxfId="4"/>
    <tableColumn id="6" xr3:uid="{ED27E20C-D533-48DC-ADF0-92166DC77418}" name="helper3" dataDxfId="3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FA272A-957D-4FF3-AC15-7F476A35F1CB}" name="表9" displayName="表9" ref="M4:P19" totalsRowShown="0" headerRowDxfId="2">
  <tableColumns count="4">
    <tableColumn id="1" xr3:uid="{85314064-C938-42AD-93A1-5674316A17A3}" name="x" dataDxfId="1">
      <calculatedColumnFormula>AVERAGE($H$5:$H$19)</calculatedColumnFormula>
    </tableColumn>
    <tableColumn id="2" xr3:uid="{8CBC1E71-899E-46E5-950A-EFF0F8F5B957}" name="y"/>
    <tableColumn id="3" xr3:uid="{87ED804D-DC85-4508-AD1A-77DEC7B1AB41}" name="x2" dataDxfId="0">
      <calculatedColumnFormula>AVERAGE($J$5:$J$19)+120</calculatedColumnFormula>
    </tableColumn>
    <tableColumn id="4" xr3:uid="{71C9664E-F983-413F-AEDF-3FCB3F74EF98}" name="y3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BC54A0-B6F7-45B7-A839-3A54B87ABE9B}" name="表11" displayName="表11" ref="B5:D12" totalsRowShown="0">
  <tableColumns count="3">
    <tableColumn id="1" xr3:uid="{A24FE96A-9378-4372-AB65-2812F927DBEA}" name="国家"/>
    <tableColumn id="2" xr3:uid="{466BDDB8-2131-42B5-8E12-4E4117A2BCDA}" name="2007"/>
    <tableColumn id="3" xr3:uid="{9C8EB7F9-E26A-41DE-BB35-30E4507020EA}" name="2016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A048356-D3DE-4B3F-9C00-EC6938DF90B6}" name="表12" displayName="表12" ref="F5:H12" totalsRowShown="0">
  <tableColumns count="3">
    <tableColumn id="1" xr3:uid="{A2A6A833-9481-44E2-AB2D-68A02B98880C}" name=" "/>
    <tableColumn id="2" xr3:uid="{A3A24DAB-BC39-44FA-A4C4-B40B93A74885}" name="2007"/>
    <tableColumn id="3" xr3:uid="{B6128D50-0C95-444C-BF74-EB3E3CF00061}" name="201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McKinsey1">
      <a:dk1>
        <a:sysClr val="windowText" lastClr="000000"/>
      </a:dk1>
      <a:lt1>
        <a:sysClr val="window" lastClr="FFFFFF"/>
      </a:lt1>
      <a:dk2>
        <a:srgbClr val="FFF9F1"/>
      </a:dk2>
      <a:lt2>
        <a:srgbClr val="F1F1F1"/>
      </a:lt2>
      <a:accent1>
        <a:srgbClr val="00828F"/>
      </a:accent1>
      <a:accent2>
        <a:srgbClr val="65C6CC"/>
      </a:accent2>
      <a:accent3>
        <a:srgbClr val="25A7DB"/>
      </a:accent3>
      <a:accent4>
        <a:srgbClr val="E06D26"/>
      </a:accent4>
      <a:accent5>
        <a:srgbClr val="9EB1BB"/>
      </a:accent5>
      <a:accent6>
        <a:srgbClr val="E2DFCA"/>
      </a:accent6>
      <a:hlink>
        <a:srgbClr val="0563C1"/>
      </a:hlink>
      <a:folHlink>
        <a:srgbClr val="954F72"/>
      </a:folHlink>
    </a:clrScheme>
    <a:fontScheme name="自定义字体1">
      <a:majorFont>
        <a:latin typeface="Arial"/>
        <a:ea typeface="黑体"/>
        <a:cs typeface=""/>
      </a:majorFont>
      <a:minorFont>
        <a:latin typeface="Arial"/>
        <a:ea typeface="华文细黑"/>
        <a:cs typeface=""/>
      </a:minorFont>
    </a:fontScheme>
    <a:fmtScheme name="奥斯汀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showGridLines="0" workbookViewId="0">
      <selection activeCell="N10" sqref="N10"/>
    </sheetView>
  </sheetViews>
  <sheetFormatPr defaultRowHeight="13.2" x14ac:dyDescent="0.3"/>
  <cols>
    <col min="1" max="1" width="3.6640625" customWidth="1"/>
    <col min="2" max="2" width="13.5546875" customWidth="1"/>
    <col min="3" max="3" width="13" style="1" bestFit="1" customWidth="1"/>
  </cols>
  <sheetData>
    <row r="2" spans="2:3" x14ac:dyDescent="0.3">
      <c r="B2" t="s">
        <v>0</v>
      </c>
    </row>
    <row r="4" spans="2:3" x14ac:dyDescent="0.3">
      <c r="B4" t="s">
        <v>1</v>
      </c>
      <c r="C4" s="1" t="s">
        <v>2</v>
      </c>
    </row>
    <row r="5" spans="2:3" x14ac:dyDescent="0.3">
      <c r="B5" t="s">
        <v>3</v>
      </c>
      <c r="C5" s="2">
        <v>105916</v>
      </c>
    </row>
    <row r="6" spans="2:3" x14ac:dyDescent="0.3">
      <c r="B6" t="s">
        <v>4</v>
      </c>
      <c r="C6" s="2">
        <v>70913</v>
      </c>
    </row>
    <row r="7" spans="2:3" x14ac:dyDescent="0.3">
      <c r="B7" t="s">
        <v>5</v>
      </c>
      <c r="C7" s="2">
        <v>63842</v>
      </c>
    </row>
    <row r="8" spans="2:3" x14ac:dyDescent="0.3">
      <c r="B8" t="s">
        <v>6</v>
      </c>
      <c r="C8" s="2">
        <v>15432</v>
      </c>
    </row>
    <row r="9" spans="2:3" x14ac:dyDescent="0.3">
      <c r="B9" t="s">
        <v>7</v>
      </c>
      <c r="C9" s="2">
        <v>11367</v>
      </c>
    </row>
    <row r="10" spans="2:3" x14ac:dyDescent="0.3">
      <c r="B10" t="s">
        <v>8</v>
      </c>
      <c r="C10" s="2">
        <v>11334</v>
      </c>
    </row>
    <row r="11" spans="2:3" x14ac:dyDescent="0.3">
      <c r="B11" t="s">
        <v>9</v>
      </c>
      <c r="C11" s="2">
        <v>10334</v>
      </c>
    </row>
    <row r="12" spans="2:3" x14ac:dyDescent="0.3">
      <c r="B12" t="s">
        <v>10</v>
      </c>
      <c r="C12" s="2">
        <v>9826</v>
      </c>
    </row>
    <row r="13" spans="2:3" x14ac:dyDescent="0.3">
      <c r="B13" t="s">
        <v>11</v>
      </c>
      <c r="C13" s="2">
        <v>9812</v>
      </c>
    </row>
    <row r="14" spans="2:3" x14ac:dyDescent="0.3">
      <c r="B14" t="s">
        <v>12</v>
      </c>
      <c r="C14" s="2">
        <v>9671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4"/>
  <sheetViews>
    <sheetView showGridLines="0" workbookViewId="0">
      <selection activeCell="N20" sqref="N20"/>
    </sheetView>
  </sheetViews>
  <sheetFormatPr defaultRowHeight="13.2" x14ac:dyDescent="0.3"/>
  <cols>
    <col min="1" max="1" width="3.6640625" customWidth="1"/>
  </cols>
  <sheetData>
    <row r="1" spans="2:4" x14ac:dyDescent="0.3">
      <c r="C1" s="1"/>
    </row>
    <row r="2" spans="2:4" x14ac:dyDescent="0.3">
      <c r="B2" t="s">
        <v>14</v>
      </c>
      <c r="C2" s="1"/>
    </row>
    <row r="3" spans="2:4" x14ac:dyDescent="0.3">
      <c r="C3" s="1"/>
    </row>
    <row r="4" spans="2:4" x14ac:dyDescent="0.3">
      <c r="B4" t="s">
        <v>1</v>
      </c>
      <c r="C4" s="1" t="s">
        <v>21</v>
      </c>
      <c r="D4" s="1" t="s">
        <v>13</v>
      </c>
    </row>
    <row r="5" spans="2:4" x14ac:dyDescent="0.3">
      <c r="B5" t="s">
        <v>15</v>
      </c>
      <c r="C5" s="3">
        <v>0</v>
      </c>
      <c r="D5" s="4">
        <v>38</v>
      </c>
    </row>
    <row r="6" spans="2:4" x14ac:dyDescent="0.3">
      <c r="B6" t="s">
        <v>16</v>
      </c>
      <c r="C6" s="3">
        <v>0</v>
      </c>
      <c r="D6" s="4">
        <v>33</v>
      </c>
    </row>
    <row r="7" spans="2:4" x14ac:dyDescent="0.3">
      <c r="B7" t="s">
        <v>17</v>
      </c>
      <c r="C7" s="3">
        <v>0</v>
      </c>
      <c r="D7" s="4">
        <v>30</v>
      </c>
    </row>
    <row r="8" spans="2:4" x14ac:dyDescent="0.3">
      <c r="B8" t="s">
        <v>18</v>
      </c>
      <c r="C8" s="3">
        <v>0</v>
      </c>
      <c r="D8" s="4">
        <v>25</v>
      </c>
    </row>
    <row r="9" spans="2:4" x14ac:dyDescent="0.3">
      <c r="B9" t="s">
        <v>19</v>
      </c>
      <c r="C9" s="3">
        <v>0</v>
      </c>
      <c r="D9" s="4">
        <v>23</v>
      </c>
    </row>
    <row r="10" spans="2:4" x14ac:dyDescent="0.3">
      <c r="B10" t="s">
        <v>20</v>
      </c>
      <c r="C10" s="3">
        <v>0</v>
      </c>
      <c r="D10" s="4">
        <v>20</v>
      </c>
    </row>
    <row r="11" spans="2:4" x14ac:dyDescent="0.3">
      <c r="C11" s="2"/>
    </row>
    <row r="12" spans="2:4" x14ac:dyDescent="0.3">
      <c r="C12" s="2"/>
    </row>
    <row r="13" spans="2:4" x14ac:dyDescent="0.3">
      <c r="C13" s="2"/>
    </row>
    <row r="14" spans="2:4" x14ac:dyDescent="0.3">
      <c r="C14" s="2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6"/>
  <sheetViews>
    <sheetView showGridLines="0" workbookViewId="0">
      <selection activeCell="S24" sqref="S24"/>
    </sheetView>
  </sheetViews>
  <sheetFormatPr defaultRowHeight="13.2" x14ac:dyDescent="0.3"/>
  <cols>
    <col min="1" max="1" width="3.6640625" customWidth="1"/>
    <col min="2" max="2" width="10.6640625" customWidth="1"/>
    <col min="6" max="6" width="10.6640625" customWidth="1"/>
    <col min="7" max="8" width="9.6640625" style="1" customWidth="1"/>
    <col min="9" max="9" width="2.6640625" style="1" customWidth="1"/>
  </cols>
  <sheetData>
    <row r="1" spans="2:9" x14ac:dyDescent="0.3">
      <c r="C1" s="1"/>
    </row>
    <row r="2" spans="2:9" x14ac:dyDescent="0.3">
      <c r="B2" t="s">
        <v>22</v>
      </c>
      <c r="C2" s="1"/>
    </row>
    <row r="3" spans="2:9" x14ac:dyDescent="0.3">
      <c r="C3" s="1"/>
      <c r="F3" t="s">
        <v>38</v>
      </c>
    </row>
    <row r="4" spans="2:9" x14ac:dyDescent="0.3">
      <c r="B4" t="s">
        <v>1</v>
      </c>
      <c r="C4" s="1" t="s">
        <v>21</v>
      </c>
      <c r="D4" s="1" t="s">
        <v>23</v>
      </c>
      <c r="F4" t="s">
        <v>1</v>
      </c>
      <c r="G4" s="1" t="s">
        <v>36</v>
      </c>
      <c r="H4" s="1" t="s">
        <v>37</v>
      </c>
    </row>
    <row r="5" spans="2:9" x14ac:dyDescent="0.3">
      <c r="B5" t="s">
        <v>24</v>
      </c>
      <c r="C5" s="7">
        <f>-D5</f>
        <v>-7.4</v>
      </c>
      <c r="D5" s="5">
        <v>7.4</v>
      </c>
      <c r="F5" t="s">
        <v>24</v>
      </c>
      <c r="G5" s="8">
        <v>7.4</v>
      </c>
      <c r="H5" s="8">
        <f>-SIGN(G5)</f>
        <v>-1</v>
      </c>
      <c r="I5" s="8"/>
    </row>
    <row r="6" spans="2:9" x14ac:dyDescent="0.3">
      <c r="B6" t="s">
        <v>25</v>
      </c>
      <c r="C6" s="7">
        <f t="shared" ref="C6:C16" si="0">-D6</f>
        <v>-5.9</v>
      </c>
      <c r="D6" s="5">
        <v>5.9</v>
      </c>
      <c r="F6" t="s">
        <v>25</v>
      </c>
      <c r="G6" s="8">
        <v>5.9</v>
      </c>
      <c r="H6" s="8">
        <f t="shared" ref="H6:H16" si="1">-SIGN(G6)</f>
        <v>-1</v>
      </c>
      <c r="I6" s="8"/>
    </row>
    <row r="7" spans="2:9" x14ac:dyDescent="0.3">
      <c r="B7" t="s">
        <v>26</v>
      </c>
      <c r="C7" s="7">
        <f t="shared" si="0"/>
        <v>-5.2</v>
      </c>
      <c r="D7" s="5">
        <v>5.2</v>
      </c>
      <c r="F7" t="s">
        <v>26</v>
      </c>
      <c r="G7" s="8">
        <v>5.2</v>
      </c>
      <c r="H7" s="8">
        <f t="shared" si="1"/>
        <v>-1</v>
      </c>
      <c r="I7" s="8"/>
    </row>
    <row r="8" spans="2:9" x14ac:dyDescent="0.3">
      <c r="B8" t="s">
        <v>27</v>
      </c>
      <c r="C8" s="7">
        <f t="shared" si="0"/>
        <v>-3.4</v>
      </c>
      <c r="D8" s="5">
        <v>3.4</v>
      </c>
      <c r="F8" t="s">
        <v>27</v>
      </c>
      <c r="G8" s="8">
        <v>3.4</v>
      </c>
      <c r="H8" s="8">
        <f t="shared" si="1"/>
        <v>-1</v>
      </c>
      <c r="I8" s="8"/>
    </row>
    <row r="9" spans="2:9" x14ac:dyDescent="0.3">
      <c r="B9" t="s">
        <v>35</v>
      </c>
      <c r="C9" s="7">
        <f t="shared" si="0"/>
        <v>-3.2</v>
      </c>
      <c r="D9" s="5">
        <v>3.2</v>
      </c>
      <c r="F9" t="s">
        <v>35</v>
      </c>
      <c r="G9" s="8">
        <v>3.2</v>
      </c>
      <c r="H9" s="8">
        <f t="shared" si="1"/>
        <v>-1</v>
      </c>
      <c r="I9" s="8"/>
    </row>
    <row r="10" spans="2:9" x14ac:dyDescent="0.3">
      <c r="B10" t="s">
        <v>28</v>
      </c>
      <c r="C10" s="7">
        <f t="shared" si="0"/>
        <v>-2.4</v>
      </c>
      <c r="D10" s="5">
        <v>2.4</v>
      </c>
      <c r="F10" t="s">
        <v>28</v>
      </c>
      <c r="G10" s="8">
        <v>2.4</v>
      </c>
      <c r="H10" s="8">
        <f t="shared" si="1"/>
        <v>-1</v>
      </c>
      <c r="I10" s="8"/>
    </row>
    <row r="11" spans="2:9" x14ac:dyDescent="0.3">
      <c r="B11" t="s">
        <v>29</v>
      </c>
      <c r="C11" s="7">
        <f t="shared" si="0"/>
        <v>-1.8</v>
      </c>
      <c r="D11" s="5">
        <v>1.8</v>
      </c>
      <c r="F11" t="s">
        <v>29</v>
      </c>
      <c r="G11" s="8">
        <v>1.8</v>
      </c>
      <c r="H11" s="8">
        <f t="shared" si="1"/>
        <v>-1</v>
      </c>
      <c r="I11" s="8"/>
    </row>
    <row r="12" spans="2:9" x14ac:dyDescent="0.3">
      <c r="B12" t="s">
        <v>30</v>
      </c>
      <c r="C12" s="7">
        <f t="shared" si="0"/>
        <v>-1.5</v>
      </c>
      <c r="D12" s="5">
        <v>1.5</v>
      </c>
      <c r="F12" t="s">
        <v>30</v>
      </c>
      <c r="G12" s="8">
        <v>1.5</v>
      </c>
      <c r="H12" s="8">
        <f t="shared" si="1"/>
        <v>-1</v>
      </c>
      <c r="I12" s="8"/>
    </row>
    <row r="13" spans="2:9" x14ac:dyDescent="0.3">
      <c r="B13" t="s">
        <v>31</v>
      </c>
      <c r="C13" s="7">
        <f t="shared" si="0"/>
        <v>2</v>
      </c>
      <c r="D13" s="5">
        <v>-2</v>
      </c>
      <c r="F13" t="s">
        <v>31</v>
      </c>
      <c r="G13" s="8">
        <v>-2</v>
      </c>
      <c r="H13" s="8">
        <f t="shared" si="1"/>
        <v>1</v>
      </c>
      <c r="I13" s="8"/>
    </row>
    <row r="14" spans="2:9" x14ac:dyDescent="0.3">
      <c r="B14" t="s">
        <v>32</v>
      </c>
      <c r="C14" s="7">
        <f t="shared" si="0"/>
        <v>2</v>
      </c>
      <c r="D14" s="6">
        <v>-2</v>
      </c>
      <c r="F14" t="s">
        <v>32</v>
      </c>
      <c r="G14" s="8">
        <v>-2</v>
      </c>
      <c r="H14" s="8">
        <f t="shared" si="1"/>
        <v>1</v>
      </c>
      <c r="I14" s="8"/>
    </row>
    <row r="15" spans="2:9" x14ac:dyDescent="0.3">
      <c r="B15" t="s">
        <v>33</v>
      </c>
      <c r="C15" s="7">
        <f t="shared" si="0"/>
        <v>7.9</v>
      </c>
      <c r="D15" s="6">
        <v>-7.9</v>
      </c>
      <c r="F15" t="s">
        <v>33</v>
      </c>
      <c r="G15" s="8">
        <v>-7.9</v>
      </c>
      <c r="H15" s="8">
        <f t="shared" si="1"/>
        <v>1</v>
      </c>
      <c r="I15" s="8"/>
    </row>
    <row r="16" spans="2:9" x14ac:dyDescent="0.3">
      <c r="B16" t="s">
        <v>34</v>
      </c>
      <c r="C16" s="7">
        <f t="shared" si="0"/>
        <v>61.1</v>
      </c>
      <c r="D16" s="6">
        <v>-61.1</v>
      </c>
      <c r="F16" t="s">
        <v>10</v>
      </c>
      <c r="G16" s="8">
        <v>-61.1</v>
      </c>
      <c r="H16" s="8">
        <f t="shared" si="1"/>
        <v>1</v>
      </c>
      <c r="I16" s="8"/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0"/>
  <sheetViews>
    <sheetView showGridLines="0" workbookViewId="0">
      <selection activeCell="O12" sqref="O12"/>
    </sheetView>
  </sheetViews>
  <sheetFormatPr defaultRowHeight="13.2" x14ac:dyDescent="0.3"/>
  <cols>
    <col min="1" max="1" width="3.6640625" customWidth="1"/>
    <col min="8" max="11" width="9.6640625" customWidth="1"/>
  </cols>
  <sheetData>
    <row r="2" spans="2:11" x14ac:dyDescent="0.3">
      <c r="B2" t="s">
        <v>39</v>
      </c>
    </row>
    <row r="3" spans="2:11" x14ac:dyDescent="0.3">
      <c r="G3" t="s">
        <v>42</v>
      </c>
    </row>
    <row r="4" spans="2:11" x14ac:dyDescent="0.3">
      <c r="B4" t="s">
        <v>1</v>
      </c>
      <c r="C4" s="1" t="s">
        <v>40</v>
      </c>
      <c r="D4" s="1" t="s">
        <v>41</v>
      </c>
      <c r="G4" t="s">
        <v>1</v>
      </c>
      <c r="H4" s="1" t="s">
        <v>46</v>
      </c>
      <c r="I4" s="1" t="s">
        <v>43</v>
      </c>
      <c r="J4" s="1" t="s">
        <v>44</v>
      </c>
      <c r="K4" s="1" t="s">
        <v>45</v>
      </c>
    </row>
    <row r="5" spans="2:11" x14ac:dyDescent="0.3">
      <c r="B5" t="s">
        <v>20</v>
      </c>
      <c r="C5" s="9">
        <v>1.49E-2</v>
      </c>
      <c r="D5" s="9">
        <v>2.7099999999999999E-2</v>
      </c>
      <c r="G5" t="s">
        <v>20</v>
      </c>
      <c r="H5">
        <v>0</v>
      </c>
      <c r="I5" s="9">
        <f>C5</f>
        <v>1.49E-2</v>
      </c>
      <c r="J5" s="9">
        <f>D5-C5</f>
        <v>1.2199999999999999E-2</v>
      </c>
      <c r="K5" s="10">
        <f>D5</f>
        <v>2.7099999999999999E-2</v>
      </c>
    </row>
    <row r="6" spans="2:11" x14ac:dyDescent="0.3">
      <c r="B6" t="s">
        <v>17</v>
      </c>
      <c r="C6" s="9">
        <v>3.0200000000000001E-2</v>
      </c>
      <c r="D6" s="9">
        <v>5.7500000000000002E-2</v>
      </c>
      <c r="G6" t="s">
        <v>17</v>
      </c>
      <c r="H6">
        <v>0</v>
      </c>
      <c r="I6" s="9">
        <f t="shared" ref="I6:I10" si="0">C6</f>
        <v>3.0200000000000001E-2</v>
      </c>
      <c r="J6" s="9">
        <f t="shared" ref="J6:J10" si="1">D6-C6</f>
        <v>2.7300000000000001E-2</v>
      </c>
      <c r="K6" s="10">
        <f t="shared" ref="K6:K10" si="2">D6</f>
        <v>5.7500000000000002E-2</v>
      </c>
    </row>
    <row r="7" spans="2:11" x14ac:dyDescent="0.3">
      <c r="B7" t="s">
        <v>16</v>
      </c>
      <c r="C7" s="9">
        <v>2.9100000000000001E-2</v>
      </c>
      <c r="D7" s="9">
        <v>9.64E-2</v>
      </c>
      <c r="G7" t="s">
        <v>16</v>
      </c>
      <c r="H7">
        <v>0</v>
      </c>
      <c r="I7" s="9">
        <f t="shared" si="0"/>
        <v>2.9100000000000001E-2</v>
      </c>
      <c r="J7" s="9">
        <f t="shared" si="1"/>
        <v>6.7299999999999999E-2</v>
      </c>
      <c r="K7" s="10">
        <f t="shared" si="2"/>
        <v>9.64E-2</v>
      </c>
    </row>
    <row r="8" spans="2:11" x14ac:dyDescent="0.3">
      <c r="B8" t="s">
        <v>19</v>
      </c>
      <c r="C8" s="9">
        <v>4.1099999999999998E-2</v>
      </c>
      <c r="D8" s="9">
        <v>7.8700000000000006E-2</v>
      </c>
      <c r="G8" t="s">
        <v>19</v>
      </c>
      <c r="H8">
        <v>0</v>
      </c>
      <c r="I8" s="9">
        <f t="shared" si="0"/>
        <v>4.1099999999999998E-2</v>
      </c>
      <c r="J8" s="9">
        <f t="shared" si="1"/>
        <v>3.7600000000000008E-2</v>
      </c>
      <c r="K8" s="10">
        <f t="shared" si="2"/>
        <v>7.8700000000000006E-2</v>
      </c>
    </row>
    <row r="9" spans="2:11" x14ac:dyDescent="0.3">
      <c r="B9" t="s">
        <v>15</v>
      </c>
      <c r="C9" s="9">
        <v>9.5699999999999993E-2</v>
      </c>
      <c r="D9" s="9">
        <v>0.19359999999999999</v>
      </c>
      <c r="G9" t="s">
        <v>15</v>
      </c>
      <c r="H9">
        <v>0</v>
      </c>
      <c r="I9" s="9">
        <f t="shared" si="0"/>
        <v>9.5699999999999993E-2</v>
      </c>
      <c r="J9" s="9">
        <f t="shared" si="1"/>
        <v>9.7900000000000001E-2</v>
      </c>
      <c r="K9" s="10">
        <f t="shared" si="2"/>
        <v>0.19359999999999999</v>
      </c>
    </row>
    <row r="10" spans="2:11" x14ac:dyDescent="0.3">
      <c r="B10" t="s">
        <v>18</v>
      </c>
      <c r="C10" s="9">
        <v>7.9699999999999993E-2</v>
      </c>
      <c r="D10" s="9">
        <v>0.15709999999999999</v>
      </c>
      <c r="G10" t="s">
        <v>18</v>
      </c>
      <c r="H10">
        <v>0</v>
      </c>
      <c r="I10" s="9">
        <f t="shared" si="0"/>
        <v>7.9699999999999993E-2</v>
      </c>
      <c r="J10" s="9">
        <f t="shared" si="1"/>
        <v>7.7399999999999997E-2</v>
      </c>
      <c r="K10" s="10">
        <f t="shared" si="2"/>
        <v>0.15709999999999999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219C-431B-4F9B-8281-5D5FDBE4C7CD}">
  <dimension ref="A1:P19"/>
  <sheetViews>
    <sheetView showGridLines="0" workbookViewId="0">
      <selection activeCell="J15" sqref="J15"/>
    </sheetView>
  </sheetViews>
  <sheetFormatPr defaultRowHeight="13.2" x14ac:dyDescent="0.3"/>
  <cols>
    <col min="1" max="1" width="3.6640625" customWidth="1"/>
    <col min="2" max="2" width="17.109375" customWidth="1"/>
    <col min="3" max="3" width="13.44140625" customWidth="1"/>
    <col min="4" max="4" width="13.88671875" customWidth="1"/>
    <col min="7" max="7" width="9.6640625" customWidth="1"/>
    <col min="8" max="8" width="13.44140625" customWidth="1"/>
    <col min="9" max="9" width="9.6640625" customWidth="1"/>
    <col min="10" max="10" width="20.44140625" customWidth="1"/>
    <col min="11" max="11" width="9.6640625" customWidth="1"/>
    <col min="12" max="12" width="6.88671875" customWidth="1"/>
  </cols>
  <sheetData>
    <row r="1" spans="1:16" x14ac:dyDescent="0.3">
      <c r="A1" s="11"/>
    </row>
    <row r="2" spans="1:16" x14ac:dyDescent="0.3">
      <c r="B2" t="s">
        <v>47</v>
      </c>
    </row>
    <row r="3" spans="1:16" x14ac:dyDescent="0.3">
      <c r="F3" t="s">
        <v>42</v>
      </c>
      <c r="M3" t="s">
        <v>70</v>
      </c>
      <c r="O3" t="s">
        <v>71</v>
      </c>
    </row>
    <row r="4" spans="1:16" x14ac:dyDescent="0.3">
      <c r="B4" t="s">
        <v>48</v>
      </c>
      <c r="C4" s="1" t="s">
        <v>49</v>
      </c>
      <c r="D4" s="1" t="s">
        <v>50</v>
      </c>
      <c r="F4" t="s">
        <v>83</v>
      </c>
      <c r="G4" s="1" t="s">
        <v>43</v>
      </c>
      <c r="H4" s="13" t="s">
        <v>49</v>
      </c>
      <c r="I4" s="1" t="s">
        <v>66</v>
      </c>
      <c r="J4" s="13" t="s">
        <v>69</v>
      </c>
      <c r="K4" s="1" t="s">
        <v>72</v>
      </c>
      <c r="M4" s="1" t="s">
        <v>67</v>
      </c>
      <c r="N4" s="1" t="s">
        <v>68</v>
      </c>
      <c r="O4" s="1" t="s">
        <v>84</v>
      </c>
      <c r="P4" s="1" t="s">
        <v>85</v>
      </c>
    </row>
    <row r="5" spans="1:16" x14ac:dyDescent="0.3">
      <c r="B5" t="s">
        <v>51</v>
      </c>
      <c r="C5" s="1">
        <v>12</v>
      </c>
      <c r="D5" s="1">
        <v>88</v>
      </c>
      <c r="F5" t="s">
        <v>51</v>
      </c>
      <c r="G5">
        <v>0</v>
      </c>
      <c r="H5" s="1">
        <v>12</v>
      </c>
      <c r="I5" s="1">
        <f>120-H5</f>
        <v>108</v>
      </c>
      <c r="J5" s="1">
        <v>88</v>
      </c>
      <c r="K5" s="1">
        <v>10</v>
      </c>
      <c r="M5" s="12">
        <f>AVERAGE($H$5:$H$19)</f>
        <v>43.866666666666667</v>
      </c>
      <c r="N5">
        <v>15.5</v>
      </c>
      <c r="O5" s="12">
        <f>AVERAGE($J$5:$J$19)+120</f>
        <v>231.33333333333331</v>
      </c>
      <c r="P5">
        <v>15.5</v>
      </c>
    </row>
    <row r="6" spans="1:16" x14ac:dyDescent="0.3">
      <c r="B6" t="s">
        <v>52</v>
      </c>
      <c r="C6" s="1">
        <v>23</v>
      </c>
      <c r="D6" s="1">
        <v>268</v>
      </c>
      <c r="F6" t="s">
        <v>52</v>
      </c>
      <c r="G6">
        <v>0</v>
      </c>
      <c r="H6" s="1">
        <v>23</v>
      </c>
      <c r="I6" s="1">
        <f t="shared" ref="I6:I19" si="0">120-H6</f>
        <v>97</v>
      </c>
      <c r="J6" s="1">
        <v>268</v>
      </c>
      <c r="K6" s="1">
        <v>10</v>
      </c>
      <c r="M6" s="12">
        <f t="shared" ref="M6:M19" si="1">AVERAGE($H$5:$H$19)</f>
        <v>43.866666666666667</v>
      </c>
      <c r="N6">
        <v>13.5</v>
      </c>
      <c r="O6" s="12">
        <f t="shared" ref="O6:O19" si="2">AVERAGE($J$5:$J$19)+120</f>
        <v>231.33333333333331</v>
      </c>
      <c r="P6">
        <v>13.5</v>
      </c>
    </row>
    <row r="7" spans="1:16" x14ac:dyDescent="0.3">
      <c r="B7" t="s">
        <v>53</v>
      </c>
      <c r="C7" s="1">
        <v>24</v>
      </c>
      <c r="D7" s="1">
        <v>244</v>
      </c>
      <c r="F7" t="s">
        <v>53</v>
      </c>
      <c r="G7">
        <v>0</v>
      </c>
      <c r="H7" s="1">
        <v>24</v>
      </c>
      <c r="I7" s="1">
        <f t="shared" si="0"/>
        <v>96</v>
      </c>
      <c r="J7" s="1">
        <v>244</v>
      </c>
      <c r="K7" s="1">
        <v>10</v>
      </c>
      <c r="M7" s="12">
        <f t="shared" si="1"/>
        <v>43.866666666666667</v>
      </c>
      <c r="N7">
        <v>12.5</v>
      </c>
      <c r="O7" s="12">
        <f t="shared" si="2"/>
        <v>231.33333333333331</v>
      </c>
      <c r="P7">
        <v>12.5</v>
      </c>
    </row>
    <row r="8" spans="1:16" x14ac:dyDescent="0.3">
      <c r="B8" t="s">
        <v>54</v>
      </c>
      <c r="C8" s="1">
        <v>24</v>
      </c>
      <c r="D8" s="1">
        <v>78</v>
      </c>
      <c r="F8" t="s">
        <v>54</v>
      </c>
      <c r="G8">
        <v>0</v>
      </c>
      <c r="H8" s="1">
        <v>24</v>
      </c>
      <c r="I8" s="1">
        <f t="shared" si="0"/>
        <v>96</v>
      </c>
      <c r="J8" s="1">
        <v>78</v>
      </c>
      <c r="K8" s="1">
        <v>10</v>
      </c>
      <c r="M8" s="12">
        <f t="shared" si="1"/>
        <v>43.866666666666667</v>
      </c>
      <c r="N8">
        <v>11.5</v>
      </c>
      <c r="O8" s="12">
        <f t="shared" si="2"/>
        <v>231.33333333333331</v>
      </c>
      <c r="P8">
        <v>11.5</v>
      </c>
    </row>
    <row r="9" spans="1:16" x14ac:dyDescent="0.3">
      <c r="B9" t="s">
        <v>55</v>
      </c>
      <c r="C9" s="1">
        <v>28</v>
      </c>
      <c r="D9" s="1">
        <v>101</v>
      </c>
      <c r="F9" t="s">
        <v>55</v>
      </c>
      <c r="G9">
        <v>0</v>
      </c>
      <c r="H9" s="1">
        <v>28</v>
      </c>
      <c r="I9" s="1">
        <f t="shared" si="0"/>
        <v>92</v>
      </c>
      <c r="J9" s="1">
        <v>101</v>
      </c>
      <c r="K9" s="1">
        <v>10</v>
      </c>
      <c r="M9" s="12">
        <f t="shared" si="1"/>
        <v>43.866666666666667</v>
      </c>
      <c r="N9">
        <v>10.5</v>
      </c>
      <c r="O9" s="12">
        <f t="shared" si="2"/>
        <v>231.33333333333331</v>
      </c>
      <c r="P9">
        <v>10.5</v>
      </c>
    </row>
    <row r="10" spans="1:16" x14ac:dyDescent="0.3">
      <c r="B10" t="s">
        <v>56</v>
      </c>
      <c r="C10" s="1">
        <v>43</v>
      </c>
      <c r="D10" s="1">
        <v>66</v>
      </c>
      <c r="F10" t="s">
        <v>56</v>
      </c>
      <c r="G10">
        <v>0</v>
      </c>
      <c r="H10" s="1">
        <v>43</v>
      </c>
      <c r="I10" s="1">
        <f t="shared" si="0"/>
        <v>77</v>
      </c>
      <c r="J10" s="1">
        <v>66</v>
      </c>
      <c r="K10" s="1">
        <v>10</v>
      </c>
      <c r="M10" s="12">
        <f t="shared" si="1"/>
        <v>43.866666666666667</v>
      </c>
      <c r="N10">
        <v>9.5</v>
      </c>
      <c r="O10" s="12">
        <f t="shared" si="2"/>
        <v>231.33333333333331</v>
      </c>
      <c r="P10">
        <v>9.5</v>
      </c>
    </row>
    <row r="11" spans="1:16" x14ac:dyDescent="0.3">
      <c r="B11" t="s">
        <v>57</v>
      </c>
      <c r="C11" s="1">
        <v>45</v>
      </c>
      <c r="D11" s="1">
        <v>72</v>
      </c>
      <c r="F11" t="s">
        <v>57</v>
      </c>
      <c r="G11">
        <v>0</v>
      </c>
      <c r="H11" s="1">
        <v>45</v>
      </c>
      <c r="I11" s="1">
        <f t="shared" si="0"/>
        <v>75</v>
      </c>
      <c r="J11" s="1">
        <v>72</v>
      </c>
      <c r="K11" s="1">
        <v>10</v>
      </c>
      <c r="M11" s="12">
        <f t="shared" si="1"/>
        <v>43.866666666666667</v>
      </c>
      <c r="N11">
        <v>8.5</v>
      </c>
      <c r="O11" s="12">
        <f t="shared" si="2"/>
        <v>231.33333333333331</v>
      </c>
      <c r="P11">
        <v>8.5</v>
      </c>
    </row>
    <row r="12" spans="1:16" x14ac:dyDescent="0.3">
      <c r="B12" t="s">
        <v>58</v>
      </c>
      <c r="C12" s="1">
        <v>45</v>
      </c>
      <c r="D12" s="1">
        <v>83</v>
      </c>
      <c r="F12" t="s">
        <v>58</v>
      </c>
      <c r="G12">
        <v>0</v>
      </c>
      <c r="H12" s="1">
        <v>45</v>
      </c>
      <c r="I12" s="1">
        <f t="shared" si="0"/>
        <v>75</v>
      </c>
      <c r="J12" s="1">
        <v>83</v>
      </c>
      <c r="K12" s="1">
        <v>10</v>
      </c>
      <c r="M12" s="12">
        <f t="shared" si="1"/>
        <v>43.866666666666667</v>
      </c>
      <c r="N12">
        <v>7.5</v>
      </c>
      <c r="O12" s="12">
        <f t="shared" si="2"/>
        <v>231.33333333333331</v>
      </c>
      <c r="P12">
        <v>7.5</v>
      </c>
    </row>
    <row r="13" spans="1:16" x14ac:dyDescent="0.3">
      <c r="B13" t="s">
        <v>59</v>
      </c>
      <c r="C13" s="1">
        <v>49</v>
      </c>
      <c r="D13" s="1">
        <v>68</v>
      </c>
      <c r="F13" t="s">
        <v>59</v>
      </c>
      <c r="G13">
        <v>0</v>
      </c>
      <c r="H13" s="1">
        <v>49</v>
      </c>
      <c r="I13" s="1">
        <f t="shared" si="0"/>
        <v>71</v>
      </c>
      <c r="J13" s="1">
        <v>68</v>
      </c>
      <c r="K13" s="1">
        <v>10</v>
      </c>
      <c r="M13" s="12">
        <f t="shared" si="1"/>
        <v>43.866666666666667</v>
      </c>
      <c r="N13">
        <v>6.5</v>
      </c>
      <c r="O13" s="12">
        <f t="shared" si="2"/>
        <v>231.33333333333331</v>
      </c>
      <c r="P13">
        <v>6.5</v>
      </c>
    </row>
    <row r="14" spans="1:16" x14ac:dyDescent="0.3">
      <c r="B14" t="s">
        <v>60</v>
      </c>
      <c r="C14" s="1">
        <v>50</v>
      </c>
      <c r="D14" s="1">
        <v>116</v>
      </c>
      <c r="F14" t="s">
        <v>60</v>
      </c>
      <c r="G14">
        <v>0</v>
      </c>
      <c r="H14" s="1">
        <v>50</v>
      </c>
      <c r="I14" s="1">
        <f t="shared" si="0"/>
        <v>70</v>
      </c>
      <c r="J14" s="1">
        <v>116</v>
      </c>
      <c r="K14" s="1">
        <v>10</v>
      </c>
      <c r="M14" s="12">
        <f t="shared" si="1"/>
        <v>43.866666666666667</v>
      </c>
      <c r="N14">
        <v>5.5</v>
      </c>
      <c r="O14" s="12">
        <f t="shared" si="2"/>
        <v>231.33333333333331</v>
      </c>
      <c r="P14">
        <v>5.5</v>
      </c>
    </row>
    <row r="15" spans="1:16" x14ac:dyDescent="0.3">
      <c r="B15" t="s">
        <v>61</v>
      </c>
      <c r="C15" s="1">
        <v>53</v>
      </c>
      <c r="D15" s="1">
        <v>43</v>
      </c>
      <c r="F15" t="s">
        <v>61</v>
      </c>
      <c r="G15">
        <v>0</v>
      </c>
      <c r="H15" s="1">
        <v>53</v>
      </c>
      <c r="I15" s="1">
        <f t="shared" si="0"/>
        <v>67</v>
      </c>
      <c r="J15" s="1">
        <v>43</v>
      </c>
      <c r="K15" s="1">
        <v>10</v>
      </c>
      <c r="M15" s="12">
        <f t="shared" si="1"/>
        <v>43.866666666666667</v>
      </c>
      <c r="N15">
        <v>4.5</v>
      </c>
      <c r="O15" s="12">
        <f t="shared" si="2"/>
        <v>231.33333333333331</v>
      </c>
      <c r="P15">
        <v>4.5</v>
      </c>
    </row>
    <row r="16" spans="1:16" x14ac:dyDescent="0.3">
      <c r="B16" t="s">
        <v>62</v>
      </c>
      <c r="C16" s="1">
        <v>55</v>
      </c>
      <c r="D16" s="1">
        <v>298</v>
      </c>
      <c r="F16" t="s">
        <v>62</v>
      </c>
      <c r="G16">
        <v>0</v>
      </c>
      <c r="H16" s="1">
        <v>55</v>
      </c>
      <c r="I16" s="1">
        <f t="shared" si="0"/>
        <v>65</v>
      </c>
      <c r="J16" s="1">
        <v>298</v>
      </c>
      <c r="K16" s="1">
        <v>10</v>
      </c>
      <c r="M16" s="12">
        <f t="shared" si="1"/>
        <v>43.866666666666667</v>
      </c>
      <c r="N16">
        <v>3.5</v>
      </c>
      <c r="O16" s="12">
        <f t="shared" si="2"/>
        <v>231.33333333333331</v>
      </c>
      <c r="P16">
        <v>3.5</v>
      </c>
    </row>
    <row r="17" spans="2:16" x14ac:dyDescent="0.3">
      <c r="B17" t="s">
        <v>63</v>
      </c>
      <c r="C17" s="1">
        <v>58</v>
      </c>
      <c r="D17" s="1">
        <v>29</v>
      </c>
      <c r="F17" t="s">
        <v>63</v>
      </c>
      <c r="G17">
        <v>0</v>
      </c>
      <c r="H17" s="1">
        <v>58</v>
      </c>
      <c r="I17" s="1">
        <f t="shared" si="0"/>
        <v>62</v>
      </c>
      <c r="J17" s="1">
        <v>29</v>
      </c>
      <c r="K17" s="1">
        <v>10</v>
      </c>
      <c r="M17" s="12">
        <f t="shared" si="1"/>
        <v>43.866666666666667</v>
      </c>
      <c r="N17">
        <v>2.5</v>
      </c>
      <c r="O17" s="12">
        <f t="shared" si="2"/>
        <v>231.33333333333331</v>
      </c>
      <c r="P17">
        <v>2.5</v>
      </c>
    </row>
    <row r="18" spans="2:16" x14ac:dyDescent="0.3">
      <c r="B18" t="s">
        <v>64</v>
      </c>
      <c r="C18" s="1">
        <v>67</v>
      </c>
      <c r="D18" s="1">
        <v>68</v>
      </c>
      <c r="F18" t="s">
        <v>64</v>
      </c>
      <c r="G18">
        <v>0</v>
      </c>
      <c r="H18" s="1">
        <v>67</v>
      </c>
      <c r="I18" s="1">
        <f t="shared" si="0"/>
        <v>53</v>
      </c>
      <c r="J18" s="1">
        <v>68</v>
      </c>
      <c r="K18" s="1">
        <v>10</v>
      </c>
      <c r="M18" s="12">
        <f t="shared" si="1"/>
        <v>43.866666666666667</v>
      </c>
      <c r="N18">
        <v>1.5</v>
      </c>
      <c r="O18" s="12">
        <f t="shared" si="2"/>
        <v>231.33333333333331</v>
      </c>
      <c r="P18">
        <v>1.5</v>
      </c>
    </row>
    <row r="19" spans="2:16" x14ac:dyDescent="0.3">
      <c r="B19" t="s">
        <v>65</v>
      </c>
      <c r="C19" s="1">
        <v>82</v>
      </c>
      <c r="D19" s="1">
        <v>48</v>
      </c>
      <c r="F19" t="s">
        <v>65</v>
      </c>
      <c r="G19">
        <v>0</v>
      </c>
      <c r="H19" s="1">
        <v>82</v>
      </c>
      <c r="I19" s="1">
        <f t="shared" si="0"/>
        <v>38</v>
      </c>
      <c r="J19" s="1">
        <v>48</v>
      </c>
      <c r="K19" s="1">
        <v>10</v>
      </c>
      <c r="M19" s="12">
        <f t="shared" si="1"/>
        <v>43.866666666666667</v>
      </c>
      <c r="N19">
        <v>0</v>
      </c>
      <c r="O19" s="12">
        <f t="shared" si="2"/>
        <v>231.33333333333331</v>
      </c>
      <c r="P19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A6DC-B1B0-49E7-8C64-3FAACAFD290C}">
  <dimension ref="B2:X12"/>
  <sheetViews>
    <sheetView showGridLines="0" tabSelected="1" workbookViewId="0">
      <selection activeCell="N8" sqref="N8"/>
    </sheetView>
  </sheetViews>
  <sheetFormatPr defaultRowHeight="13.2" x14ac:dyDescent="0.3"/>
  <cols>
    <col min="1" max="1" width="3.6640625" customWidth="1"/>
  </cols>
  <sheetData>
    <row r="2" spans="2:24" x14ac:dyDescent="0.3">
      <c r="B2" t="s">
        <v>73</v>
      </c>
    </row>
    <row r="4" spans="2:24" ht="13.8" thickBot="1" x14ac:dyDescent="0.35">
      <c r="B4" t="s">
        <v>77</v>
      </c>
      <c r="F4" t="s">
        <v>78</v>
      </c>
      <c r="K4" t="s">
        <v>43</v>
      </c>
      <c r="L4" s="14">
        <v>12</v>
      </c>
      <c r="M4" t="s">
        <v>44</v>
      </c>
      <c r="N4" s="14">
        <v>8</v>
      </c>
      <c r="O4" t="s">
        <v>45</v>
      </c>
      <c r="P4" s="14">
        <v>9</v>
      </c>
      <c r="Q4" t="s">
        <v>46</v>
      </c>
      <c r="R4" s="14">
        <v>11</v>
      </c>
      <c r="S4" t="s">
        <v>79</v>
      </c>
      <c r="T4" s="14">
        <v>4</v>
      </c>
      <c r="U4" t="s">
        <v>80</v>
      </c>
      <c r="V4" s="14">
        <v>7</v>
      </c>
      <c r="W4" t="s">
        <v>81</v>
      </c>
      <c r="X4" s="14">
        <v>6</v>
      </c>
    </row>
    <row r="5" spans="2:24" x14ac:dyDescent="0.3">
      <c r="B5" t="s">
        <v>1</v>
      </c>
      <c r="C5" t="s">
        <v>86</v>
      </c>
      <c r="D5" t="s">
        <v>87</v>
      </c>
      <c r="F5" t="s">
        <v>82</v>
      </c>
      <c r="G5" s="1" t="s">
        <v>86</v>
      </c>
      <c r="H5" s="1" t="s">
        <v>87</v>
      </c>
      <c r="K5" s="18" t="s">
        <v>67</v>
      </c>
      <c r="L5" s="18" t="s">
        <v>68</v>
      </c>
      <c r="M5" s="18" t="s">
        <v>67</v>
      </c>
      <c r="N5" s="18" t="s">
        <v>68</v>
      </c>
      <c r="O5" s="18" t="s">
        <v>67</v>
      </c>
      <c r="P5" s="18" t="s">
        <v>68</v>
      </c>
      <c r="Q5" s="18" t="s">
        <v>67</v>
      </c>
      <c r="R5" s="18" t="s">
        <v>68</v>
      </c>
      <c r="S5" s="18" t="s">
        <v>67</v>
      </c>
      <c r="T5" s="18" t="s">
        <v>68</v>
      </c>
      <c r="U5" s="18" t="s">
        <v>67</v>
      </c>
      <c r="V5" s="18" t="s">
        <v>68</v>
      </c>
      <c r="W5" s="18" t="s">
        <v>67</v>
      </c>
      <c r="X5" s="18" t="s">
        <v>68</v>
      </c>
    </row>
    <row r="6" spans="2:24" x14ac:dyDescent="0.3">
      <c r="B6" t="s">
        <v>74</v>
      </c>
      <c r="C6">
        <v>38</v>
      </c>
      <c r="D6">
        <v>50</v>
      </c>
      <c r="F6" t="s">
        <v>74</v>
      </c>
      <c r="G6">
        <v>38</v>
      </c>
      <c r="H6">
        <v>50</v>
      </c>
      <c r="K6" s="15">
        <v>38</v>
      </c>
      <c r="L6" s="15">
        <v>18.850000000000001</v>
      </c>
      <c r="M6" s="15">
        <v>17</v>
      </c>
      <c r="N6" s="15">
        <v>15.75</v>
      </c>
      <c r="O6" s="15">
        <v>29</v>
      </c>
      <c r="P6" s="15">
        <v>12.5</v>
      </c>
      <c r="Q6" s="15">
        <v>7</v>
      </c>
      <c r="R6" s="15">
        <v>9.5</v>
      </c>
      <c r="S6" s="15">
        <v>9</v>
      </c>
      <c r="T6" s="15">
        <v>6.25</v>
      </c>
      <c r="U6" s="15">
        <v>2</v>
      </c>
      <c r="V6" s="15">
        <v>3.1</v>
      </c>
      <c r="W6" s="15">
        <v>2</v>
      </c>
      <c r="X6" s="15">
        <v>0</v>
      </c>
    </row>
    <row r="7" spans="2:24" x14ac:dyDescent="0.3">
      <c r="B7" t="s">
        <v>7</v>
      </c>
      <c r="C7">
        <v>17</v>
      </c>
      <c r="D7">
        <v>25</v>
      </c>
      <c r="F7" t="s">
        <v>7</v>
      </c>
      <c r="G7">
        <v>17</v>
      </c>
      <c r="H7">
        <v>25</v>
      </c>
      <c r="K7" s="15">
        <v>50</v>
      </c>
      <c r="L7" s="15">
        <v>18.850000000000001</v>
      </c>
      <c r="M7" s="15">
        <v>25</v>
      </c>
      <c r="N7" s="15">
        <v>15.75</v>
      </c>
      <c r="O7" s="15">
        <v>20</v>
      </c>
      <c r="P7" s="15">
        <v>12.5</v>
      </c>
      <c r="Q7" s="15">
        <v>18</v>
      </c>
      <c r="R7" s="15">
        <v>9.5</v>
      </c>
      <c r="S7" s="15">
        <v>13</v>
      </c>
      <c r="T7" s="15">
        <v>6.25</v>
      </c>
      <c r="U7" s="15">
        <v>9</v>
      </c>
      <c r="V7" s="15">
        <v>3.1</v>
      </c>
      <c r="W7" s="15">
        <v>8</v>
      </c>
      <c r="X7" s="15">
        <v>0</v>
      </c>
    </row>
    <row r="8" spans="2:24" ht="13.8" thickBot="1" x14ac:dyDescent="0.35">
      <c r="B8" t="s">
        <v>75</v>
      </c>
      <c r="C8">
        <v>29</v>
      </c>
      <c r="D8">
        <v>20</v>
      </c>
      <c r="F8" t="s">
        <v>75</v>
      </c>
      <c r="G8">
        <v>29</v>
      </c>
      <c r="H8">
        <v>20</v>
      </c>
      <c r="K8" s="16"/>
      <c r="L8" s="16"/>
      <c r="M8" s="16"/>
      <c r="N8" s="16"/>
      <c r="O8" s="16">
        <v>29.1</v>
      </c>
      <c r="P8" s="16">
        <v>13.5</v>
      </c>
      <c r="Q8" s="16"/>
      <c r="R8" s="16"/>
      <c r="S8" s="16"/>
      <c r="T8" s="16"/>
      <c r="U8" s="17"/>
      <c r="V8" s="17"/>
      <c r="W8" s="17"/>
      <c r="X8" s="17"/>
    </row>
    <row r="9" spans="2:24" x14ac:dyDescent="0.3">
      <c r="B9" t="s">
        <v>76</v>
      </c>
      <c r="C9">
        <v>7</v>
      </c>
      <c r="D9">
        <v>18</v>
      </c>
      <c r="F9" t="s">
        <v>76</v>
      </c>
      <c r="G9">
        <v>7</v>
      </c>
      <c r="H9">
        <v>18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2:24" x14ac:dyDescent="0.3">
      <c r="B10" t="s">
        <v>5</v>
      </c>
      <c r="C10">
        <v>9</v>
      </c>
      <c r="D10">
        <v>13</v>
      </c>
      <c r="F10" t="s">
        <v>5</v>
      </c>
      <c r="G10">
        <v>9</v>
      </c>
      <c r="H10">
        <v>13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4" x14ac:dyDescent="0.3">
      <c r="B11" t="s">
        <v>3</v>
      </c>
      <c r="C11">
        <v>2</v>
      </c>
      <c r="D11">
        <v>9</v>
      </c>
      <c r="F11" t="s">
        <v>3</v>
      </c>
      <c r="G11">
        <v>2</v>
      </c>
      <c r="H11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4" x14ac:dyDescent="0.3">
      <c r="B12" t="s">
        <v>9</v>
      </c>
      <c r="C12">
        <v>2</v>
      </c>
      <c r="D12">
        <v>8</v>
      </c>
      <c r="F12" t="s">
        <v>9</v>
      </c>
      <c r="G12">
        <v>2</v>
      </c>
      <c r="H12">
        <v>8</v>
      </c>
      <c r="K12" s="1"/>
      <c r="L12" s="1"/>
      <c r="M12" s="1"/>
      <c r="N12" s="1"/>
      <c r="O12" s="1"/>
      <c r="P12" s="1"/>
      <c r="Q12" s="1"/>
      <c r="R12" s="1"/>
      <c r="S12" s="1"/>
      <c r="T12" s="1"/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图1</vt:lpstr>
      <vt:lpstr>图2</vt:lpstr>
      <vt:lpstr>图3</vt:lpstr>
      <vt:lpstr>图4</vt:lpstr>
      <vt:lpstr>图5</vt:lpstr>
      <vt:lpstr>图6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Tarzan 苏华侨</dc:creator>
  <cp:lastModifiedBy>拉登Dony</cp:lastModifiedBy>
  <dcterms:created xsi:type="dcterms:W3CDTF">2016-11-16T03:25:06Z</dcterms:created>
  <dcterms:modified xsi:type="dcterms:W3CDTF">2019-03-08T02:30:30Z</dcterms:modified>
</cp:coreProperties>
</file>