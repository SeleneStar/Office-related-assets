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E7" i="1" s="1"/>
  <c r="C8" i="1"/>
  <c r="C9" i="1"/>
  <c r="C10" i="1"/>
  <c r="C11" i="1"/>
  <c r="C4" i="1"/>
  <c r="E5" i="1" l="1"/>
  <c r="E6" i="1"/>
  <c r="D8" i="1"/>
  <c r="E9" i="1"/>
  <c r="E10" i="1"/>
  <c r="E11" i="1"/>
  <c r="E4" i="1"/>
  <c r="D4" i="1" l="1"/>
  <c r="E8" i="1"/>
  <c r="D11" i="1"/>
  <c r="D7" i="1"/>
  <c r="D10" i="1"/>
  <c r="D6" i="1"/>
  <c r="D9" i="1"/>
  <c r="D5" i="1"/>
</calcChain>
</file>

<file path=xl/sharedStrings.xml><?xml version="1.0" encoding="utf-8"?>
<sst xmlns="http://schemas.openxmlformats.org/spreadsheetml/2006/main" count="16" uniqueCount="16">
  <si>
    <t xml:space="preserve"> </t>
  </si>
  <si>
    <t xml:space="preserve">ONE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</si>
  <si>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</si>
  <si>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</si>
  <si>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</si>
  <si>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小A</t>
    <phoneticPr fontId="2" type="noConversion"/>
  </si>
  <si>
    <t>小F</t>
    <phoneticPr fontId="2" type="noConversion"/>
  </si>
  <si>
    <t>小K</t>
    <phoneticPr fontId="2" type="noConversion"/>
  </si>
  <si>
    <t>小Y</t>
    <phoneticPr fontId="2" type="noConversion"/>
  </si>
  <si>
    <t>平均值</t>
    <phoneticPr fontId="2" type="noConversion"/>
  </si>
  <si>
    <t>小Q</t>
    <phoneticPr fontId="2" type="noConversion"/>
  </si>
  <si>
    <t>小于平均值</t>
    <phoneticPr fontId="2" type="noConversion"/>
  </si>
  <si>
    <t>大于平均值</t>
    <phoneticPr fontId="2" type="noConversion"/>
  </si>
  <si>
    <t>小C</t>
    <phoneticPr fontId="2" type="noConversion"/>
  </si>
  <si>
    <t>小H</t>
    <phoneticPr fontId="2" type="noConversion"/>
  </si>
  <si>
    <t>小D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</si>
</sst>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0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477080551846907E-2"/>
          <c:y val="2.1723395041649336E-2"/>
          <c:w val="0.95104583889630623"/>
          <c:h val="0.8588948607635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'Z26'!$B$3</c:f>
              <c:strCache>
                <c:ptCount val="1"/>
                <c:pt idx="0">
                  <c:v>ONE </c:v>
                </c:pt>
              </c:strCache>
            </c:strRef>
          </c:tx>
          <c:spPr>
            <a:solidFill>
              <a:srgbClr val="0064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'Z26'!$B$4:$B$11</c:f>
              <c:numCache>
                <c:formatCode>0%</c:formatCode>
                <c:ptCount val="8"/>
                <c:pt idx="0">
                  <c:v>0.49</c:v>
                </c:pt>
                <c:pt idx="1">
                  <c:v>0.39</c:v>
                </c:pt>
                <c:pt idx="2">
                  <c:v>0.55000000000000004</c:v>
                </c:pt>
                <c:pt idx="3">
                  <c:v>0.3</c:v>
                </c:pt>
                <c:pt idx="4">
                  <c:v>0.75</c:v>
                </c:pt>
                <c:pt idx="5">
                  <c:v>0.19700000000000001</c:v>
                </c:pt>
                <c:pt idx="6">
                  <c:v>0.51</c:v>
                </c:pt>
                <c:pt idx="7">
                  <c:v>0.28999999999999998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51142240"/>
        <c:axId val="-751141696"/>
      </c:barChart>
      <c:lineChart>
        <c:grouping val="standard"/>
        <c:varyColors val="0"/>
        <c:ser>
          <c:idx val="1"/>
          <c:order val="1"/>
          <c:tx>
            <c:strRef>
              <c:f>'Z26'!$C$3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'Z26'!$C$4:$C$11</c:f>
              <c:numCache>
                <c:formatCode>0%</c:formatCode>
                <c:ptCount val="8"/>
                <c:pt idx="0">
                  <c:v>0.43462500000000004</c:v>
                </c:pt>
                <c:pt idx="1">
                  <c:v>0.43462500000000004</c:v>
                </c:pt>
                <c:pt idx="2">
                  <c:v>0.43462500000000004</c:v>
                </c:pt>
                <c:pt idx="3">
                  <c:v>0.43462500000000004</c:v>
                </c:pt>
                <c:pt idx="4">
                  <c:v>0.43462500000000004</c:v>
                </c:pt>
                <c:pt idx="5">
                  <c:v>0.43462500000000004</c:v>
                </c:pt>
                <c:pt idx="6">
                  <c:v>0.43462500000000004</c:v>
                </c:pt>
                <c:pt idx="7">
                  <c:v>0.43462500000000004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1142240"/>
        <c:axId val="-751141696"/>
      </c:lineChart>
      <c:catAx>
        <c:axId val="-7511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751141696"/>
        <c:crosses val="autoZero"/>
        <c:auto val="1"/>
        <c:lblAlgn val="ctr"/>
        <c:lblOffset val="100"/>
        <c:noMultiLvlLbl val="0"/>
      </c:catAx>
      <c:valAx>
        <c:axId val="-751141696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-7511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'Z26'!$B$3</c:f>
              <c:strCache>
                <c:ptCount val="1"/>
                <c:pt idx="0">
                  <c:v>ONE </c:v>
                </c:pt>
              </c:strCache>
            </c:strRef>
          </c:tx>
          <c:spPr>
            <a:solidFill>
              <a:srgbClr val="0064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'Z26'!$B$4:$B$11</c:f>
              <c:numCache>
                <c:formatCode>0%</c:formatCode>
                <c:ptCount val="8"/>
                <c:pt idx="0">
                  <c:v>0.49</c:v>
                </c:pt>
                <c:pt idx="1">
                  <c:v>0.39</c:v>
                </c:pt>
                <c:pt idx="2">
                  <c:v>0.55000000000000004</c:v>
                </c:pt>
                <c:pt idx="3">
                  <c:v>0.3</c:v>
                </c:pt>
                <c:pt idx="4">
                  <c:v>0.75</c:v>
                </c:pt>
                <c:pt idx="5">
                  <c:v>0.19700000000000001</c:v>
                </c:pt>
                <c:pt idx="6">
                  <c:v>0.51</c:v>
                </c:pt>
                <c:pt idx="7">
                  <c:v>0.28999999999999998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51143872"/>
        <c:axId val="-751135168"/>
      </c:barChart>
      <c:barChart>
        <c:barDir val="col"/>
        <c:grouping val="clustered"/>
        <c:varyColors val="0"/>
        <c:ser>
          <c:idx val="2"/>
          <c:order val="2"/>
          <c:tx>
            <c:strRef>
              <c:f>'Z26'!$D$3</c:f>
              <c:strCache>
                <c:ptCount val="1"/>
                <c:pt idx="0">
                  <c:v>小于平均值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'Z26'!$D$4:$D$11</c:f>
              <c:numCache>
                <c:formatCode>0%</c:formatCode>
                <c:ptCount val="8"/>
                <c:pt idx="0">
                  <c:v>#N/A</c:v>
                </c:pt>
                <c:pt idx="1">
                  <c:v>0.39</c:v>
                </c:pt>
                <c:pt idx="2">
                  <c:v>#N/A</c:v>
                </c:pt>
                <c:pt idx="3">
                  <c:v>0.3</c:v>
                </c:pt>
                <c:pt idx="4">
                  <c:v>#N/A</c:v>
                </c:pt>
                <c:pt idx="5">
                  <c:v>0.19700000000000001</c:v>
                </c:pt>
                <c:pt idx="6">
                  <c:v>#N/A</c:v>
                </c:pt>
                <c:pt idx="7">
                  <c:v>0.28999999999999998</c:v>
                </c:pt>
              </c:numCache>
            </c:numRef>
          </c:val>
        </c:ser>
        <c:ser>
          <c:idx val="3"/>
          <c:order val="3"/>
          <c:tx>
            <c:strRef>
              <c:f>'Z26'!$E$3</c:f>
              <c:strCache>
                <c:ptCount val="1"/>
                <c:pt idx="0">
                  <c:v>大于平均值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'Z26'!$E$4:$E$11</c:f>
              <c:numCache>
                <c:formatCode>0%</c:formatCode>
                <c:ptCount val="8"/>
                <c:pt idx="0">
                  <c:v>0.49</c:v>
                </c:pt>
                <c:pt idx="1">
                  <c:v>#N/A</c:v>
                </c:pt>
                <c:pt idx="2">
                  <c:v>0.55000000000000004</c:v>
                </c:pt>
                <c:pt idx="3">
                  <c:v>#N/A</c:v>
                </c:pt>
                <c:pt idx="4">
                  <c:v>0.75</c:v>
                </c:pt>
                <c:pt idx="5">
                  <c:v>#N/A</c:v>
                </c:pt>
                <c:pt idx="6">
                  <c:v>0.51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-751132448"/>
        <c:axId val="-751134624"/>
      </c:barChart>
      <c:lineChart>
        <c:grouping val="standard"/>
        <c:varyColors val="0"/>
        <c:ser>
          <c:idx val="1"/>
          <c:order val="1"/>
          <c:tx>
            <c:strRef>
              <c:f>'Z26'!$C$3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'Z26'!$A$4:$A$11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'Z26'!$C$4:$C$11</c:f>
              <c:numCache>
                <c:formatCode>0%</c:formatCode>
                <c:ptCount val="8"/>
                <c:pt idx="0">
                  <c:v>0.43462500000000004</c:v>
                </c:pt>
                <c:pt idx="1">
                  <c:v>0.43462500000000004</c:v>
                </c:pt>
                <c:pt idx="2">
                  <c:v>0.43462500000000004</c:v>
                </c:pt>
                <c:pt idx="3">
                  <c:v>0.43462500000000004</c:v>
                </c:pt>
                <c:pt idx="4">
                  <c:v>0.43462500000000004</c:v>
                </c:pt>
                <c:pt idx="5">
                  <c:v>0.43462500000000004</c:v>
                </c:pt>
                <c:pt idx="6">
                  <c:v>0.43462500000000004</c:v>
                </c:pt>
                <c:pt idx="7">
                  <c:v>0.43462500000000004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1143872"/>
        <c:axId val="-751135168"/>
      </c:lineChart>
      <c:catAx>
        <c:axId val="-75114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751135168"/>
        <c:crosses val="autoZero"/>
        <c:auto val="1"/>
        <c:lblAlgn val="ctr"/>
        <c:lblOffset val="100"/>
        <c:noMultiLvlLbl val="0"/>
      </c:catAx>
      <c:valAx>
        <c:axId val="-751135168"/>
        <c:scaling>
          <c:orientation val="minMax"/>
          <c:max val="0.8"/>
        </c:scaling>
        <c:delete val="1"/>
        <c:axPos val="l"/>
        <c:numFmt formatCode="0%" sourceLinked="1"/>
        <c:majorTickMark val="out"/>
        <c:minorTickMark val="none"/>
        <c:tickLblPos val="nextTo"/>
        <c:crossAx val="-751143872"/>
        <c:crosses val="autoZero"/>
        <c:crossBetween val="between"/>
      </c:valAx>
      <c:valAx>
        <c:axId val="-751134624"/>
        <c:scaling>
          <c:orientation val="minMax"/>
          <c:max val="0.8"/>
        </c:scaling>
        <c:delete val="1"/>
        <c:axPos val="r"/>
        <c:numFmt formatCode="0%" sourceLinked="1"/>
        <c:majorTickMark val="out"/>
        <c:minorTickMark val="none"/>
        <c:tickLblPos val="nextTo"/>
        <c:crossAx val="-751132448"/>
        <c:crosses val="max"/>
        <c:crossBetween val="between"/>
      </c:valAx>
      <c:catAx>
        <c:axId val="-751132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751134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255693</xdr:colOff>
      <xdr:row>1</xdr:row>
      <xdr:rowOff>131234</xdr:rowOff>
    </xdr:from>
    <xdr:to>
      <xdr:col>15</xdr:col>
      <xdr:colOff>476673</xdr:colOff>
      <xdr:row>20</xdr:row>
      <xdr:rowOff>108373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465667</xdr:colOff>
      <xdr:row>24</xdr:row>
      <xdr:rowOff>58420</xdr:rowOff>
    </xdr:from>
    <xdr:to>
      <xdr:col>15</xdr:col>
      <xdr:colOff>686647</xdr:colOff>
      <xdr:row>43</xdr:row>
      <xdr:rowOff>15241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abSelected="1" zoomScale="90" zoomScaleNormal="90" workbookViewId="0">
      <selection activeCell="C28" sqref="C28"/>
    </sheetView>
  </sheetViews>
  <sheetFormatPr defaultRowHeight="13.8" x14ac:dyDescent="0.25"/>
  <cols>
    <col min="1" max="1" width="13.88671875" style="2" bestFit="1" customWidth="1"/>
    <col min="2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34.200000000000003" customHeight="1" x14ac:dyDescent="0.25">
      <c r="A1" s="8" t="s">
        <v>3</v>
      </c>
      <c r="B1" s="8"/>
      <c r="C1" s="1"/>
      <c r="D1" s="1"/>
      <c r="E1" s="1"/>
      <c r="F1" s="1"/>
      <c r="G1" s="8" t="s">
        <v>2</v>
      </c>
      <c r="H1" s="8"/>
      <c r="I1" s="8"/>
      <c r="J1" s="8"/>
      <c r="K1" s="8"/>
      <c r="L1" s="8"/>
      <c r="M1" s="8"/>
      <c r="N1" s="8"/>
      <c r="O1" s="8"/>
      <c r="P1" s="8"/>
      <c r="Q1" s="9" t="s">
        <v>4</v>
      </c>
      <c r="R1" s="9"/>
      <c r="S1" s="9"/>
      <c r="T1" s="9"/>
    </row>
    <row r="2" spans="1:20" x14ac:dyDescent="0.25">
      <c r="A2" s="10"/>
      <c r="B2" s="10"/>
    </row>
    <row r="3" spans="1:20" ht="15.6" x14ac:dyDescent="0.25">
      <c r="A3" s="13" t="s">
        <v>0</v>
      </c>
      <c r="B3" s="13" t="s">
        <v>1</v>
      </c>
      <c r="C3" s="11" t="s">
        <v>9</v>
      </c>
      <c r="D3" s="11" t="s">
        <v>11</v>
      </c>
      <c r="E3" s="11" t="s">
        <v>12</v>
      </c>
    </row>
    <row r="4" spans="1:20" ht="15.6" x14ac:dyDescent="0.25">
      <c r="A4" s="13" t="s">
        <v>5</v>
      </c>
      <c r="B4" s="14">
        <v>0.49</v>
      </c>
      <c r="C4" s="12">
        <f>AVERAGE($B$4:$B$11)</f>
        <v>0.43462500000000004</v>
      </c>
      <c r="D4" s="12" t="e">
        <f>IF(B4&lt;C4,B4,#N/A)</f>
        <v>#N/A</v>
      </c>
      <c r="E4" s="12">
        <f>IF(B4&gt;C4,B4,#N/A)</f>
        <v>0.49</v>
      </c>
      <c r="F4" s="4"/>
    </row>
    <row r="5" spans="1:20" ht="15.6" x14ac:dyDescent="0.25">
      <c r="A5" s="13" t="s">
        <v>13</v>
      </c>
      <c r="B5" s="14">
        <v>0.39</v>
      </c>
      <c r="C5" s="12">
        <f t="shared" ref="C5:C11" si="0">AVERAGE($B$4:$B$11)</f>
        <v>0.43462500000000004</v>
      </c>
      <c r="D5" s="12">
        <f t="shared" ref="D5:D11" si="1">IF(B5&lt;C5,B5,#N/A)</f>
        <v>0.39</v>
      </c>
      <c r="E5" s="12" t="e">
        <f t="shared" ref="E5:E11" si="2">IF(B5&gt;C5,B5,#N/A)</f>
        <v>#N/A</v>
      </c>
      <c r="F5" s="4"/>
    </row>
    <row r="6" spans="1:20" ht="15.6" x14ac:dyDescent="0.25">
      <c r="A6" s="13" t="s">
        <v>6</v>
      </c>
      <c r="B6" s="14">
        <v>0.55000000000000004</v>
      </c>
      <c r="C6" s="12">
        <f t="shared" si="0"/>
        <v>0.43462500000000004</v>
      </c>
      <c r="D6" s="12" t="e">
        <f t="shared" si="1"/>
        <v>#N/A</v>
      </c>
      <c r="E6" s="12">
        <f t="shared" si="2"/>
        <v>0.55000000000000004</v>
      </c>
      <c r="F6" s="4"/>
    </row>
    <row r="7" spans="1:20" ht="15.6" x14ac:dyDescent="0.25">
      <c r="A7" s="13" t="s">
        <v>14</v>
      </c>
      <c r="B7" s="14">
        <v>0.3</v>
      </c>
      <c r="C7" s="12">
        <f t="shared" si="0"/>
        <v>0.43462500000000004</v>
      </c>
      <c r="D7" s="12">
        <f t="shared" si="1"/>
        <v>0.3</v>
      </c>
      <c r="E7" s="12" t="e">
        <f>IF(B7&gt;C7,B7,#N/A)</f>
        <v>#N/A</v>
      </c>
      <c r="F7" s="4"/>
    </row>
    <row r="8" spans="1:20" ht="15.6" x14ac:dyDescent="0.25">
      <c r="A8" s="13" t="s">
        <v>10</v>
      </c>
      <c r="B8" s="14">
        <v>0.75</v>
      </c>
      <c r="C8" s="12">
        <f t="shared" si="0"/>
        <v>0.43462500000000004</v>
      </c>
      <c r="D8" s="12" t="e">
        <f t="shared" si="1"/>
        <v>#N/A</v>
      </c>
      <c r="E8" s="12">
        <f t="shared" si="2"/>
        <v>0.75</v>
      </c>
      <c r="F8" s="4"/>
    </row>
    <row r="9" spans="1:20" ht="15.6" x14ac:dyDescent="0.25">
      <c r="A9" s="13" t="s">
        <v>7</v>
      </c>
      <c r="B9" s="14">
        <v>0.19700000000000001</v>
      </c>
      <c r="C9" s="12">
        <f t="shared" si="0"/>
        <v>0.43462500000000004</v>
      </c>
      <c r="D9" s="12">
        <f t="shared" si="1"/>
        <v>0.19700000000000001</v>
      </c>
      <c r="E9" s="12" t="e">
        <f t="shared" si="2"/>
        <v>#N/A</v>
      </c>
      <c r="F9" s="4"/>
    </row>
    <row r="10" spans="1:20" ht="15.6" x14ac:dyDescent="0.25">
      <c r="A10" s="13" t="s">
        <v>8</v>
      </c>
      <c r="B10" s="14">
        <v>0.51</v>
      </c>
      <c r="C10" s="12">
        <f t="shared" si="0"/>
        <v>0.43462500000000004</v>
      </c>
      <c r="D10" s="12" t="e">
        <f t="shared" si="1"/>
        <v>#N/A</v>
      </c>
      <c r="E10" s="12">
        <f t="shared" si="2"/>
        <v>0.51</v>
      </c>
      <c r="F10" s="4"/>
    </row>
    <row r="11" spans="1:20" ht="15.6" x14ac:dyDescent="0.25">
      <c r="A11" s="13" t="s">
        <v>15</v>
      </c>
      <c r="B11" s="14">
        <v>0.28999999999999998</v>
      </c>
      <c r="C11" s="12">
        <f t="shared" si="0"/>
        <v>0.43462500000000004</v>
      </c>
      <c r="D11" s="12">
        <f t="shared" si="1"/>
        <v>0.28999999999999998</v>
      </c>
      <c r="E11" s="12" t="e">
        <f t="shared" si="2"/>
        <v>#N/A</v>
      </c>
      <c r="F11" s="4"/>
    </row>
    <row r="12" spans="1:20" x14ac:dyDescent="0.25">
      <c r="C12" s="5"/>
    </row>
    <row r="16" spans="1:20" x14ac:dyDescent="0.25">
      <c r="Q16" s="3"/>
      <c r="R16" s="3"/>
    </row>
    <row r="24" spans="10:10" x14ac:dyDescent="0.25">
      <c r="J24" s="6"/>
    </row>
    <row r="34" spans="2:5" x14ac:dyDescent="0.25">
      <c r="B34" s="4"/>
      <c r="C34" s="4"/>
      <c r="D34" s="4"/>
      <c r="E34" s="4"/>
    </row>
    <row r="35" spans="2:5" x14ac:dyDescent="0.25">
      <c r="B35" s="4"/>
      <c r="C35" s="4"/>
      <c r="D35" s="4"/>
      <c r="E35" s="4"/>
    </row>
    <row r="36" spans="2:5" x14ac:dyDescent="0.25">
      <c r="B36" s="4"/>
      <c r="C36" s="4"/>
      <c r="D36" s="4"/>
      <c r="E36" s="4"/>
    </row>
    <row r="37" spans="2:5" x14ac:dyDescent="0.25">
      <c r="B37" s="4"/>
      <c r="C37" s="4"/>
      <c r="D37" s="4"/>
      <c r="E37" s="4"/>
    </row>
    <row r="38" spans="2:5" x14ac:dyDescent="0.25">
      <c r="B38" s="4"/>
      <c r="C38" s="4"/>
      <c r="D38" s="4"/>
      <c r="E38" s="4"/>
    </row>
    <row r="39" spans="2:5" x14ac:dyDescent="0.25">
      <c r="B39" s="4"/>
      <c r="C39" s="4"/>
      <c r="D39" s="4"/>
      <c r="E39" s="4"/>
    </row>
    <row r="40" spans="2:5" x14ac:dyDescent="0.25">
      <c r="B40" s="4"/>
      <c r="C40" s="4"/>
      <c r="D40" s="4"/>
      <c r="E40" s="4"/>
    </row>
    <row r="41" spans="2:5" x14ac:dyDescent="0.25">
      <c r="B41" s="4"/>
      <c r="C41" s="4"/>
      <c r="D41" s="4"/>
      <c r="E41" s="4"/>
    </row>
    <row r="42" spans="2:5" x14ac:dyDescent="0.25">
      <c r="B42" s="4"/>
      <c r="C42" s="4"/>
      <c r="D42" s="4"/>
      <c r="E42" s="4"/>
    </row>
    <row r="43" spans="2:5" x14ac:dyDescent="0.25">
      <c r="B43" s="4"/>
      <c r="C43" s="4"/>
      <c r="D43" s="4"/>
      <c r="E43" s="4"/>
    </row>
    <row r="44" spans="2:5" x14ac:dyDescent="0.25">
      <c r="B44" s="4"/>
      <c r="C44" s="4"/>
      <c r="D44" s="4"/>
      <c r="E44" s="4"/>
    </row>
    <row r="45" spans="2:5" x14ac:dyDescent="0.25">
      <c r="B45" s="4"/>
      <c r="C45" s="4"/>
      <c r="D45" s="4"/>
      <c r="E45" s="4"/>
    </row>
    <row r="62" spans="18:18" x14ac:dyDescent="0.25">
      <c r="R62" s="7"/>
    </row>
  </sheetData>
  <mergeCells count="4">
    <mergeCell ref="A1:B1"/>
    <mergeCell ref="G1:P1"/>
    <mergeCell ref="Q1:T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2018-05-26T12:15:59Z</dcterms:modified>
</cp:coreProperties>
</file>