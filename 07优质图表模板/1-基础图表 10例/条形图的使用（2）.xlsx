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2-输出\7-Monetizing\课件开发\KF013-Excel这样用，图表课程\T12-福利模板\第1波，福利模板\1-基础图表 10例\"/>
    </mc:Choice>
  </mc:AlternateContent>
  <xr:revisionPtr revIDLastSave="0" documentId="13_ncr:1_{A9637BEF-6F3C-4DE2-8A8A-1EFF9F8B86FB}" xr6:coauthVersionLast="40" xr6:coauthVersionMax="40" xr10:uidLastSave="{00000000-0000-0000-0000-000000000000}"/>
  <bookViews>
    <workbookView xWindow="-108" yWindow="-108" windowWidth="23256" windowHeight="12720" activeTab="4" xr2:uid="{00000000-000D-0000-FFFF-FFFF00000000}"/>
  </bookViews>
  <sheets>
    <sheet name="图7" sheetId="8" r:id="rId1"/>
    <sheet name="图8" sheetId="9" r:id="rId2"/>
    <sheet name="图9" sheetId="10" r:id="rId3"/>
    <sheet name="图10" sheetId="11" r:id="rId4"/>
    <sheet name="图11" sheetId="13" r:id="rId5"/>
  </sheets>
  <externalReferences>
    <externalReference r:id="rId6"/>
    <externalReference r:id="rId7"/>
  </externalReferenc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3" l="1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4" i="13"/>
  <c r="G7" i="11" l="1"/>
  <c r="G8" i="11"/>
  <c r="G9" i="11"/>
  <c r="G10" i="11"/>
  <c r="G11" i="11"/>
  <c r="G6" i="11"/>
</calcChain>
</file>

<file path=xl/sharedStrings.xml><?xml version="1.0" encoding="utf-8"?>
<sst xmlns="http://schemas.openxmlformats.org/spreadsheetml/2006/main" count="150" uniqueCount="87">
  <si>
    <t>国家</t>
    <phoneticPr fontId="1" type="noConversion"/>
  </si>
  <si>
    <t>法国</t>
    <phoneticPr fontId="1" type="noConversion"/>
  </si>
  <si>
    <t>helper</t>
    <phoneticPr fontId="1" type="noConversion"/>
  </si>
  <si>
    <t>作图数据</t>
    <phoneticPr fontId="1" type="noConversion"/>
  </si>
  <si>
    <t>x</t>
    <phoneticPr fontId="1" type="noConversion"/>
  </si>
  <si>
    <t>y</t>
    <phoneticPr fontId="1" type="noConversion"/>
  </si>
  <si>
    <t>对外投资占总资产的比，%</t>
    <phoneticPr fontId="1" type="noConversion"/>
  </si>
  <si>
    <t>美国的银行在对外投资方面不如欧洲的银行</t>
    <phoneticPr fontId="1" type="noConversion"/>
  </si>
  <si>
    <t>瑞士</t>
    <phoneticPr fontId="1" type="noConversion"/>
  </si>
  <si>
    <t>英国</t>
    <phoneticPr fontId="1" type="noConversion"/>
  </si>
  <si>
    <t>德国</t>
    <phoneticPr fontId="1" type="noConversion"/>
  </si>
  <si>
    <t>荷兰</t>
    <phoneticPr fontId="1" type="noConversion"/>
  </si>
  <si>
    <t>意大利</t>
    <phoneticPr fontId="1" type="noConversion"/>
  </si>
  <si>
    <t>美国</t>
    <phoneticPr fontId="1" type="noConversion"/>
  </si>
  <si>
    <t>作图数据</t>
    <phoneticPr fontId="1" type="noConversion"/>
  </si>
  <si>
    <t>枪支是美国几大城市谋杀案的主要作案工具</t>
    <phoneticPr fontId="1" type="noConversion"/>
  </si>
  <si>
    <t>城市</t>
    <phoneticPr fontId="1" type="noConversion"/>
  </si>
  <si>
    <t>芝加哥</t>
    <phoneticPr fontId="1" type="noConversion"/>
  </si>
  <si>
    <t>费城</t>
    <phoneticPr fontId="1" type="noConversion"/>
  </si>
  <si>
    <t>休斯敦</t>
    <phoneticPr fontId="1" type="noConversion"/>
  </si>
  <si>
    <t>洛杉矶</t>
    <phoneticPr fontId="1" type="noConversion"/>
  </si>
  <si>
    <t>纽约</t>
    <phoneticPr fontId="1" type="noConversion"/>
  </si>
  <si>
    <t>其它工具</t>
    <phoneticPr fontId="1" type="noConversion"/>
  </si>
  <si>
    <t>枪支</t>
    <phoneticPr fontId="1" type="noConversion"/>
  </si>
  <si>
    <t xml:space="preserve">   枪支是美国大城市凶杀案的主要作案工具</t>
    <phoneticPr fontId="1" type="noConversion"/>
  </si>
  <si>
    <t>优化女性的就业结构及增加女性的劳动参与是加拿大GDP增长的最大驱动力</t>
    <phoneticPr fontId="1" type="noConversion"/>
  </si>
  <si>
    <t>加拿大</t>
    <phoneticPr fontId="1" type="noConversion"/>
  </si>
  <si>
    <t>魁北克</t>
    <phoneticPr fontId="1" type="noConversion"/>
  </si>
  <si>
    <t>爱德华王子岛</t>
    <phoneticPr fontId="1" type="noConversion"/>
  </si>
  <si>
    <t>马尼托巴</t>
    <phoneticPr fontId="1" type="noConversion"/>
  </si>
  <si>
    <t>艾伯塔</t>
    <phoneticPr fontId="1" type="noConversion"/>
  </si>
  <si>
    <t>不列颠哥伦比亚</t>
    <phoneticPr fontId="1" type="noConversion"/>
  </si>
  <si>
    <t>安大略</t>
    <phoneticPr fontId="1" type="noConversion"/>
  </si>
  <si>
    <t>新斯科舍</t>
    <phoneticPr fontId="1" type="noConversion"/>
  </si>
  <si>
    <t>萨斯喀彻温</t>
    <phoneticPr fontId="1" type="noConversion"/>
  </si>
  <si>
    <t>纽芬兰</t>
    <phoneticPr fontId="1" type="noConversion"/>
  </si>
  <si>
    <t>新不伦瑞克</t>
    <phoneticPr fontId="1" type="noConversion"/>
  </si>
  <si>
    <t>就业结构优化</t>
    <phoneticPr fontId="1" type="noConversion"/>
  </si>
  <si>
    <t>增加劳动参与</t>
    <phoneticPr fontId="1" type="noConversion"/>
  </si>
  <si>
    <t>延长工作时间</t>
    <phoneticPr fontId="1" type="noConversion"/>
  </si>
  <si>
    <t>作图数据</t>
    <phoneticPr fontId="1" type="noConversion"/>
  </si>
  <si>
    <t>x</t>
    <phoneticPr fontId="1" type="noConversion"/>
  </si>
  <si>
    <t>y</t>
    <phoneticPr fontId="1" type="noConversion"/>
  </si>
  <si>
    <t>标签</t>
    <phoneticPr fontId="1" type="noConversion"/>
  </si>
  <si>
    <t>helper1</t>
    <phoneticPr fontId="1" type="noConversion"/>
  </si>
  <si>
    <t>helper2</t>
    <phoneticPr fontId="1" type="noConversion"/>
  </si>
  <si>
    <t>到2026年，相较于不做任何改变，加拿大女性所能创造的额外GDP增加值的原因占比</t>
    <phoneticPr fontId="1" type="noConversion"/>
  </si>
  <si>
    <r>
      <t xml:space="preserve">  </t>
    </r>
    <r>
      <rPr>
        <sz val="11"/>
        <color theme="1"/>
        <rFont val="微软雅黑"/>
        <family val="2"/>
        <charset val="134"/>
      </rPr>
      <t>优化女性的就业结构及增加女性的劳动参与是加拿大GDP增长的最大驱动力</t>
    </r>
    <phoneticPr fontId="1" type="noConversion"/>
  </si>
  <si>
    <t>男性和女性渴望升职的比例是相似的</t>
    <phoneticPr fontId="1" type="noConversion"/>
  </si>
  <si>
    <t>希望升职的人占调查者各自性别的比</t>
    <phoneticPr fontId="1" type="noConversion"/>
  </si>
  <si>
    <t>现场员工</t>
    <phoneticPr fontId="1" type="noConversion"/>
  </si>
  <si>
    <t>初级员工</t>
    <phoneticPr fontId="1" type="noConversion"/>
  </si>
  <si>
    <t>经理</t>
    <phoneticPr fontId="1" type="noConversion"/>
  </si>
  <si>
    <t>高管</t>
    <phoneticPr fontId="1" type="noConversion"/>
  </si>
  <si>
    <t>副总裁</t>
    <phoneticPr fontId="1" type="noConversion"/>
  </si>
  <si>
    <t>高级副总裁</t>
    <phoneticPr fontId="1" type="noConversion"/>
  </si>
  <si>
    <t>男</t>
    <phoneticPr fontId="1" type="noConversion"/>
  </si>
  <si>
    <t>女</t>
    <phoneticPr fontId="1" type="noConversion"/>
  </si>
  <si>
    <t xml:space="preserve"> </t>
    <phoneticPr fontId="1" type="noConversion"/>
  </si>
  <si>
    <t>金融</t>
    <phoneticPr fontId="1" type="noConversion"/>
  </si>
  <si>
    <t>电子</t>
    <phoneticPr fontId="1" type="noConversion"/>
  </si>
  <si>
    <t>餐饮住宿</t>
    <phoneticPr fontId="1" type="noConversion"/>
  </si>
  <si>
    <t>汽车卡车</t>
    <phoneticPr fontId="1" type="noConversion"/>
  </si>
  <si>
    <t>食品饮料</t>
    <phoneticPr fontId="1" type="noConversion"/>
  </si>
  <si>
    <t>医疗护理</t>
    <phoneticPr fontId="1" type="noConversion"/>
  </si>
  <si>
    <t>保险</t>
    <phoneticPr fontId="1" type="noConversion"/>
  </si>
  <si>
    <t>机械</t>
    <phoneticPr fontId="1" type="noConversion"/>
  </si>
  <si>
    <t>油气</t>
    <phoneticPr fontId="1" type="noConversion"/>
  </si>
  <si>
    <t>专业服务</t>
    <phoneticPr fontId="1" type="noConversion"/>
  </si>
  <si>
    <t>地产</t>
    <phoneticPr fontId="1" type="noConversion"/>
  </si>
  <si>
    <t>零售</t>
    <phoneticPr fontId="1" type="noConversion"/>
  </si>
  <si>
    <t>通讯</t>
    <phoneticPr fontId="1" type="noConversion"/>
  </si>
  <si>
    <t>交通运输</t>
    <phoneticPr fontId="1" type="noConversion"/>
  </si>
  <si>
    <t>水电能源</t>
    <phoneticPr fontId="1" type="noConversion"/>
  </si>
  <si>
    <t>成功交易的平均回报</t>
    <phoneticPr fontId="1" type="noConversion"/>
  </si>
  <si>
    <t>不成功交易的平均回报</t>
    <phoneticPr fontId="1" type="noConversion"/>
  </si>
  <si>
    <t>作图数据</t>
    <phoneticPr fontId="1" type="noConversion"/>
  </si>
  <si>
    <t>helper</t>
    <phoneticPr fontId="1" type="noConversion"/>
  </si>
  <si>
    <t>辅助</t>
    <phoneticPr fontId="1" type="noConversion"/>
  </si>
  <si>
    <t>x</t>
    <phoneticPr fontId="1" type="noConversion"/>
  </si>
  <si>
    <t>y</t>
    <phoneticPr fontId="1" type="noConversion"/>
  </si>
  <si>
    <t>上市公司年投资回报比较</t>
    <phoneticPr fontId="1" type="noConversion"/>
  </si>
  <si>
    <t>列1</t>
  </si>
  <si>
    <t>2007</t>
  </si>
  <si>
    <t>2016</t>
  </si>
  <si>
    <t xml:space="preserve"> </t>
    <phoneticPr fontId="1" type="noConversion"/>
  </si>
  <si>
    <t xml:space="preserve">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</si>
</sst>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5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color theme="1"/>
      <name val="华文细黑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right" vertical="center"/>
    </xf>
    <xf numFmtId="9" fontId="0" fillId="0" borderId="0" xfId="1" applyFont="1" applyAlignment="1">
      <alignment horizontal="right" vertical="center"/>
    </xf>
    <xf numFmtId="0" fontId="0" fillId="0" borderId="0" xfId="1" applyNumberFormat="1" applyFont="1" applyAlignment="1">
      <alignment horizontal="right" vertical="center"/>
    </xf>
  </cellXfs>
  <cellStyles count="2">
    <cellStyle name="百分比" xfId="1" builtinId="5"/>
    <cellStyle name="常规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77" formatCode="0.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77" formatCode="0.0"/>
      <alignment horizontal="right" vertical="center" textRotation="0" wrapText="0" indent="0" justifyLastLine="0" shrinkToFit="0" readingOrder="0"/>
    </dxf>
    <dxf>
      <numFmt numFmtId="177" formatCode="0.0"/>
      <alignment horizontal="right" vertical="center" textRotation="0" wrapText="0" indent="0" justifyLastLine="0" shrinkToFit="0" readingOrder="0"/>
    </dxf>
    <dxf>
      <numFmt numFmtId="177" formatCode="0.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77" formatCode="0.0"/>
      <alignment horizontal="right" vertical="center" textRotation="0" wrapText="0" indent="0" justifyLastLine="0" shrinkToFit="0" readingOrder="0"/>
    </dxf>
    <dxf>
      <numFmt numFmtId="177" formatCode="0.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AA8E1"/>
      <color rgb="FF98DBF6"/>
      <color rgb="FF99D7DB"/>
      <color rgb="FF66CEF5"/>
      <color rgb="FF00AD4C"/>
      <color rgb="FFBC1E24"/>
      <color rgb="FFC9CABB"/>
      <color rgb="FF2EC0E3"/>
      <color rgb="FF849EA8"/>
      <color rgb="FF527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</a:rPr>
              <a:t>美国的银行在对外投资的专注度上不如欧洲的银行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endParaRPr>
          </a:p>
          <a:p>
            <a:pPr algn="l">
              <a:defRPr/>
            </a:pPr>
            <a:r>
              <a:rPr lang="en-US" altLang="zh-CN" sz="1100">
                <a:solidFill>
                  <a:schemeClr val="tx1">
                    <a:lumMod val="50000"/>
                    <a:lumOff val="50000"/>
                  </a:schemeClr>
                </a:solidFill>
                <a:latin typeface="+mn-ea"/>
                <a:ea typeface="+mn-ea"/>
              </a:rPr>
              <a:t>%</a:t>
            </a:r>
            <a:r>
              <a:rPr lang="zh-CN" altLang="en-US" sz="1100">
                <a:solidFill>
                  <a:schemeClr val="tx1">
                    <a:lumMod val="50000"/>
                    <a:lumOff val="50000"/>
                  </a:schemeClr>
                </a:solidFill>
                <a:latin typeface="+mn-ea"/>
                <a:ea typeface="+mn-ea"/>
              </a:rPr>
              <a:t>，欧美主要国家的银行，海外资产在总资产的占比</a:t>
            </a:r>
            <a:endParaRPr lang="zh-CN" sz="1100">
              <a:solidFill>
                <a:schemeClr val="tx1">
                  <a:lumMod val="50000"/>
                  <a:lumOff val="50000"/>
                </a:schemeClr>
              </a:solidFill>
              <a:latin typeface="+mn-ea"/>
              <a:ea typeface="+mn-ea"/>
            </a:endParaRPr>
          </a:p>
        </c:rich>
      </c:tx>
      <c:layout>
        <c:manualLayout>
          <c:xMode val="edge"/>
          <c:yMode val="edge"/>
          <c:x val="2.2222222222222223E-2"/>
          <c:y val="3.5164837112011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639588801399826"/>
          <c:y val="0.18641769778777653"/>
          <c:w val="0.82219444444444445"/>
          <c:h val="0.728013394018983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图7!$G$5</c:f>
              <c:strCache>
                <c:ptCount val="1"/>
                <c:pt idx="0">
                  <c:v>helper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833333333333334"/>
                  <c:y val="-2.730787793439913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50-48B0-BAE1-8CEF3497C1F2}"/>
                </c:ext>
              </c:extLst>
            </c:dLbl>
            <c:dLbl>
              <c:idx val="1"/>
              <c:layout>
                <c:manualLayout>
                  <c:x val="-0.10833333333333334"/>
                  <c:y val="-2.730787793439916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0-48B0-BAE1-8CEF3497C1F2}"/>
                </c:ext>
              </c:extLst>
            </c:dLbl>
            <c:dLbl>
              <c:idx val="2"/>
              <c:layout>
                <c:manualLayout>
                  <c:x val="-0.10833333333333334"/>
                  <c:y val="-2.7307877934399111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50-48B0-BAE1-8CEF3497C1F2}"/>
                </c:ext>
              </c:extLst>
            </c:dLbl>
            <c:dLbl>
              <c:idx val="3"/>
              <c:layout>
                <c:manualLayout>
                  <c:x val="-0.10833333333333334"/>
                  <c:y val="-2.730787793439905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50-48B0-BAE1-8CEF3497C1F2}"/>
                </c:ext>
              </c:extLst>
            </c:dLbl>
            <c:dLbl>
              <c:idx val="4"/>
              <c:layout>
                <c:manualLayout>
                  <c:x val="-0.10833333333333334"/>
                  <c:y val="-2.730787793439916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50-48B0-BAE1-8CEF3497C1F2}"/>
                </c:ext>
              </c:extLst>
            </c:dLbl>
            <c:dLbl>
              <c:idx val="5"/>
              <c:layout>
                <c:manualLayout>
                  <c:x val="-0.10833333333333334"/>
                  <c:y val="-2.730787793439905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50-48B0-BAE1-8CEF3497C1F2}"/>
                </c:ext>
              </c:extLst>
            </c:dLbl>
            <c:dLbl>
              <c:idx val="6"/>
              <c:layout>
                <c:manualLayout>
                  <c:x val="-0.10833333333333334"/>
                  <c:y val="-2.7307877934399059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50-48B0-BAE1-8CEF3497C1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图7!$F$6:$F$12</c:f>
              <c:strCache>
                <c:ptCount val="7"/>
                <c:pt idx="0">
                  <c:v>瑞士</c:v>
                </c:pt>
                <c:pt idx="1">
                  <c:v>英国</c:v>
                </c:pt>
                <c:pt idx="2">
                  <c:v>德国</c:v>
                </c:pt>
                <c:pt idx="3">
                  <c:v>荷兰</c:v>
                </c:pt>
                <c:pt idx="4">
                  <c:v>法国</c:v>
                </c:pt>
                <c:pt idx="5">
                  <c:v>意大利</c:v>
                </c:pt>
                <c:pt idx="6">
                  <c:v>美国</c:v>
                </c:pt>
              </c:strCache>
            </c:strRef>
          </c:cat>
          <c:val>
            <c:numRef>
              <c:f>图7!$G$6:$G$12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0-48B0-BAE1-8CEF3497C1F2}"/>
            </c:ext>
          </c:extLst>
        </c:ser>
        <c:ser>
          <c:idx val="1"/>
          <c:order val="1"/>
          <c:tx>
            <c:strRef>
              <c:f>图7!$H$5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rgbClr val="98DBF6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8.333333333333333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450-48B0-BAE1-8CEF3497C1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图7!$F$6:$F$12</c:f>
              <c:strCache>
                <c:ptCount val="7"/>
                <c:pt idx="0">
                  <c:v>瑞士</c:v>
                </c:pt>
                <c:pt idx="1">
                  <c:v>英国</c:v>
                </c:pt>
                <c:pt idx="2">
                  <c:v>德国</c:v>
                </c:pt>
                <c:pt idx="3">
                  <c:v>荷兰</c:v>
                </c:pt>
                <c:pt idx="4">
                  <c:v>法国</c:v>
                </c:pt>
                <c:pt idx="5">
                  <c:v>意大利</c:v>
                </c:pt>
                <c:pt idx="6">
                  <c:v>美国</c:v>
                </c:pt>
              </c:strCache>
            </c:strRef>
          </c:cat>
          <c:val>
            <c:numRef>
              <c:f>图7!$H$6:$H$12</c:f>
              <c:numCache>
                <c:formatCode>General</c:formatCode>
                <c:ptCount val="7"/>
                <c:pt idx="0">
                  <c:v>89</c:v>
                </c:pt>
                <c:pt idx="1">
                  <c:v>68</c:v>
                </c:pt>
                <c:pt idx="2">
                  <c:v>65</c:v>
                </c:pt>
                <c:pt idx="3">
                  <c:v>63</c:v>
                </c:pt>
                <c:pt idx="4">
                  <c:v>44</c:v>
                </c:pt>
                <c:pt idx="5">
                  <c:v>42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0-48B0-BAE1-8CEF3497C1F2}"/>
            </c:ext>
          </c:extLst>
        </c:ser>
        <c:ser>
          <c:idx val="2"/>
          <c:order val="2"/>
          <c:tx>
            <c:strRef>
              <c:f>图7!$I$5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0AA8E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图7!$F$6:$F$12</c:f>
              <c:strCache>
                <c:ptCount val="7"/>
                <c:pt idx="0">
                  <c:v>瑞士</c:v>
                </c:pt>
                <c:pt idx="1">
                  <c:v>英国</c:v>
                </c:pt>
                <c:pt idx="2">
                  <c:v>德国</c:v>
                </c:pt>
                <c:pt idx="3">
                  <c:v>荷兰</c:v>
                </c:pt>
                <c:pt idx="4">
                  <c:v>法国</c:v>
                </c:pt>
                <c:pt idx="5">
                  <c:v>意大利</c:v>
                </c:pt>
                <c:pt idx="6">
                  <c:v>美国</c:v>
                </c:pt>
              </c:strCache>
            </c:strRef>
          </c:cat>
          <c:val>
            <c:numRef>
              <c:f>图7!$I$6:$I$12</c:f>
              <c:numCache>
                <c:formatCode>General</c:formatCode>
                <c:ptCount val="7"/>
                <c:pt idx="0">
                  <c:v>66</c:v>
                </c:pt>
                <c:pt idx="1">
                  <c:v>57</c:v>
                </c:pt>
                <c:pt idx="2">
                  <c:v>33</c:v>
                </c:pt>
                <c:pt idx="3">
                  <c:v>50</c:v>
                </c:pt>
                <c:pt idx="4">
                  <c:v>23</c:v>
                </c:pt>
                <c:pt idx="5">
                  <c:v>41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0-48B0-BAE1-8CEF3497C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80"/>
        <c:axId val="584217760"/>
        <c:axId val="584217104"/>
      </c:barChart>
      <c:catAx>
        <c:axId val="58421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84217104"/>
        <c:crosses val="autoZero"/>
        <c:auto val="1"/>
        <c:lblAlgn val="ctr"/>
        <c:lblOffset val="100"/>
        <c:noMultiLvlLbl val="0"/>
      </c:catAx>
      <c:valAx>
        <c:axId val="58421710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8421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6583836395450569"/>
          <c:y val="0.14410220846712327"/>
          <c:w val="0.20371281714785652"/>
          <c:h val="4.9543163218453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</a:rPr>
              <a:t>美国大城市的凶杀案发生率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endParaRPr>
          </a:p>
          <a:p>
            <a:pPr algn="l">
              <a:defRPr sz="120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</a:defRPr>
            </a:pPr>
            <a:r>
              <a:rPr lang="zh-CN" altLang="en-US" sz="105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</a:rPr>
              <a:t>每</a:t>
            </a:r>
            <a:r>
              <a:rPr lang="en-US" altLang="zh-CN" sz="105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</a:rPr>
              <a:t>10</a:t>
            </a:r>
            <a:r>
              <a:rPr lang="zh-CN" altLang="en-US" sz="105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</a:rPr>
              <a:t>万人口的发生起数，按作案工具是否枪支划分</a:t>
            </a:r>
            <a:endParaRPr lang="en-US" altLang="zh-CN" sz="105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endParaRPr>
          </a:p>
          <a:p>
            <a:pPr algn="l">
              <a:defRPr sz="120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</a:defRPr>
            </a:pPr>
            <a:r>
              <a:rPr lang="en-US" altLang="zh-CN" sz="100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</a:rPr>
              <a:t>2000-2015</a:t>
            </a:r>
            <a:r>
              <a:rPr lang="zh-CN" altLang="en-US" sz="1000">
                <a:solidFill>
                  <a:schemeClr val="tx1">
                    <a:lumMod val="85000"/>
                    <a:lumOff val="15000"/>
                  </a:schemeClr>
                </a:solidFill>
                <a:latin typeface="+mn-ea"/>
                <a:ea typeface="+mn-ea"/>
              </a:rPr>
              <a:t>年</a:t>
            </a:r>
            <a:endPara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</a:endParaRPr>
          </a:p>
        </c:rich>
      </c:tx>
      <c:layout>
        <c:manualLayout>
          <c:xMode val="edge"/>
          <c:yMode val="edge"/>
          <c:x val="2.34375E-2"/>
          <c:y val="3.2163727879666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273809523809524"/>
          <c:y val="0.26204434964932388"/>
          <c:w val="0.81845988001499814"/>
          <c:h val="0.6068597587010969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图8!$G$4</c:f>
              <c:strCache>
                <c:ptCount val="1"/>
                <c:pt idx="0">
                  <c:v>helper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98958333333333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21-4D34-B4D2-03A0582685DC}"/>
                </c:ext>
              </c:extLst>
            </c:dLbl>
            <c:dLbl>
              <c:idx val="1"/>
              <c:layout>
                <c:manualLayout>
                  <c:x val="-6.7708333333333329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21-4D34-B4D2-03A0582685DC}"/>
                </c:ext>
              </c:extLst>
            </c:dLbl>
            <c:dLbl>
              <c:idx val="2"/>
              <c:layout>
                <c:manualLayout>
                  <c:x val="-5.598958333333333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21-4D34-B4D2-03A0582685DC}"/>
                </c:ext>
              </c:extLst>
            </c:dLbl>
            <c:dLbl>
              <c:idx val="3"/>
              <c:layout>
                <c:manualLayout>
                  <c:x val="-5.598958333333333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21-4D34-B4D2-03A0582685DC}"/>
                </c:ext>
              </c:extLst>
            </c:dLbl>
            <c:dLbl>
              <c:idx val="4"/>
              <c:layout>
                <c:manualLayout>
                  <c:x val="-6.7708333333333329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21-4D34-B4D2-03A058268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图8!$F$5:$F$9</c:f>
              <c:strCache>
                <c:ptCount val="5"/>
                <c:pt idx="0">
                  <c:v>芝加哥</c:v>
                </c:pt>
                <c:pt idx="1">
                  <c:v>费城</c:v>
                </c:pt>
                <c:pt idx="2">
                  <c:v>休斯敦</c:v>
                </c:pt>
                <c:pt idx="3">
                  <c:v>洛杉矶</c:v>
                </c:pt>
                <c:pt idx="4">
                  <c:v>纽约</c:v>
                </c:pt>
              </c:strCache>
            </c:strRef>
          </c:cat>
          <c:val>
            <c:numRef>
              <c:f>图8!$G$5:$G$9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1-4D34-B4D2-03A0582685DC}"/>
            </c:ext>
          </c:extLst>
        </c:ser>
        <c:ser>
          <c:idx val="2"/>
          <c:order val="1"/>
          <c:tx>
            <c:strRef>
              <c:f>图8!$I$4</c:f>
              <c:strCache>
                <c:ptCount val="1"/>
                <c:pt idx="0">
                  <c:v>枪支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图8!$F$5:$F$9</c:f>
              <c:strCache>
                <c:ptCount val="5"/>
                <c:pt idx="0">
                  <c:v>芝加哥</c:v>
                </c:pt>
                <c:pt idx="1">
                  <c:v>费城</c:v>
                </c:pt>
                <c:pt idx="2">
                  <c:v>休斯敦</c:v>
                </c:pt>
                <c:pt idx="3">
                  <c:v>洛杉矶</c:v>
                </c:pt>
                <c:pt idx="4">
                  <c:v>纽约</c:v>
                </c:pt>
              </c:strCache>
            </c:strRef>
          </c:cat>
          <c:val>
            <c:numRef>
              <c:f>图8!$I$5:$I$9</c:f>
              <c:numCache>
                <c:formatCode>0.0</c:formatCode>
                <c:ptCount val="5"/>
                <c:pt idx="0">
                  <c:v>14.6</c:v>
                </c:pt>
                <c:pt idx="1">
                  <c:v>16.5</c:v>
                </c:pt>
                <c:pt idx="2">
                  <c:v>9.5</c:v>
                </c:pt>
                <c:pt idx="3">
                  <c:v>5.6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21-4D34-B4D2-03A0582685DC}"/>
            </c:ext>
          </c:extLst>
        </c:ser>
        <c:ser>
          <c:idx val="1"/>
          <c:order val="2"/>
          <c:tx>
            <c:strRef>
              <c:f>图8!$H$4</c:f>
              <c:strCache>
                <c:ptCount val="1"/>
                <c:pt idx="0">
                  <c:v>其它工具</c:v>
                </c:pt>
              </c:strCache>
            </c:strRef>
          </c:tx>
          <c:spPr>
            <a:solidFill>
              <a:srgbClr val="98DBF6"/>
            </a:solidFill>
            <a:ln>
              <a:noFill/>
            </a:ln>
            <a:effectLst/>
          </c:spPr>
          <c:invertIfNegative val="0"/>
          <c:cat>
            <c:strRef>
              <c:f>图8!$F$5:$F$9</c:f>
              <c:strCache>
                <c:ptCount val="5"/>
                <c:pt idx="0">
                  <c:v>芝加哥</c:v>
                </c:pt>
                <c:pt idx="1">
                  <c:v>费城</c:v>
                </c:pt>
                <c:pt idx="2">
                  <c:v>休斯敦</c:v>
                </c:pt>
                <c:pt idx="3">
                  <c:v>洛杉矶</c:v>
                </c:pt>
                <c:pt idx="4">
                  <c:v>纽约</c:v>
                </c:pt>
              </c:strCache>
            </c:strRef>
          </c:cat>
          <c:val>
            <c:numRef>
              <c:f>图8!$H$5:$H$9</c:f>
              <c:numCache>
                <c:formatCode>0.0</c:formatCode>
                <c:ptCount val="5"/>
                <c:pt idx="0">
                  <c:v>2.4</c:v>
                </c:pt>
                <c:pt idx="1">
                  <c:v>3.5</c:v>
                </c:pt>
                <c:pt idx="2">
                  <c:v>3.4</c:v>
                </c:pt>
                <c:pt idx="3">
                  <c:v>1.9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1-4D34-B4D2-03A058268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6024280"/>
        <c:axId val="765341784"/>
      </c:barChart>
      <c:catAx>
        <c:axId val="76024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341784"/>
        <c:crosses val="autoZero"/>
        <c:auto val="1"/>
        <c:lblAlgn val="ctr"/>
        <c:lblOffset val="100"/>
        <c:noMultiLvlLbl val="0"/>
      </c:catAx>
      <c:valAx>
        <c:axId val="7653417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602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73892183398950129"/>
          <c:y val="0.1449734920827879"/>
          <c:w val="0.22336860236220474"/>
          <c:h val="4.9801692900402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>
                <a:solidFill>
                  <a:schemeClr val="tx1"/>
                </a:solidFill>
              </a:rPr>
              <a:t>到</a:t>
            </a:r>
            <a:r>
              <a:rPr lang="en-US" altLang="zh-CN" sz="1000">
                <a:solidFill>
                  <a:schemeClr val="tx1"/>
                </a:solidFill>
              </a:rPr>
              <a:t>2026</a:t>
            </a:r>
            <a:r>
              <a:rPr lang="zh-CN" altLang="en-US" sz="1000">
                <a:solidFill>
                  <a:schemeClr val="tx1"/>
                </a:solidFill>
              </a:rPr>
              <a:t>年，相较于不做任何改变，加拿大女性所能创造的额外</a:t>
            </a:r>
            <a:r>
              <a:rPr lang="en-US" altLang="zh-CN" sz="1000">
                <a:solidFill>
                  <a:schemeClr val="tx1"/>
                </a:solidFill>
              </a:rPr>
              <a:t>GDP</a:t>
            </a:r>
            <a:r>
              <a:rPr lang="zh-CN" altLang="en-US" sz="1000">
                <a:solidFill>
                  <a:schemeClr val="tx1"/>
                </a:solidFill>
              </a:rPr>
              <a:t>增加值的原因占比</a:t>
            </a:r>
            <a:endParaRPr lang="en-US" altLang="zh-CN" sz="1100">
              <a:solidFill>
                <a:schemeClr val="tx1"/>
              </a:solidFill>
            </a:endParaRP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en-US" altLang="zh-CN" sz="1050">
                <a:solidFill>
                  <a:schemeClr val="tx1"/>
                </a:solidFill>
              </a:rPr>
              <a:t>%</a:t>
            </a:r>
            <a:endParaRPr lang="zh-CN" altLang="en-US" sz="105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1570577311514053E-2"/>
          <c:y val="3.0151020702705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164943377646481"/>
          <c:y val="0.19324370780480765"/>
          <c:w val="0.82668636139832596"/>
          <c:h val="0.7205282617585272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图9!$H$5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536681437715412"/>
                  <c:y val="1.0022611010439552E-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95-4FC6-A21E-2FA22909585E}"/>
                </c:ext>
              </c:extLst>
            </c:dLbl>
            <c:dLbl>
              <c:idx val="1"/>
              <c:layout>
                <c:manualLayout>
                  <c:x val="-0.1053668143771541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95-4FC6-A21E-2FA22909585E}"/>
                </c:ext>
              </c:extLst>
            </c:dLbl>
            <c:dLbl>
              <c:idx val="2"/>
              <c:layout>
                <c:manualLayout>
                  <c:x val="-7.8778926637124574E-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95-4FC6-A21E-2FA22909585E}"/>
                </c:ext>
              </c:extLst>
            </c:dLbl>
            <c:dLbl>
              <c:idx val="3"/>
              <c:layout>
                <c:manualLayout>
                  <c:x val="-9.6504185130477593E-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95-4FC6-A21E-2FA22909585E}"/>
                </c:ext>
              </c:extLst>
            </c:dLbl>
            <c:dLbl>
              <c:idx val="4"/>
              <c:layout>
                <c:manualLayout>
                  <c:x val="-0.10536681437715412"/>
                  <c:y val="1.0022611011022944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95-4FC6-A21E-2FA22909585E}"/>
                </c:ext>
              </c:extLst>
            </c:dLbl>
            <c:dLbl>
              <c:idx val="5"/>
              <c:layout>
                <c:manualLayout>
                  <c:x val="-6.9916297390448051E-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95-4FC6-A21E-2FA22909585E}"/>
                </c:ext>
              </c:extLst>
            </c:dLbl>
            <c:dLbl>
              <c:idx val="6"/>
              <c:layout>
                <c:manualLayout>
                  <c:x val="-0.1053668143771541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95-4FC6-A21E-2FA22909585E}"/>
                </c:ext>
              </c:extLst>
            </c:dLbl>
            <c:dLbl>
              <c:idx val="7"/>
              <c:layout>
                <c:manualLayout>
                  <c:x val="-9.6504185130477593E-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95-4FC6-A21E-2FA22909585E}"/>
                </c:ext>
              </c:extLst>
            </c:dLbl>
            <c:dLbl>
              <c:idx val="8"/>
              <c:layout>
                <c:manualLayout>
                  <c:x val="-8.7641555883801084E-2"/>
                  <c:y val="1.0022611011606338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D95-4FC6-A21E-2FA22909585E}"/>
                </c:ext>
              </c:extLst>
            </c:dLbl>
            <c:dLbl>
              <c:idx val="9"/>
              <c:layout>
                <c:manualLayout>
                  <c:x val="-0.1053668143771541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D95-4FC6-A21E-2FA22909585E}"/>
                </c:ext>
              </c:extLst>
            </c:dLbl>
            <c:dLbl>
              <c:idx val="10"/>
              <c:layout>
                <c:manualLayout>
                  <c:x val="-8.7641555883801084E-2"/>
                  <c:y val="1.0022611010439552E-6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95-4FC6-A21E-2FA229095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图9!$G$6:$G$16</c:f>
              <c:strCache>
                <c:ptCount val="11"/>
                <c:pt idx="0">
                  <c:v>加拿大</c:v>
                </c:pt>
                <c:pt idx="1">
                  <c:v>魁北克</c:v>
                </c:pt>
                <c:pt idx="2">
                  <c:v>爱德华王子岛</c:v>
                </c:pt>
                <c:pt idx="3">
                  <c:v>马尼托巴</c:v>
                </c:pt>
                <c:pt idx="4">
                  <c:v>艾伯塔</c:v>
                </c:pt>
                <c:pt idx="5">
                  <c:v>不列颠哥伦比亚</c:v>
                </c:pt>
                <c:pt idx="6">
                  <c:v>安大略</c:v>
                </c:pt>
                <c:pt idx="7">
                  <c:v>新斯科舍</c:v>
                </c:pt>
                <c:pt idx="8">
                  <c:v>萨斯喀彻温</c:v>
                </c:pt>
                <c:pt idx="9">
                  <c:v>纽芬兰</c:v>
                </c:pt>
                <c:pt idx="10">
                  <c:v>新不伦瑞克</c:v>
                </c:pt>
              </c:strCache>
            </c:strRef>
          </c:cat>
          <c:val>
            <c:numRef>
              <c:f>图9!$H$6:$H$16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5-4FC6-A21E-2FA22909585E}"/>
            </c:ext>
          </c:extLst>
        </c:ser>
        <c:ser>
          <c:idx val="1"/>
          <c:order val="1"/>
          <c:tx>
            <c:strRef>
              <c:f>图9!$I$5</c:f>
              <c:strCache>
                <c:ptCount val="1"/>
                <c:pt idx="0">
                  <c:v>就业结构优化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D95-4FC6-A21E-2FA22909585E}"/>
                </c:ext>
              </c:extLst>
            </c:dLbl>
            <c:dLbl>
              <c:idx val="9"/>
              <c:layout>
                <c:manualLayout>
                  <c:x val="-2.9591722009638193E-3"/>
                  <c:y val="2.6246712271204129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95-4FC6-A21E-2FA22909585E}"/>
                </c:ext>
              </c:extLst>
            </c:dLbl>
            <c:dLbl>
              <c:idx val="10"/>
              <c:layout>
                <c:manualLayout>
                  <c:x val="-2.9591722009638193E-3"/>
                  <c:y val="1.2222077823804751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95-4FC6-A21E-2FA229095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图9!$G$6:$G$16</c:f>
              <c:strCache>
                <c:ptCount val="11"/>
                <c:pt idx="0">
                  <c:v>加拿大</c:v>
                </c:pt>
                <c:pt idx="1">
                  <c:v>魁北克</c:v>
                </c:pt>
                <c:pt idx="2">
                  <c:v>爱德华王子岛</c:v>
                </c:pt>
                <c:pt idx="3">
                  <c:v>马尼托巴</c:v>
                </c:pt>
                <c:pt idx="4">
                  <c:v>艾伯塔</c:v>
                </c:pt>
                <c:pt idx="5">
                  <c:v>不列颠哥伦比亚</c:v>
                </c:pt>
                <c:pt idx="6">
                  <c:v>安大略</c:v>
                </c:pt>
                <c:pt idx="7">
                  <c:v>新斯科舍</c:v>
                </c:pt>
                <c:pt idx="8">
                  <c:v>萨斯喀彻温</c:v>
                </c:pt>
                <c:pt idx="9">
                  <c:v>纽芬兰</c:v>
                </c:pt>
                <c:pt idx="10">
                  <c:v>新不伦瑞克</c:v>
                </c:pt>
              </c:strCache>
            </c:strRef>
          </c:cat>
          <c:val>
            <c:numRef>
              <c:f>图9!$I$6:$I$16</c:f>
              <c:numCache>
                <c:formatCode>General</c:formatCode>
                <c:ptCount val="11"/>
                <c:pt idx="0">
                  <c:v>42</c:v>
                </c:pt>
                <c:pt idx="1">
                  <c:v>56</c:v>
                </c:pt>
                <c:pt idx="2">
                  <c:v>53</c:v>
                </c:pt>
                <c:pt idx="3">
                  <c:v>49</c:v>
                </c:pt>
                <c:pt idx="4">
                  <c:v>47</c:v>
                </c:pt>
                <c:pt idx="5">
                  <c:v>38</c:v>
                </c:pt>
                <c:pt idx="6">
                  <c:v>37</c:v>
                </c:pt>
                <c:pt idx="7">
                  <c:v>26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5-4FC6-A21E-2FA22909585E}"/>
            </c:ext>
          </c:extLst>
        </c:ser>
        <c:ser>
          <c:idx val="2"/>
          <c:order val="2"/>
          <c:tx>
            <c:strRef>
              <c:f>图9!$J$5</c:f>
              <c:strCache>
                <c:ptCount val="1"/>
                <c:pt idx="0">
                  <c:v>增加劳动参与</c:v>
                </c:pt>
              </c:strCache>
            </c:strRef>
          </c:tx>
          <c:spPr>
            <a:solidFill>
              <a:srgbClr val="99D7DB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6D95-4FC6-A21E-2FA229095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图9!$G$6:$G$16</c:f>
              <c:strCache>
                <c:ptCount val="11"/>
                <c:pt idx="0">
                  <c:v>加拿大</c:v>
                </c:pt>
                <c:pt idx="1">
                  <c:v>魁北克</c:v>
                </c:pt>
                <c:pt idx="2">
                  <c:v>爱德华王子岛</c:v>
                </c:pt>
                <c:pt idx="3">
                  <c:v>马尼托巴</c:v>
                </c:pt>
                <c:pt idx="4">
                  <c:v>艾伯塔</c:v>
                </c:pt>
                <c:pt idx="5">
                  <c:v>不列颠哥伦比亚</c:v>
                </c:pt>
                <c:pt idx="6">
                  <c:v>安大略</c:v>
                </c:pt>
                <c:pt idx="7">
                  <c:v>新斯科舍</c:v>
                </c:pt>
                <c:pt idx="8">
                  <c:v>萨斯喀彻温</c:v>
                </c:pt>
                <c:pt idx="9">
                  <c:v>纽芬兰</c:v>
                </c:pt>
                <c:pt idx="10">
                  <c:v>新不伦瑞克</c:v>
                </c:pt>
              </c:strCache>
            </c:strRef>
          </c:cat>
          <c:val>
            <c:numRef>
              <c:f>图9!$J$6:$J$16</c:f>
              <c:numCache>
                <c:formatCode>General</c:formatCode>
                <c:ptCount val="11"/>
                <c:pt idx="0">
                  <c:v>42</c:v>
                </c:pt>
                <c:pt idx="1">
                  <c:v>35</c:v>
                </c:pt>
                <c:pt idx="2">
                  <c:v>33</c:v>
                </c:pt>
                <c:pt idx="3">
                  <c:v>42</c:v>
                </c:pt>
                <c:pt idx="4">
                  <c:v>43</c:v>
                </c:pt>
                <c:pt idx="5">
                  <c:v>39</c:v>
                </c:pt>
                <c:pt idx="6">
                  <c:v>43</c:v>
                </c:pt>
                <c:pt idx="7">
                  <c:v>63</c:v>
                </c:pt>
                <c:pt idx="8">
                  <c:v>60</c:v>
                </c:pt>
                <c:pt idx="9">
                  <c:v>74</c:v>
                </c:pt>
                <c:pt idx="1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95-4FC6-A21E-2FA22909585E}"/>
            </c:ext>
          </c:extLst>
        </c:ser>
        <c:ser>
          <c:idx val="3"/>
          <c:order val="3"/>
          <c:tx>
            <c:strRef>
              <c:f>图9!$K$5</c:f>
              <c:strCache>
                <c:ptCount val="1"/>
                <c:pt idx="0">
                  <c:v>延长工作时间</c:v>
                </c:pt>
              </c:strCache>
            </c:strRef>
          </c:tx>
          <c:spPr>
            <a:solidFill>
              <a:srgbClr val="66CEF5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6D95-4FC6-A21E-2FA229095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图9!$G$6:$G$16</c:f>
              <c:strCache>
                <c:ptCount val="11"/>
                <c:pt idx="0">
                  <c:v>加拿大</c:v>
                </c:pt>
                <c:pt idx="1">
                  <c:v>魁北克</c:v>
                </c:pt>
                <c:pt idx="2">
                  <c:v>爱德华王子岛</c:v>
                </c:pt>
                <c:pt idx="3">
                  <c:v>马尼托巴</c:v>
                </c:pt>
                <c:pt idx="4">
                  <c:v>艾伯塔</c:v>
                </c:pt>
                <c:pt idx="5">
                  <c:v>不列颠哥伦比亚</c:v>
                </c:pt>
                <c:pt idx="6">
                  <c:v>安大略</c:v>
                </c:pt>
                <c:pt idx="7">
                  <c:v>新斯科舍</c:v>
                </c:pt>
                <c:pt idx="8">
                  <c:v>萨斯喀彻温</c:v>
                </c:pt>
                <c:pt idx="9">
                  <c:v>纽芬兰</c:v>
                </c:pt>
                <c:pt idx="10">
                  <c:v>新不伦瑞克</c:v>
                </c:pt>
              </c:strCache>
            </c:strRef>
          </c:cat>
          <c:val>
            <c:numRef>
              <c:f>图9!$K$6:$K$16</c:f>
              <c:numCache>
                <c:formatCode>General</c:formatCode>
                <c:ptCount val="11"/>
                <c:pt idx="0">
                  <c:v>16</c:v>
                </c:pt>
                <c:pt idx="1">
                  <c:v>9</c:v>
                </c:pt>
                <c:pt idx="2">
                  <c:v>14</c:v>
                </c:pt>
                <c:pt idx="3">
                  <c:v>9</c:v>
                </c:pt>
                <c:pt idx="4">
                  <c:v>10</c:v>
                </c:pt>
                <c:pt idx="5">
                  <c:v>23</c:v>
                </c:pt>
                <c:pt idx="6">
                  <c:v>20</c:v>
                </c:pt>
                <c:pt idx="7">
                  <c:v>11</c:v>
                </c:pt>
                <c:pt idx="8">
                  <c:v>21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95-4FC6-A21E-2FA22909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70364880"/>
        <c:axId val="635146192"/>
      </c:barChart>
      <c:scatterChart>
        <c:scatterStyle val="lineMarker"/>
        <c:varyColors val="0"/>
        <c:ser>
          <c:idx val="4"/>
          <c:order val="4"/>
          <c:tx>
            <c:strRef>
              <c:f>图9!$M$4</c:f>
              <c:strCache>
                <c:ptCount val="1"/>
                <c:pt idx="0">
                  <c:v>helper2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83AD8E2-2D49-4E0D-AC5F-41B86885F81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D95-4FC6-A21E-2FA2290958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3D7C7B-FAFE-46C6-A4A0-E6AF8E7869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D95-4FC6-A21E-2FA2290958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F46DE2-F968-44C9-AD61-54C380194D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D95-4FC6-A21E-2FA2290958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B6E6E78-A2E5-41D3-863D-189ECEA6F9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D95-4FC6-A21E-2FA2290958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180BDE5-5F87-48B6-8EDA-C04A541CC72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D95-4FC6-A21E-2FA2290958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F5D39DF-DB04-475C-885D-57A32248CD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D95-4FC6-A21E-2FA2290958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B976491-27E9-412D-A435-10A46BF034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D95-4FC6-A21E-2FA2290958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F5CDFC6-D628-4DF9-9573-F40F7FC221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D95-4FC6-A21E-2FA2290958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14A8E5-06F7-47A9-8958-4358DBFB3E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D95-4FC6-A21E-2FA2290958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CD4FE68-70EE-4610-B9A4-3D2F7E7E6A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D95-4FC6-A21E-2FA2290958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37264FD-C9C3-48A1-9F5B-B48661F558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D95-4FC6-A21E-2FA2290958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图9!$M$6:$M$16</c:f>
              <c:numCache>
                <c:formatCode>General</c:formatCode>
                <c:ptCount val="1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</c:numCache>
            </c:numRef>
          </c:xVal>
          <c:yVal>
            <c:numRef>
              <c:f>图9!$N$6:$N$16</c:f>
              <c:numCache>
                <c:formatCode>General</c:formatCode>
                <c:ptCount val="11"/>
                <c:pt idx="0">
                  <c:v>10.5</c:v>
                </c:pt>
                <c:pt idx="1">
                  <c:v>9.5</c:v>
                </c:pt>
                <c:pt idx="2">
                  <c:v>8.5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  <c:pt idx="6">
                  <c:v>4.5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图9!$O$6:$O$16</c15:f>
                <c15:dlblRangeCache>
                  <c:ptCount val="11"/>
                  <c:pt idx="0">
                    <c:v>150.6</c:v>
                  </c:pt>
                  <c:pt idx="1">
                    <c:v>34.6</c:v>
                  </c:pt>
                  <c:pt idx="2">
                    <c:v>0.6</c:v>
                  </c:pt>
                  <c:pt idx="3">
                    <c:v>4.7</c:v>
                  </c:pt>
                  <c:pt idx="4">
                    <c:v>21.3</c:v>
                  </c:pt>
                  <c:pt idx="5">
                    <c:v>21.2</c:v>
                  </c:pt>
                  <c:pt idx="6">
                    <c:v>60.0</c:v>
                  </c:pt>
                  <c:pt idx="7">
                    <c:v>2.3</c:v>
                  </c:pt>
                  <c:pt idx="8">
                    <c:v>3.0</c:v>
                  </c:pt>
                  <c:pt idx="9">
                    <c:v>1.3</c:v>
                  </c:pt>
                  <c:pt idx="10">
                    <c:v>1.6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6D95-4FC6-A21E-2FA22909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763800"/>
        <c:axId val="634763472"/>
      </c:scatterChart>
      <c:catAx>
        <c:axId val="5703648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146192"/>
        <c:crosses val="autoZero"/>
        <c:auto val="1"/>
        <c:lblAlgn val="ctr"/>
        <c:lblOffset val="100"/>
        <c:noMultiLvlLbl val="0"/>
      </c:catAx>
      <c:valAx>
        <c:axId val="63514619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364880"/>
        <c:crosses val="autoZero"/>
        <c:crossBetween val="between"/>
      </c:valAx>
      <c:valAx>
        <c:axId val="634763472"/>
        <c:scaling>
          <c:orientation val="minMax"/>
          <c:max val="11"/>
          <c:min val="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r>
                  <a:rPr lang="zh-CN" altLang="en-US" sz="8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额外</a:t>
                </a:r>
                <a:r>
                  <a:rPr lang="en-US" altLang="zh-CN" sz="8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GDP</a:t>
                </a:r>
                <a:r>
                  <a:rPr lang="zh-CN" altLang="en-US" sz="8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增加值</a:t>
                </a:r>
                <a:endParaRPr lang="en-US" altLang="zh-CN" sz="80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ea"/>
                  <a:ea typeface="+mn-ea"/>
                </a:endParaRPr>
              </a:p>
              <a:p>
                <a:pPr>
                  <a:defRPr sz="8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</a:defRPr>
                </a:pPr>
                <a:r>
                  <a:rPr lang="zh-CN" altLang="en-US" sz="8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单位：</a:t>
                </a:r>
                <a:r>
                  <a:rPr lang="en-US" altLang="zh-CN" sz="8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10</a:t>
                </a:r>
                <a:r>
                  <a:rPr lang="zh-CN" altLang="en-US" sz="8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ea"/>
                    <a:ea typeface="+mn-ea"/>
                  </a:rPr>
                  <a:t>亿美元</a:t>
                </a:r>
              </a:p>
            </c:rich>
          </c:tx>
          <c:layout>
            <c:manualLayout>
              <c:xMode val="edge"/>
              <c:yMode val="edge"/>
              <c:x val="0.85819793205317574"/>
              <c:y val="0.117551195497041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ea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763800"/>
        <c:crosses val="max"/>
        <c:crossBetween val="midCat"/>
      </c:valAx>
      <c:valAx>
        <c:axId val="634763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476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7167858818238561"/>
          <c:y val="0.1358868106448147"/>
          <c:w val="0.44482582956303285"/>
          <c:h val="4.9682834474574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ea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</a:rPr>
              <a:t>男性和女性渴望升职的比例是相近的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</a:endParaRPr>
          </a:p>
          <a:p>
            <a:pPr algn="l">
              <a:defRPr sz="1200"/>
            </a:pPr>
            <a:r>
              <a:rPr lang="zh-CN" altLang="en-US" sz="1100">
                <a:solidFill>
                  <a:schemeClr val="tx1">
                    <a:lumMod val="75000"/>
                    <a:lumOff val="25000"/>
                  </a:schemeClr>
                </a:solidFill>
              </a:rPr>
              <a:t>向往升职的人占调查者各自性别的比</a:t>
            </a:r>
            <a:endParaRPr lang="en-US" altLang="zh-CN" sz="1100">
              <a:solidFill>
                <a:schemeClr val="tx1">
                  <a:lumMod val="75000"/>
                  <a:lumOff val="25000"/>
                </a:schemeClr>
              </a:solidFill>
            </a:endParaRPr>
          </a:p>
          <a:p>
            <a:pPr algn="l">
              <a:defRPr sz="1200"/>
            </a:pPr>
            <a:r>
              <a:rPr lang="en-US" altLang="zh-CN" sz="1050">
                <a:solidFill>
                  <a:schemeClr val="bg1">
                    <a:lumMod val="50000"/>
                  </a:schemeClr>
                </a:solidFill>
              </a:rPr>
              <a:t>%</a:t>
            </a:r>
            <a:endParaRPr lang="zh-CN" altLang="en-US" sz="1050">
              <a:solidFill>
                <a:schemeClr val="bg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2.8645833333333332E-2"/>
          <c:y val="2.3391812865497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2858841863517061E-2"/>
          <c:y val="0.2446104875188474"/>
          <c:w val="0.87732057906824146"/>
          <c:h val="0.626465131574865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图10!$G$5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rgbClr val="66CEF5"/>
            </a:solidFill>
            <a:ln>
              <a:noFill/>
            </a:ln>
            <a:effectLst/>
          </c:spPr>
          <c:invertIfNegative val="0"/>
          <c:dLbls>
            <c:numFmt formatCode="[&lt;0]0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图10!$F$6:$F$11</c:f>
              <c:strCache>
                <c:ptCount val="6"/>
                <c:pt idx="0">
                  <c:v>现场员工</c:v>
                </c:pt>
                <c:pt idx="1">
                  <c:v>初级员工</c:v>
                </c:pt>
                <c:pt idx="2">
                  <c:v>经理</c:v>
                </c:pt>
                <c:pt idx="3">
                  <c:v>高管</c:v>
                </c:pt>
                <c:pt idx="4">
                  <c:v>副总裁</c:v>
                </c:pt>
                <c:pt idx="5">
                  <c:v>高级副总裁</c:v>
                </c:pt>
              </c:strCache>
            </c:strRef>
          </c:cat>
          <c:val>
            <c:numRef>
              <c:f>图10!$G$6:$G$11</c:f>
              <c:numCache>
                <c:formatCode>General</c:formatCode>
                <c:ptCount val="6"/>
                <c:pt idx="0">
                  <c:v>-42</c:v>
                </c:pt>
                <c:pt idx="1">
                  <c:v>-69</c:v>
                </c:pt>
                <c:pt idx="2">
                  <c:v>-69</c:v>
                </c:pt>
                <c:pt idx="3">
                  <c:v>-79</c:v>
                </c:pt>
                <c:pt idx="4">
                  <c:v>-81</c:v>
                </c:pt>
                <c:pt idx="5">
                  <c:v>-69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8-48FA-9BB7-1222355308C3}"/>
            </c:ext>
          </c:extLst>
        </c:ser>
        <c:ser>
          <c:idx val="1"/>
          <c:order val="1"/>
          <c:tx>
            <c:strRef>
              <c:f>图10!$H$5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图10!$F$6:$F$11</c:f>
              <c:strCache>
                <c:ptCount val="6"/>
                <c:pt idx="0">
                  <c:v>现场员工</c:v>
                </c:pt>
                <c:pt idx="1">
                  <c:v>初级员工</c:v>
                </c:pt>
                <c:pt idx="2">
                  <c:v>经理</c:v>
                </c:pt>
                <c:pt idx="3">
                  <c:v>高管</c:v>
                </c:pt>
                <c:pt idx="4">
                  <c:v>副总裁</c:v>
                </c:pt>
                <c:pt idx="5">
                  <c:v>高级副总裁</c:v>
                </c:pt>
              </c:strCache>
            </c:strRef>
          </c:cat>
          <c:val>
            <c:numRef>
              <c:f>图10!$H$6:$H$11</c:f>
              <c:numCache>
                <c:formatCode>General</c:formatCode>
                <c:ptCount val="6"/>
                <c:pt idx="0">
                  <c:v>53</c:v>
                </c:pt>
                <c:pt idx="1">
                  <c:v>61</c:v>
                </c:pt>
                <c:pt idx="2">
                  <c:v>65</c:v>
                </c:pt>
                <c:pt idx="3">
                  <c:v>73</c:v>
                </c:pt>
                <c:pt idx="4">
                  <c:v>70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8-48FA-9BB7-122235530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54241408"/>
        <c:axId val="754242392"/>
      </c:barChart>
      <c:scatterChart>
        <c:scatterStyle val="lineMarker"/>
        <c:varyColors val="0"/>
        <c:ser>
          <c:idx val="2"/>
          <c:order val="2"/>
          <c:tx>
            <c:strRef>
              <c:f>图10!$I$4</c:f>
              <c:strCache>
                <c:ptCount val="1"/>
                <c:pt idx="0">
                  <c:v>helper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171875"/>
                  <c:y val="0"/>
                </c:manualLayout>
              </c:layout>
              <c:tx>
                <c:rich>
                  <a:bodyPr/>
                  <a:lstStyle/>
                  <a:p>
                    <a:fld id="{FAF8200F-4AFA-4A51-9D6A-263FD23643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1F8-48FA-9BB7-1222355308C3}"/>
                </c:ext>
              </c:extLst>
            </c:dLbl>
            <c:dLbl>
              <c:idx val="1"/>
              <c:layout>
                <c:manualLayout>
                  <c:x val="-0.1171875"/>
                  <c:y val="0"/>
                </c:manualLayout>
              </c:layout>
              <c:tx>
                <c:rich>
                  <a:bodyPr/>
                  <a:lstStyle/>
                  <a:p>
                    <a:fld id="{D63425C1-E537-419B-A6B2-975ED50A919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1F8-48FA-9BB7-1222355308C3}"/>
                </c:ext>
              </c:extLst>
            </c:dLbl>
            <c:dLbl>
              <c:idx val="2"/>
              <c:layout>
                <c:manualLayout>
                  <c:x val="-0.1171875"/>
                  <c:y val="0"/>
                </c:manualLayout>
              </c:layout>
              <c:tx>
                <c:rich>
                  <a:bodyPr/>
                  <a:lstStyle/>
                  <a:p>
                    <a:fld id="{7B7F6AA4-FBCC-4E69-83F5-E1CF899BB6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1F8-48FA-9BB7-1222355308C3}"/>
                </c:ext>
              </c:extLst>
            </c:dLbl>
            <c:dLbl>
              <c:idx val="3"/>
              <c:layout>
                <c:manualLayout>
                  <c:x val="-0.1171875"/>
                  <c:y val="0"/>
                </c:manualLayout>
              </c:layout>
              <c:tx>
                <c:rich>
                  <a:bodyPr/>
                  <a:lstStyle/>
                  <a:p>
                    <a:fld id="{5A3E7DC7-0249-4019-AC2A-36186A0C2A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1F8-48FA-9BB7-1222355308C3}"/>
                </c:ext>
              </c:extLst>
            </c:dLbl>
            <c:dLbl>
              <c:idx val="4"/>
              <c:layout>
                <c:manualLayout>
                  <c:x val="-0.1171875"/>
                  <c:y val="0"/>
                </c:manualLayout>
              </c:layout>
              <c:tx>
                <c:rich>
                  <a:bodyPr/>
                  <a:lstStyle/>
                  <a:p>
                    <a:fld id="{22F49335-2629-44CE-997A-ABA71B14BD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1F8-48FA-9BB7-1222355308C3}"/>
                </c:ext>
              </c:extLst>
            </c:dLbl>
            <c:dLbl>
              <c:idx val="5"/>
              <c:layout>
                <c:manualLayout>
                  <c:x val="-0.1171875"/>
                  <c:y val="0"/>
                </c:manualLayout>
              </c:layout>
              <c:tx>
                <c:rich>
                  <a:bodyPr/>
                  <a:lstStyle/>
                  <a:p>
                    <a:fld id="{FB6CC8D5-58B4-434A-B080-240E402EA9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1F8-48FA-9BB7-1222355308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图10!$I$6:$I$11</c:f>
              <c:numCache>
                <c:formatCode>General</c:formatCode>
                <c:ptCount val="6"/>
                <c:pt idx="0">
                  <c:v>-95</c:v>
                </c:pt>
                <c:pt idx="1">
                  <c:v>-95</c:v>
                </c:pt>
                <c:pt idx="2">
                  <c:v>-95</c:v>
                </c:pt>
                <c:pt idx="3">
                  <c:v>-95</c:v>
                </c:pt>
                <c:pt idx="4">
                  <c:v>-95</c:v>
                </c:pt>
                <c:pt idx="5">
                  <c:v>-95</c:v>
                </c:pt>
              </c:numCache>
            </c:numRef>
          </c:xVal>
          <c:yVal>
            <c:numRef>
              <c:f>图10!$J$6:$J$11</c:f>
              <c:numCache>
                <c:formatCode>General</c:formatCode>
                <c:ptCount val="6"/>
                <c:pt idx="0">
                  <c:v>5.5</c:v>
                </c:pt>
                <c:pt idx="1">
                  <c:v>4.5</c:v>
                </c:pt>
                <c:pt idx="2">
                  <c:v>3.5</c:v>
                </c:pt>
                <c:pt idx="3">
                  <c:v>2.5</c:v>
                </c:pt>
                <c:pt idx="4">
                  <c:v>1.5</c:v>
                </c:pt>
                <c:pt idx="5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图10!$F$6:$F$11</c15:f>
                <c15:dlblRangeCache>
                  <c:ptCount val="6"/>
                  <c:pt idx="0">
                    <c:v>现场员工</c:v>
                  </c:pt>
                  <c:pt idx="1">
                    <c:v>初级员工</c:v>
                  </c:pt>
                  <c:pt idx="2">
                    <c:v>经理</c:v>
                  </c:pt>
                  <c:pt idx="3">
                    <c:v>高管</c:v>
                  </c:pt>
                  <c:pt idx="4">
                    <c:v>副总裁</c:v>
                  </c:pt>
                  <c:pt idx="5">
                    <c:v>高级副总裁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A1F8-48FA-9BB7-122235530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419488"/>
        <c:axId val="643420144"/>
      </c:scatterChart>
      <c:catAx>
        <c:axId val="754241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solidFill>
            <a:schemeClr val="accent1"/>
          </a:solidFill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4242392"/>
        <c:crosses val="autoZero"/>
        <c:auto val="1"/>
        <c:lblAlgn val="ctr"/>
        <c:lblOffset val="100"/>
        <c:noMultiLvlLbl val="0"/>
      </c:catAx>
      <c:valAx>
        <c:axId val="75424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4241408"/>
        <c:crosses val="autoZero"/>
        <c:crossBetween val="between"/>
      </c:valAx>
      <c:valAx>
        <c:axId val="643420144"/>
        <c:scaling>
          <c:orientation val="minMax"/>
          <c:max val="6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419488"/>
        <c:crosses val="max"/>
        <c:crossBetween val="midCat"/>
      </c:valAx>
      <c:valAx>
        <c:axId val="64341948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420144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46367125984251967"/>
          <c:y val="0.16719619267449723"/>
          <c:w val="0.13160617618110237"/>
          <c:h val="5.1499056039047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95000"/>
                    <a:lumOff val="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上市公司年投资回报比较</a:t>
            </a:r>
            <a:endParaRPr lang="en-US" altLang="zh-CN" sz="1200">
              <a:solidFill>
                <a:schemeClr val="tx1">
                  <a:lumMod val="95000"/>
                  <a:lumOff val="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3.0092592592592591E-2"/>
          <c:y val="1.6842101540632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5462962962962962E-2"/>
          <c:y val="0.16584298033585185"/>
          <c:w val="0.94907407407407407"/>
          <c:h val="0.77008387454977212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图11!$H$3</c:f>
              <c:strCache>
                <c:ptCount val="1"/>
                <c:pt idx="0">
                  <c:v>helper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图11!$F$4:$F$18</c:f>
              <c:strCache>
                <c:ptCount val="15"/>
                <c:pt idx="0">
                  <c:v>金融</c:v>
                </c:pt>
                <c:pt idx="1">
                  <c:v>电子</c:v>
                </c:pt>
                <c:pt idx="2">
                  <c:v>餐饮住宿</c:v>
                </c:pt>
                <c:pt idx="3">
                  <c:v>汽车卡车</c:v>
                </c:pt>
                <c:pt idx="4">
                  <c:v>食品饮料</c:v>
                </c:pt>
                <c:pt idx="5">
                  <c:v>医疗护理</c:v>
                </c:pt>
                <c:pt idx="6">
                  <c:v>保险</c:v>
                </c:pt>
                <c:pt idx="7">
                  <c:v>机械</c:v>
                </c:pt>
                <c:pt idx="8">
                  <c:v>油气</c:v>
                </c:pt>
                <c:pt idx="9">
                  <c:v>专业服务</c:v>
                </c:pt>
                <c:pt idx="10">
                  <c:v>地产</c:v>
                </c:pt>
                <c:pt idx="11">
                  <c:v>零售</c:v>
                </c:pt>
                <c:pt idx="12">
                  <c:v>通讯</c:v>
                </c:pt>
                <c:pt idx="13">
                  <c:v>交通运输</c:v>
                </c:pt>
                <c:pt idx="14">
                  <c:v>水电能源</c:v>
                </c:pt>
              </c:strCache>
            </c:strRef>
          </c:cat>
          <c:val>
            <c:numRef>
              <c:f>图11!$H$4:$H$18</c:f>
              <c:numCache>
                <c:formatCode>0%</c:formatCode>
                <c:ptCount val="15"/>
                <c:pt idx="0">
                  <c:v>-0.3</c:v>
                </c:pt>
                <c:pt idx="1">
                  <c:v>-0.3</c:v>
                </c:pt>
                <c:pt idx="2">
                  <c:v>-0.3</c:v>
                </c:pt>
                <c:pt idx="3">
                  <c:v>-0.3</c:v>
                </c:pt>
                <c:pt idx="4">
                  <c:v>-0.3</c:v>
                </c:pt>
                <c:pt idx="5">
                  <c:v>-0.3</c:v>
                </c:pt>
                <c:pt idx="6">
                  <c:v>-0.3</c:v>
                </c:pt>
                <c:pt idx="7">
                  <c:v>-0.3</c:v>
                </c:pt>
                <c:pt idx="8">
                  <c:v>-0.3</c:v>
                </c:pt>
                <c:pt idx="9">
                  <c:v>-0.3</c:v>
                </c:pt>
                <c:pt idx="10">
                  <c:v>-0.3</c:v>
                </c:pt>
                <c:pt idx="11">
                  <c:v>-0.3</c:v>
                </c:pt>
                <c:pt idx="12">
                  <c:v>-0.3</c:v>
                </c:pt>
                <c:pt idx="13">
                  <c:v>-0.3</c:v>
                </c:pt>
                <c:pt idx="14">
                  <c:v>-0.3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D-4D86-A89D-DC4B6AD71F33}"/>
            </c:ext>
          </c:extLst>
        </c:ser>
        <c:ser>
          <c:idx val="0"/>
          <c:order val="1"/>
          <c:tx>
            <c:strRef>
              <c:f>图11!$G$3</c:f>
              <c:strCache>
                <c:ptCount val="1"/>
                <c:pt idx="0">
                  <c:v>成功交易的平均回报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090952172645084E-2"/>
                  <c:y val="0"/>
                </c:manualLayout>
              </c:layout>
              <c:tx>
                <c:rich>
                  <a:bodyPr/>
                  <a:lstStyle/>
                  <a:p>
                    <a:fld id="{DB229CC8-8ABF-447B-B6F5-FD87279ED5B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5AD-4D86-A89D-DC4B6AD71F33}"/>
                </c:ext>
              </c:extLst>
            </c:dLbl>
            <c:dLbl>
              <c:idx val="1"/>
              <c:layout>
                <c:manualLayout>
                  <c:x val="-0.16237769757946927"/>
                  <c:y val="0"/>
                </c:manualLayout>
              </c:layout>
              <c:tx>
                <c:rich>
                  <a:bodyPr/>
                  <a:lstStyle/>
                  <a:p>
                    <a:fld id="{38E287D5-49F6-4431-92B6-A61E9E1B94F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5AD-4D86-A89D-DC4B6AD71F33}"/>
                </c:ext>
              </c:extLst>
            </c:dLbl>
            <c:dLbl>
              <c:idx val="2"/>
              <c:layout>
                <c:manualLayout>
                  <c:x val="-4.1056977252843393E-2"/>
                  <c:y val="0"/>
                </c:manualLayout>
              </c:layout>
              <c:tx>
                <c:rich>
                  <a:bodyPr/>
                  <a:lstStyle/>
                  <a:p>
                    <a:fld id="{EF80DC97-893C-4144-AFEF-C0BD01F5307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5AD-4D86-A89D-DC4B6AD71F33}"/>
                </c:ext>
              </c:extLst>
            </c:dLbl>
            <c:dLbl>
              <c:idx val="3"/>
              <c:layout>
                <c:manualLayout>
                  <c:x val="-7.9849445902595503E-2"/>
                  <c:y val="0"/>
                </c:manualLayout>
              </c:layout>
              <c:tx>
                <c:rich>
                  <a:bodyPr/>
                  <a:lstStyle/>
                  <a:p>
                    <a:fld id="{5D2DD987-AB31-4085-BE26-EEBB78DCC9F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5AD-4D86-A89D-DC4B6AD71F33}"/>
                </c:ext>
              </c:extLst>
            </c:dLbl>
            <c:dLbl>
              <c:idx val="4"/>
              <c:layout>
                <c:manualLayout>
                  <c:x val="-5.5090952172645084E-2"/>
                  <c:y val="0"/>
                </c:manualLayout>
              </c:layout>
              <c:tx>
                <c:rich>
                  <a:bodyPr/>
                  <a:lstStyle/>
                  <a:p>
                    <a:fld id="{93AEF2B2-6421-4ACC-A803-5D34C950507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5AD-4D86-A89D-DC4B6AD71F33}"/>
                </c:ext>
              </c:extLst>
            </c:dLbl>
            <c:dLbl>
              <c:idx val="5"/>
              <c:layout>
                <c:manualLayout>
                  <c:x val="-5.0567949839603381E-2"/>
                  <c:y val="0"/>
                </c:manualLayout>
              </c:layout>
              <c:tx>
                <c:rich>
                  <a:bodyPr/>
                  <a:lstStyle/>
                  <a:p>
                    <a:fld id="{7359B8E1-B633-410D-9F38-72E8F24CE8E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5AD-4D86-A89D-DC4B6AD71F33}"/>
                </c:ext>
              </c:extLst>
            </c:dLbl>
            <c:dLbl>
              <c:idx val="6"/>
              <c:layout>
                <c:manualLayout>
                  <c:x val="-6.3343904928550604E-2"/>
                  <c:y val="0"/>
                </c:manualLayout>
              </c:layout>
              <c:tx>
                <c:rich>
                  <a:bodyPr/>
                  <a:lstStyle/>
                  <a:p>
                    <a:fld id="{DF039882-2A61-463C-9E2D-19FB26BB9EF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5AD-4D86-A89D-DC4B6AD71F33}"/>
                </c:ext>
              </c:extLst>
            </c:dLbl>
            <c:dLbl>
              <c:idx val="7"/>
              <c:layout>
                <c:manualLayout>
                  <c:x val="-7.9849445902595503E-2"/>
                  <c:y val="0"/>
                </c:manualLayout>
              </c:layout>
              <c:tx>
                <c:rich>
                  <a:bodyPr/>
                  <a:lstStyle/>
                  <a:p>
                    <a:fld id="{EF9C4810-648F-4861-8541-B0EBC815F8F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5AD-4D86-A89D-DC4B6AD71F33}"/>
                </c:ext>
              </c:extLst>
            </c:dLbl>
            <c:dLbl>
              <c:idx val="8"/>
              <c:layout>
                <c:manualLayout>
                  <c:x val="-5.9217519685039369E-2"/>
                  <c:y val="0"/>
                </c:manualLayout>
              </c:layout>
              <c:tx>
                <c:rich>
                  <a:bodyPr/>
                  <a:lstStyle/>
                  <a:p>
                    <a:fld id="{D3FB8517-8DD2-4D97-9103-8F808AD6E1F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5AD-4D86-A89D-DC4B6AD71F33}"/>
                </c:ext>
              </c:extLst>
            </c:dLbl>
            <c:dLbl>
              <c:idx val="9"/>
              <c:layout>
                <c:manualLayout>
                  <c:x val="-4.8504666083406242E-2"/>
                  <c:y val="0"/>
                </c:manualLayout>
              </c:layout>
              <c:tx>
                <c:rich>
                  <a:bodyPr/>
                  <a:lstStyle/>
                  <a:p>
                    <a:fld id="{C15469E1-F3D6-44FC-8153-E123949A337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5AD-4D86-A89D-DC4B6AD71F33}"/>
                </c:ext>
              </c:extLst>
            </c:dLbl>
            <c:dLbl>
              <c:idx val="10"/>
              <c:layout>
                <c:manualLayout>
                  <c:x val="-5.715423592884223E-2"/>
                  <c:y val="0"/>
                </c:manualLayout>
              </c:layout>
              <c:tx>
                <c:rich>
                  <a:bodyPr/>
                  <a:lstStyle/>
                  <a:p>
                    <a:fld id="{84EFA815-52B9-4710-BAD0-5D64E3B3341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5AD-4D86-A89D-DC4B6AD71F33}"/>
                </c:ext>
              </c:extLst>
            </c:dLbl>
            <c:dLbl>
              <c:idx val="11"/>
              <c:layout>
                <c:manualLayout>
                  <c:x val="-6.3343904928550604E-2"/>
                  <c:y val="0"/>
                </c:manualLayout>
              </c:layout>
              <c:tx>
                <c:rich>
                  <a:bodyPr/>
                  <a:lstStyle/>
                  <a:p>
                    <a:fld id="{3DAB9421-CDE2-4E9C-B496-3B4BE74A7E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5AD-4D86-A89D-DC4B6AD71F33}"/>
                </c:ext>
              </c:extLst>
            </c:dLbl>
            <c:dLbl>
              <c:idx val="12"/>
              <c:layout>
                <c:manualLayout>
                  <c:x val="-5.4694335083114567E-2"/>
                  <c:y val="0"/>
                </c:manualLayout>
              </c:layout>
              <c:tx>
                <c:rich>
                  <a:bodyPr/>
                  <a:lstStyle/>
                  <a:p>
                    <a:fld id="{4DC7D66C-773E-4F82-9C00-3D9A613E846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5AD-4D86-A89D-DC4B6AD71F33}"/>
                </c:ext>
              </c:extLst>
            </c:dLbl>
            <c:dLbl>
              <c:idx val="13"/>
              <c:layout>
                <c:manualLayout>
                  <c:x val="-5.6757436570428699E-2"/>
                  <c:y val="0"/>
                </c:manualLayout>
              </c:layout>
              <c:tx>
                <c:rich>
                  <a:bodyPr/>
                  <a:lstStyle/>
                  <a:p>
                    <a:fld id="{A910D10A-855A-4514-AAFD-B6DD76763C1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5AD-4D86-A89D-DC4B6AD71F33}"/>
                </c:ext>
              </c:extLst>
            </c:dLbl>
            <c:dLbl>
              <c:idx val="14"/>
              <c:layout>
                <c:manualLayout>
                  <c:x val="-5.9217519685039369E-2"/>
                  <c:y val="0"/>
                </c:manualLayout>
              </c:layout>
              <c:tx>
                <c:rich>
                  <a:bodyPr/>
                  <a:lstStyle/>
                  <a:p>
                    <a:fld id="{9702D600-75D4-44C4-841C-C165BDD0194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5AD-4D86-A89D-DC4B6AD71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图11!$F$4:$F$18</c:f>
              <c:strCache>
                <c:ptCount val="15"/>
                <c:pt idx="0">
                  <c:v>金融</c:v>
                </c:pt>
                <c:pt idx="1">
                  <c:v>电子</c:v>
                </c:pt>
                <c:pt idx="2">
                  <c:v>餐饮住宿</c:v>
                </c:pt>
                <c:pt idx="3">
                  <c:v>汽车卡车</c:v>
                </c:pt>
                <c:pt idx="4">
                  <c:v>食品饮料</c:v>
                </c:pt>
                <c:pt idx="5">
                  <c:v>医疗护理</c:v>
                </c:pt>
                <c:pt idx="6">
                  <c:v>保险</c:v>
                </c:pt>
                <c:pt idx="7">
                  <c:v>机械</c:v>
                </c:pt>
                <c:pt idx="8">
                  <c:v>油气</c:v>
                </c:pt>
                <c:pt idx="9">
                  <c:v>专业服务</c:v>
                </c:pt>
                <c:pt idx="10">
                  <c:v>地产</c:v>
                </c:pt>
                <c:pt idx="11">
                  <c:v>零售</c:v>
                </c:pt>
                <c:pt idx="12">
                  <c:v>通讯</c:v>
                </c:pt>
                <c:pt idx="13">
                  <c:v>交通运输</c:v>
                </c:pt>
                <c:pt idx="14">
                  <c:v>水电能源</c:v>
                </c:pt>
              </c:strCache>
            </c:strRef>
          </c:cat>
          <c:val>
            <c:numRef>
              <c:f>图11!$G$4:$G$18</c:f>
              <c:numCache>
                <c:formatCode>0%</c:formatCode>
                <c:ptCount val="15"/>
                <c:pt idx="0">
                  <c:v>-0.11</c:v>
                </c:pt>
                <c:pt idx="1">
                  <c:v>-0.63</c:v>
                </c:pt>
                <c:pt idx="2">
                  <c:v>-7.0000000000000007E-2</c:v>
                </c:pt>
                <c:pt idx="3">
                  <c:v>-0.23</c:v>
                </c:pt>
                <c:pt idx="4">
                  <c:v>-0.11</c:v>
                </c:pt>
                <c:pt idx="5">
                  <c:v>-0.06</c:v>
                </c:pt>
                <c:pt idx="6">
                  <c:v>-0.15</c:v>
                </c:pt>
                <c:pt idx="7">
                  <c:v>-0.23</c:v>
                </c:pt>
                <c:pt idx="8">
                  <c:v>-0.13</c:v>
                </c:pt>
                <c:pt idx="9">
                  <c:v>-0.05</c:v>
                </c:pt>
                <c:pt idx="10">
                  <c:v>-0.12</c:v>
                </c:pt>
                <c:pt idx="11">
                  <c:v>-0.15</c:v>
                </c:pt>
                <c:pt idx="12">
                  <c:v>-0.08</c:v>
                </c:pt>
                <c:pt idx="13">
                  <c:v>-0.09</c:v>
                </c:pt>
                <c:pt idx="14">
                  <c:v>-0.13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图11!$C$4:$C$18</c15:f>
                <c15:dlblRangeCache>
                  <c:ptCount val="15"/>
                  <c:pt idx="0">
                    <c:v>11%</c:v>
                  </c:pt>
                  <c:pt idx="1">
                    <c:v>63%</c:v>
                  </c:pt>
                  <c:pt idx="2">
                    <c:v>7%</c:v>
                  </c:pt>
                  <c:pt idx="3">
                    <c:v>23%</c:v>
                  </c:pt>
                  <c:pt idx="4">
                    <c:v>11%</c:v>
                  </c:pt>
                  <c:pt idx="5">
                    <c:v>6%</c:v>
                  </c:pt>
                  <c:pt idx="6">
                    <c:v>15%</c:v>
                  </c:pt>
                  <c:pt idx="7">
                    <c:v>23%</c:v>
                  </c:pt>
                  <c:pt idx="8">
                    <c:v>13%</c:v>
                  </c:pt>
                  <c:pt idx="9">
                    <c:v>5%</c:v>
                  </c:pt>
                  <c:pt idx="10">
                    <c:v>12%</c:v>
                  </c:pt>
                  <c:pt idx="11">
                    <c:v>15%</c:v>
                  </c:pt>
                  <c:pt idx="12">
                    <c:v>8%</c:v>
                  </c:pt>
                  <c:pt idx="13">
                    <c:v>9%</c:v>
                  </c:pt>
                  <c:pt idx="14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5AD-4D86-A89D-DC4B6AD71F33}"/>
            </c:ext>
          </c:extLst>
        </c:ser>
        <c:ser>
          <c:idx val="2"/>
          <c:order val="2"/>
          <c:tx>
            <c:strRef>
              <c:f>图11!$I$3</c:f>
              <c:strCache>
                <c:ptCount val="1"/>
                <c:pt idx="0">
                  <c:v>不成功交易的平均回报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9.3643737241178179E-2"/>
                  <c:y val="0"/>
                </c:manualLayout>
              </c:layout>
              <c:tx>
                <c:rich>
                  <a:bodyPr/>
                  <a:lstStyle/>
                  <a:p>
                    <a:fld id="{CA902DA4-7864-4F33-8BB9-B241E6851DC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5AD-4D86-A89D-DC4B6AD71F33}"/>
                </c:ext>
              </c:extLst>
            </c:dLbl>
            <c:dLbl>
              <c:idx val="1"/>
              <c:layout>
                <c:manualLayout>
                  <c:x val="9.7770122484689248E-2"/>
                  <c:y val="0"/>
                </c:manualLayout>
              </c:layout>
              <c:tx>
                <c:rich>
                  <a:bodyPr/>
                  <a:lstStyle/>
                  <a:p>
                    <a:fld id="{31AC9D77-653D-48BC-A18F-B76C0E204F2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5AD-4D86-A89D-DC4B6AD71F33}"/>
                </c:ext>
              </c:extLst>
            </c:dLbl>
            <c:dLbl>
              <c:idx val="2"/>
              <c:layout>
                <c:manualLayout>
                  <c:x val="0.10189650772820055"/>
                  <c:y val="0"/>
                </c:manualLayout>
              </c:layout>
              <c:tx>
                <c:rich>
                  <a:bodyPr/>
                  <a:lstStyle/>
                  <a:p>
                    <a:fld id="{9424DB51-8B74-4506-98DC-32622D7D7FE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5AD-4D86-A89D-DC4B6AD71F33}"/>
                </c:ext>
              </c:extLst>
            </c:dLbl>
            <c:dLbl>
              <c:idx val="3"/>
              <c:layout>
                <c:manualLayout>
                  <c:x val="6.2695574511519303E-2"/>
                  <c:y val="0"/>
                </c:manualLayout>
              </c:layout>
              <c:tx>
                <c:rich>
                  <a:bodyPr/>
                  <a:lstStyle/>
                  <a:p>
                    <a:fld id="{B4856BF1-7440-4A64-9B6F-95928AF8169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5AD-4D86-A89D-DC4B6AD71F33}"/>
                </c:ext>
              </c:extLst>
            </c:dLbl>
            <c:dLbl>
              <c:idx val="4"/>
              <c:layout>
                <c:manualLayout>
                  <c:x val="8.7454068241469812E-2"/>
                  <c:y val="0"/>
                </c:manualLayout>
              </c:layout>
              <c:tx>
                <c:rich>
                  <a:bodyPr/>
                  <a:lstStyle/>
                  <a:p>
                    <a:fld id="{DED5C77B-EB7A-4F42-A040-36204DFDA75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5AD-4D86-A89D-DC4B6AD71F33}"/>
                </c:ext>
              </c:extLst>
            </c:dLbl>
            <c:dLbl>
              <c:idx val="5"/>
              <c:layout>
                <c:manualLayout>
                  <c:x val="9.3643737241178179E-2"/>
                  <c:y val="0"/>
                </c:manualLayout>
              </c:layout>
              <c:tx>
                <c:rich>
                  <a:bodyPr/>
                  <a:lstStyle/>
                  <a:p>
                    <a:fld id="{E7CEBCB0-C323-4415-8C83-AB649295B8F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5AD-4D86-A89D-DC4B6AD71F33}"/>
                </c:ext>
              </c:extLst>
            </c:dLbl>
            <c:dLbl>
              <c:idx val="6"/>
              <c:layout>
                <c:manualLayout>
                  <c:x val="9.5706838728492352E-2"/>
                  <c:y val="0"/>
                </c:manualLayout>
              </c:layout>
              <c:tx>
                <c:rich>
                  <a:bodyPr/>
                  <a:lstStyle/>
                  <a:p>
                    <a:fld id="{E8CD1DF9-7B53-4DA5-9F15-285B4967EC1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D5AD-4D86-A89D-DC4B6AD71F33}"/>
                </c:ext>
              </c:extLst>
            </c:dLbl>
            <c:dLbl>
              <c:idx val="7"/>
              <c:layout>
                <c:manualLayout>
                  <c:x val="0.11427566345873433"/>
                  <c:y val="0"/>
                </c:manualLayout>
              </c:layout>
              <c:tx>
                <c:rich>
                  <a:bodyPr/>
                  <a:lstStyle/>
                  <a:p>
                    <a:fld id="{E3921BA6-E12F-4C8D-9E66-0A90B1E6AC5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D5AD-4D86-A89D-DC4B6AD71F33}"/>
                </c:ext>
              </c:extLst>
            </c:dLbl>
            <c:dLbl>
              <c:idx val="8"/>
              <c:layout>
                <c:manualLayout>
                  <c:x val="5.8569189268008082E-2"/>
                  <c:y val="0"/>
                </c:manualLayout>
              </c:layout>
              <c:tx>
                <c:rich>
                  <a:bodyPr/>
                  <a:lstStyle/>
                  <a:p>
                    <a:fld id="{5C19A50A-A468-40E0-87D1-FEC93196AE4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D5AD-4D86-A89D-DC4B6AD71F33}"/>
                </c:ext>
              </c:extLst>
            </c:dLbl>
            <c:dLbl>
              <c:idx val="9"/>
              <c:layout>
                <c:manualLayout>
                  <c:x val="0.1906142461358995"/>
                  <c:y val="0"/>
                </c:manualLayout>
              </c:layout>
              <c:tx>
                <c:rich>
                  <a:bodyPr/>
                  <a:lstStyle/>
                  <a:p>
                    <a:fld id="{6557AC93-0A40-45AF-8050-D262EDD6DDD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D5AD-4D86-A89D-DC4B6AD71F33}"/>
                </c:ext>
              </c:extLst>
            </c:dLbl>
            <c:dLbl>
              <c:idx val="10"/>
              <c:layout>
                <c:manualLayout>
                  <c:x val="8.9517169728783819E-2"/>
                  <c:y val="0"/>
                </c:manualLayout>
              </c:layout>
              <c:tx>
                <c:rich>
                  <a:bodyPr/>
                  <a:lstStyle/>
                  <a:p>
                    <a:fld id="{209D176A-9EC4-40C5-9C52-521B9633633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D5AD-4D86-A89D-DC4B6AD71F33}"/>
                </c:ext>
              </c:extLst>
            </c:dLbl>
            <c:dLbl>
              <c:idx val="11"/>
              <c:layout>
                <c:manualLayout>
                  <c:x val="0.2185932487605716"/>
                  <c:y val="0"/>
                </c:manualLayout>
              </c:layout>
              <c:tx>
                <c:rich>
                  <a:bodyPr/>
                  <a:lstStyle/>
                  <a:p>
                    <a:fld id="{B66344F1-04BE-4D0D-A1FB-E7386188AF6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D5AD-4D86-A89D-DC4B6AD71F33}"/>
                </c:ext>
              </c:extLst>
            </c:dLbl>
            <c:dLbl>
              <c:idx val="12"/>
              <c:layout>
                <c:manualLayout>
                  <c:x val="7.0948344998541843E-2"/>
                  <c:y val="0"/>
                </c:manualLayout>
              </c:layout>
              <c:tx>
                <c:rich>
                  <a:bodyPr/>
                  <a:lstStyle/>
                  <a:p>
                    <a:fld id="{601C3203-78D6-472D-9D8F-587AA293C2A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D5AD-4D86-A89D-DC4B6AD71F33}"/>
                </c:ext>
              </c:extLst>
            </c:dLbl>
            <c:dLbl>
              <c:idx val="13"/>
              <c:layout>
                <c:manualLayout>
                  <c:x val="5.6505905511810936E-2"/>
                  <c:y val="0"/>
                </c:manualLayout>
              </c:layout>
              <c:tx>
                <c:rich>
                  <a:bodyPr/>
                  <a:lstStyle/>
                  <a:p>
                    <a:fld id="{60746443-7071-4713-8C9C-FD6732D8DAC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D5AD-4D86-A89D-DC4B6AD71F33}"/>
                </c:ext>
              </c:extLst>
            </c:dLbl>
            <c:dLbl>
              <c:idx val="14"/>
              <c:layout>
                <c:manualLayout>
                  <c:x val="4.7856335666375038E-2"/>
                  <c:y val="0"/>
                </c:manualLayout>
              </c:layout>
              <c:tx>
                <c:rich>
                  <a:bodyPr/>
                  <a:lstStyle/>
                  <a:p>
                    <a:fld id="{6E49ECC0-47CC-49F5-808E-5CBD70E40D7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D5AD-4D86-A89D-DC4B6AD71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图11!$F$4:$F$18</c:f>
              <c:strCache>
                <c:ptCount val="15"/>
                <c:pt idx="0">
                  <c:v>金融</c:v>
                </c:pt>
                <c:pt idx="1">
                  <c:v>电子</c:v>
                </c:pt>
                <c:pt idx="2">
                  <c:v>餐饮住宿</c:v>
                </c:pt>
                <c:pt idx="3">
                  <c:v>汽车卡车</c:v>
                </c:pt>
                <c:pt idx="4">
                  <c:v>食品饮料</c:v>
                </c:pt>
                <c:pt idx="5">
                  <c:v>医疗护理</c:v>
                </c:pt>
                <c:pt idx="6">
                  <c:v>保险</c:v>
                </c:pt>
                <c:pt idx="7">
                  <c:v>机械</c:v>
                </c:pt>
                <c:pt idx="8">
                  <c:v>油气</c:v>
                </c:pt>
                <c:pt idx="9">
                  <c:v>专业服务</c:v>
                </c:pt>
                <c:pt idx="10">
                  <c:v>地产</c:v>
                </c:pt>
                <c:pt idx="11">
                  <c:v>零售</c:v>
                </c:pt>
                <c:pt idx="12">
                  <c:v>通讯</c:v>
                </c:pt>
                <c:pt idx="13">
                  <c:v>交通运输</c:v>
                </c:pt>
                <c:pt idx="14">
                  <c:v>水电能源</c:v>
                </c:pt>
              </c:strCache>
            </c:strRef>
          </c:cat>
          <c:val>
            <c:numRef>
              <c:f>图11!$I$4:$I$18</c:f>
              <c:numCache>
                <c:formatCode>0%</c:formatCode>
                <c:ptCount val="15"/>
                <c:pt idx="0">
                  <c:v>0.28000000000000003</c:v>
                </c:pt>
                <c:pt idx="1">
                  <c:v>0.3</c:v>
                </c:pt>
                <c:pt idx="2">
                  <c:v>0.32</c:v>
                </c:pt>
                <c:pt idx="3">
                  <c:v>0.13</c:v>
                </c:pt>
                <c:pt idx="4">
                  <c:v>0.25</c:v>
                </c:pt>
                <c:pt idx="5">
                  <c:v>0.28000000000000003</c:v>
                </c:pt>
                <c:pt idx="6">
                  <c:v>0.28999999999999998</c:v>
                </c:pt>
                <c:pt idx="7">
                  <c:v>0.38</c:v>
                </c:pt>
                <c:pt idx="8">
                  <c:v>0.11</c:v>
                </c:pt>
                <c:pt idx="9">
                  <c:v>0.75</c:v>
                </c:pt>
                <c:pt idx="10">
                  <c:v>0.26</c:v>
                </c:pt>
                <c:pt idx="11">
                  <c:v>0.89</c:v>
                </c:pt>
                <c:pt idx="12">
                  <c:v>0.17</c:v>
                </c:pt>
                <c:pt idx="13">
                  <c:v>0.1</c:v>
                </c:pt>
                <c:pt idx="14">
                  <c:v>0.03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图11!$D$4:$D$18</c15:f>
                <c15:dlblRangeCache>
                  <c:ptCount val="15"/>
                  <c:pt idx="0">
                    <c:v>-28%</c:v>
                  </c:pt>
                  <c:pt idx="1">
                    <c:v>-30%</c:v>
                  </c:pt>
                  <c:pt idx="2">
                    <c:v>-32%</c:v>
                  </c:pt>
                  <c:pt idx="3">
                    <c:v>-13%</c:v>
                  </c:pt>
                  <c:pt idx="4">
                    <c:v>-25%</c:v>
                  </c:pt>
                  <c:pt idx="5">
                    <c:v>-28%</c:v>
                  </c:pt>
                  <c:pt idx="6">
                    <c:v>-29%</c:v>
                  </c:pt>
                  <c:pt idx="7">
                    <c:v>-38%</c:v>
                  </c:pt>
                  <c:pt idx="8">
                    <c:v>-11%</c:v>
                  </c:pt>
                  <c:pt idx="9">
                    <c:v>-75%</c:v>
                  </c:pt>
                  <c:pt idx="10">
                    <c:v>-26%</c:v>
                  </c:pt>
                  <c:pt idx="11">
                    <c:v>-89%</c:v>
                  </c:pt>
                  <c:pt idx="12">
                    <c:v>-17%</c:v>
                  </c:pt>
                  <c:pt idx="13">
                    <c:v>-10%</c:v>
                  </c:pt>
                  <c:pt idx="14">
                    <c:v>-3%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D5AD-4D86-A89D-DC4B6AD71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60852848"/>
        <c:axId val="760853176"/>
      </c:barChart>
      <c:scatterChart>
        <c:scatterStyle val="lineMarker"/>
        <c:varyColors val="0"/>
        <c:ser>
          <c:idx val="3"/>
          <c:order val="3"/>
          <c:tx>
            <c:strRef>
              <c:f>图11!$K$2</c:f>
              <c:strCache>
                <c:ptCount val="1"/>
                <c:pt idx="0">
                  <c:v>辅助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图11!$K$4:$K$18</c:f>
              <c:numCache>
                <c:formatCode>0%</c:formatCode>
                <c:ptCount val="15"/>
                <c:pt idx="0">
                  <c:v>-0.3</c:v>
                </c:pt>
                <c:pt idx="1">
                  <c:v>-0.3</c:v>
                </c:pt>
                <c:pt idx="2">
                  <c:v>-0.3</c:v>
                </c:pt>
                <c:pt idx="3">
                  <c:v>-0.3</c:v>
                </c:pt>
                <c:pt idx="4">
                  <c:v>-0.3</c:v>
                </c:pt>
                <c:pt idx="5">
                  <c:v>-0.3</c:v>
                </c:pt>
                <c:pt idx="6">
                  <c:v>-0.3</c:v>
                </c:pt>
                <c:pt idx="7">
                  <c:v>-0.3</c:v>
                </c:pt>
                <c:pt idx="8">
                  <c:v>-0.3</c:v>
                </c:pt>
                <c:pt idx="9">
                  <c:v>-0.3</c:v>
                </c:pt>
                <c:pt idx="10">
                  <c:v>-0.3</c:v>
                </c:pt>
                <c:pt idx="11">
                  <c:v>-0.3</c:v>
                </c:pt>
                <c:pt idx="12">
                  <c:v>-0.3</c:v>
                </c:pt>
                <c:pt idx="13">
                  <c:v>-0.3</c:v>
                </c:pt>
                <c:pt idx="14">
                  <c:v>-0.3</c:v>
                </c:pt>
              </c:numCache>
            </c:numRef>
          </c:xVal>
          <c:yVal>
            <c:numRef>
              <c:f>图11!$L$4:$L$18</c:f>
              <c:numCache>
                <c:formatCode>General</c:formatCode>
                <c:ptCount val="15"/>
                <c:pt idx="0">
                  <c:v>15</c:v>
                </c:pt>
                <c:pt idx="1">
                  <c:v>13.5</c:v>
                </c:pt>
                <c:pt idx="2">
                  <c:v>12.5</c:v>
                </c:pt>
                <c:pt idx="3">
                  <c:v>11.5</c:v>
                </c:pt>
                <c:pt idx="4">
                  <c:v>10.5</c:v>
                </c:pt>
                <c:pt idx="5">
                  <c:v>9.5</c:v>
                </c:pt>
                <c:pt idx="6">
                  <c:v>8.5</c:v>
                </c:pt>
                <c:pt idx="7">
                  <c:v>7.5</c:v>
                </c:pt>
                <c:pt idx="8">
                  <c:v>6.5</c:v>
                </c:pt>
                <c:pt idx="9">
                  <c:v>5.5</c:v>
                </c:pt>
                <c:pt idx="10">
                  <c:v>4.5</c:v>
                </c:pt>
                <c:pt idx="11">
                  <c:v>3.5</c:v>
                </c:pt>
                <c:pt idx="12">
                  <c:v>2.5</c:v>
                </c:pt>
                <c:pt idx="13">
                  <c:v>1.5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AD-4D86-A89D-DC4B6AD71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032760"/>
        <c:axId val="787032432"/>
      </c:scatterChart>
      <c:catAx>
        <c:axId val="760852848"/>
        <c:scaling>
          <c:orientation val="maxMin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l"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r>
                  <a:rPr lang="zh-CN" altLang="en-US" sz="9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j-ea"/>
                    <a:ea typeface="+mj-ea"/>
                  </a:rPr>
                  <a:t>成功交易的</a:t>
                </a:r>
                <a:endParaRPr lang="en-US" altLang="zh-CN" sz="900">
                  <a:solidFill>
                    <a:schemeClr val="tx1">
                      <a:lumMod val="95000"/>
                      <a:lumOff val="5000"/>
                    </a:schemeClr>
                  </a:solidFill>
                  <a:latin typeface="+mj-ea"/>
                  <a:ea typeface="+mj-ea"/>
                </a:endParaRPr>
              </a:p>
              <a:p>
                <a:pPr algn="l">
                  <a:defRPr sz="9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j-ea"/>
                    <a:ea typeface="+mj-ea"/>
                  </a:defRPr>
                </a:pPr>
                <a:r>
                  <a:rPr lang="zh-CN" altLang="en-US" sz="90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j-ea"/>
                    <a:ea typeface="+mj-ea"/>
                  </a:rPr>
                  <a:t>平均回报</a:t>
                </a:r>
              </a:p>
            </c:rich>
          </c:tx>
          <c:layout>
            <c:manualLayout>
              <c:xMode val="edge"/>
              <c:yMode val="edge"/>
              <c:x val="0.17592592592592593"/>
              <c:y val="9.66779737328155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l"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j-ea"/>
                  <a:ea typeface="+mj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53176"/>
        <c:crosses val="autoZero"/>
        <c:auto val="0"/>
        <c:lblAlgn val="ctr"/>
        <c:lblOffset val="100"/>
        <c:noMultiLvlLbl val="0"/>
      </c:catAx>
      <c:valAx>
        <c:axId val="760853176"/>
        <c:scaling>
          <c:orientation val="minMax"/>
          <c:max val="1"/>
          <c:min val="-1.3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行业</a:t>
                </a:r>
              </a:p>
            </c:rich>
          </c:tx>
          <c:layout>
            <c:manualLayout>
              <c:xMode val="edge"/>
              <c:yMode val="edge"/>
              <c:x val="0.49293041072568633"/>
              <c:y val="0.1096183737266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52848"/>
        <c:crosses val="autoZero"/>
        <c:crossBetween val="between"/>
      </c:valAx>
      <c:valAx>
        <c:axId val="787032432"/>
        <c:scaling>
          <c:orientation val="minMax"/>
          <c:max val="15"/>
          <c:min val="0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 algn="r"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不成功交易的</a:t>
                </a:r>
                <a:endParaRPr lang="en-US" altLang="zh-CN" sz="90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  <a:p>
                <a:pPr algn="r">
                  <a:defRPr sz="9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r>
                  <a:rPr lang="zh-CN" altLang="en-US" sz="9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平均回报</a:t>
                </a:r>
              </a:p>
            </c:rich>
          </c:tx>
          <c:layout>
            <c:manualLayout>
              <c:xMode val="edge"/>
              <c:yMode val="edge"/>
              <c:x val="0.76157407407407407"/>
              <c:y val="9.387095618895591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r"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7032760"/>
        <c:crosses val="max"/>
        <c:crossBetween val="midCat"/>
      </c:valAx>
      <c:valAx>
        <c:axId val="787032760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78703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62864</xdr:rowOff>
    </xdr:from>
    <xdr:to>
      <xdr:col>12</xdr:col>
      <xdr:colOff>66675</xdr:colOff>
      <xdr:row>27</xdr:row>
      <xdr:rowOff>53340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7AD09B2-DAA0-4AF5-AF99-B60029122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37</xdr:row>
      <xdr:rowOff>95250</xdr:rowOff>
    </xdr:from>
    <xdr:to>
      <xdr:col>10</xdr:col>
      <xdr:colOff>485775</xdr:colOff>
      <xdr:row>38</xdr:row>
      <xdr:rowOff>95250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BC11825-EBA2-49F2-A07D-5DAC6F5DD599}"/>
            </a:ext>
          </a:extLst>
        </xdr:cNvPr>
        <xdr:cNvSpPr/>
      </xdr:nvSpPr>
      <xdr:spPr>
        <a:xfrm>
          <a:off x="3105150" y="6791325"/>
          <a:ext cx="33337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/>
              </a:solidFill>
              <a:latin typeface="+mn-ea"/>
              <a:ea typeface="+mn-ea"/>
            </a:rPr>
            <a:t>数据来源：银行财报；标准普尔；麦肯锡全球研究院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</xdr:row>
      <xdr:rowOff>36194</xdr:rowOff>
    </xdr:from>
    <xdr:to>
      <xdr:col>12</xdr:col>
      <xdr:colOff>304800</xdr:colOff>
      <xdr:row>24</xdr:row>
      <xdr:rowOff>60960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EDA2AA5-F100-4F22-A9DC-A5773D757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32</xdr:row>
      <xdr:rowOff>47626</xdr:rowOff>
    </xdr:from>
    <xdr:to>
      <xdr:col>12</xdr:col>
      <xdr:colOff>0</xdr:colOff>
      <xdr:row>33</xdr:row>
      <xdr:rowOff>38101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CE36C33-5D79-4C5F-A596-9417C97AAD70}"/>
            </a:ext>
          </a:extLst>
        </xdr:cNvPr>
        <xdr:cNvSpPr/>
      </xdr:nvSpPr>
      <xdr:spPr>
        <a:xfrm>
          <a:off x="3067050" y="5657851"/>
          <a:ext cx="42481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</a:rPr>
            <a:t>资料来源：美国联邦调查局；美国刑事司法档案管理局；经济学人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59054</xdr:colOff>
      <xdr:row>2</xdr:row>
      <xdr:rowOff>140969</xdr:rowOff>
    </xdr:from>
    <xdr:to>
      <xdr:col>13</xdr:col>
      <xdr:colOff>68579</xdr:colOff>
      <xdr:row>25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8380DD7-B734-4607-A6DF-4DB0CF7FC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39</xdr:row>
      <xdr:rowOff>114300</xdr:rowOff>
    </xdr:from>
    <xdr:to>
      <xdr:col>11</xdr:col>
      <xdr:colOff>276225</xdr:colOff>
      <xdr:row>40</xdr:row>
      <xdr:rowOff>95250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A12535B-4BCE-40BD-BF7C-AC4C674DBC93}"/>
            </a:ext>
          </a:extLst>
        </xdr:cNvPr>
        <xdr:cNvSpPr/>
      </xdr:nvSpPr>
      <xdr:spPr>
        <a:xfrm>
          <a:off x="5143500" y="7115175"/>
          <a:ext cx="42576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ysClr val="windowText" lastClr="000000"/>
              </a:solidFill>
            </a:rPr>
            <a:t>资料来源</a:t>
          </a:r>
          <a:r>
            <a:rPr lang="en-US" altLang="zh-CN" sz="1000">
              <a:solidFill>
                <a:sysClr val="windowText" lastClr="000000"/>
              </a:solidFill>
            </a:rPr>
            <a:t>: </a:t>
          </a:r>
          <a:r>
            <a:rPr lang="zh-CN" altLang="en-US" sz="1000">
              <a:solidFill>
                <a:sysClr val="windowText" lastClr="000000"/>
              </a:solidFill>
            </a:rPr>
            <a:t>加拿大统计局</a:t>
          </a:r>
          <a:r>
            <a:rPr lang="en-US" altLang="zh-CN" sz="1000">
              <a:solidFill>
                <a:sysClr val="windowText" lastClr="000000"/>
              </a:solidFill>
            </a:rPr>
            <a:t>; </a:t>
          </a:r>
          <a:r>
            <a:rPr lang="zh-CN" altLang="en-US" sz="1000">
              <a:solidFill>
                <a:sysClr val="windowText" lastClr="000000"/>
              </a:solidFill>
            </a:rPr>
            <a:t>简式集团</a:t>
          </a:r>
          <a:r>
            <a:rPr lang="en-US" altLang="zh-CN" sz="1000">
              <a:solidFill>
                <a:sysClr val="windowText" lastClr="000000"/>
              </a:solidFill>
            </a:rPr>
            <a:t>; </a:t>
          </a:r>
          <a:r>
            <a:rPr lang="zh-CN" altLang="en-US" sz="1000">
              <a:solidFill>
                <a:sysClr val="windowText" lastClr="000000"/>
              </a:solidFill>
            </a:rPr>
            <a:t>麦肯锡全球研究院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2</xdr:row>
      <xdr:rowOff>7620</xdr:rowOff>
    </xdr:from>
    <xdr:to>
      <xdr:col>12</xdr:col>
      <xdr:colOff>426720</xdr:colOff>
      <xdr:row>24</xdr:row>
      <xdr:rowOff>55245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AAC0CF-DE78-4E3B-93F5-CA7B64B14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32</xdr:row>
      <xdr:rowOff>114300</xdr:rowOff>
    </xdr:from>
    <xdr:to>
      <xdr:col>11</xdr:col>
      <xdr:colOff>304800</xdr:colOff>
      <xdr:row>33</xdr:row>
      <xdr:rowOff>95250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EC4F5085-4B97-48C7-9A2E-C949D425697D}"/>
            </a:ext>
          </a:extLst>
        </xdr:cNvPr>
        <xdr:cNvSpPr/>
      </xdr:nvSpPr>
      <xdr:spPr>
        <a:xfrm>
          <a:off x="3181350" y="5905500"/>
          <a:ext cx="3867150" cy="161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50">
              <a:solidFill>
                <a:sysClr val="windowText" lastClr="000000"/>
              </a:solidFill>
            </a:rPr>
            <a:t>资料来源：麦肯锡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0</xdr:row>
      <xdr:rowOff>68580</xdr:rowOff>
    </xdr:from>
    <xdr:to>
      <xdr:col>12</xdr:col>
      <xdr:colOff>472440</xdr:colOff>
      <xdr:row>27</xdr:row>
      <xdr:rowOff>68580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DBBADEF-0C16-41FE-8F51-5277246C3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44</xdr:row>
      <xdr:rowOff>76200</xdr:rowOff>
    </xdr:from>
    <xdr:to>
      <xdr:col>9</xdr:col>
      <xdr:colOff>466725</xdr:colOff>
      <xdr:row>45</xdr:row>
      <xdr:rowOff>85725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264F987-C72A-4951-AEFF-366929E78C8A}"/>
            </a:ext>
          </a:extLst>
        </xdr:cNvPr>
        <xdr:cNvSpPr/>
      </xdr:nvSpPr>
      <xdr:spPr>
        <a:xfrm>
          <a:off x="4791075" y="8039100"/>
          <a:ext cx="27813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</a:rPr>
            <a:t>资料来源：麦肯锡团队分析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3545;&#20013;&#22269;&#24433;&#21709;&#21147;&#30340;&#30475;&#27861;%20by%20Tarz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2270;&#34920;\&#32769;&#33487;&#22270;&#34920;&#38598;\CURRENT_Statistical-Portrait-of-the-Foreign-Born-2015_FINA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堆积条形图"/>
      <sheetName val="蝴蝶图"/>
    </sheetNames>
    <sheetDataSet>
      <sheetData sheetId="0"/>
      <sheetData sheetId="1">
        <row r="3">
          <cell r="F3" t="str">
            <v>辅助列2</v>
          </cell>
          <cell r="G3" t="str">
            <v>主要正面</v>
          </cell>
          <cell r="H3" t="str">
            <v>辅助列1</v>
          </cell>
          <cell r="I3" t="str">
            <v>主要负面</v>
          </cell>
        </row>
        <row r="4">
          <cell r="E4" t="str">
            <v>加拿大</v>
          </cell>
          <cell r="F4">
            <v>0</v>
          </cell>
          <cell r="G4">
            <v>37</v>
          </cell>
          <cell r="H4">
            <v>62</v>
          </cell>
          <cell r="I4">
            <v>51</v>
          </cell>
        </row>
        <row r="5">
          <cell r="E5" t="str">
            <v>美国</v>
          </cell>
          <cell r="F5">
            <v>0</v>
          </cell>
          <cell r="G5">
            <v>22</v>
          </cell>
          <cell r="H5">
            <v>58</v>
          </cell>
          <cell r="I5">
            <v>70</v>
          </cell>
        </row>
        <row r="6">
          <cell r="E6" t="str">
            <v>墨西哥</v>
          </cell>
          <cell r="F6">
            <v>0</v>
          </cell>
          <cell r="G6">
            <v>55</v>
          </cell>
          <cell r="H6">
            <v>69</v>
          </cell>
          <cell r="I6">
            <v>26</v>
          </cell>
        </row>
        <row r="7">
          <cell r="E7" t="str">
            <v>秘鲁</v>
          </cell>
          <cell r="F7">
            <v>0</v>
          </cell>
          <cell r="G7">
            <v>49</v>
          </cell>
          <cell r="H7">
            <v>67</v>
          </cell>
          <cell r="I7">
            <v>34</v>
          </cell>
        </row>
        <row r="8">
          <cell r="E8" t="str">
            <v>巴西</v>
          </cell>
          <cell r="F8">
            <v>0</v>
          </cell>
          <cell r="G8">
            <v>45</v>
          </cell>
          <cell r="H8">
            <v>67</v>
          </cell>
          <cell r="I8">
            <v>38</v>
          </cell>
        </row>
        <row r="9">
          <cell r="E9" t="str">
            <v>英国</v>
          </cell>
          <cell r="F9">
            <v>0</v>
          </cell>
          <cell r="G9">
            <v>37</v>
          </cell>
          <cell r="H9">
            <v>55</v>
          </cell>
          <cell r="I9">
            <v>58</v>
          </cell>
        </row>
        <row r="10">
          <cell r="E10" t="str">
            <v>希腊</v>
          </cell>
          <cell r="F10">
            <v>0</v>
          </cell>
          <cell r="G10">
            <v>37</v>
          </cell>
          <cell r="H10">
            <v>88</v>
          </cell>
          <cell r="I10">
            <v>25</v>
          </cell>
        </row>
        <row r="11">
          <cell r="E11" t="str">
            <v>法国</v>
          </cell>
          <cell r="F11">
            <v>0</v>
          </cell>
          <cell r="G11">
            <v>35</v>
          </cell>
          <cell r="H11">
            <v>55</v>
          </cell>
          <cell r="I11">
            <v>60</v>
          </cell>
        </row>
        <row r="12">
          <cell r="E12" t="str">
            <v>德国</v>
          </cell>
          <cell r="F12">
            <v>0</v>
          </cell>
          <cell r="G12">
            <v>20</v>
          </cell>
          <cell r="H12">
            <v>95</v>
          </cell>
          <cell r="I12">
            <v>35</v>
          </cell>
        </row>
        <row r="13">
          <cell r="E13" t="str">
            <v>西班牙</v>
          </cell>
          <cell r="F13">
            <v>0</v>
          </cell>
          <cell r="G13">
            <v>15</v>
          </cell>
          <cell r="H13">
            <v>67</v>
          </cell>
          <cell r="I13">
            <v>68</v>
          </cell>
        </row>
        <row r="14">
          <cell r="E14" t="str">
            <v>俄罗斯</v>
          </cell>
          <cell r="F14">
            <v>0</v>
          </cell>
          <cell r="G14">
            <v>44</v>
          </cell>
          <cell r="H14">
            <v>83</v>
          </cell>
          <cell r="I14">
            <v>23</v>
          </cell>
        </row>
        <row r="15">
          <cell r="E15" t="str">
            <v>土耳其</v>
          </cell>
          <cell r="F15">
            <v>0</v>
          </cell>
          <cell r="G15">
            <v>29</v>
          </cell>
          <cell r="H15">
            <v>67</v>
          </cell>
          <cell r="I15">
            <v>54</v>
          </cell>
        </row>
        <row r="16">
          <cell r="E16" t="str">
            <v>尼日利亚</v>
          </cell>
          <cell r="F16">
            <v>0</v>
          </cell>
          <cell r="G16">
            <v>83</v>
          </cell>
          <cell r="H16">
            <v>58</v>
          </cell>
          <cell r="I16">
            <v>9</v>
          </cell>
        </row>
        <row r="17">
          <cell r="E17" t="str">
            <v>肯尼亚</v>
          </cell>
          <cell r="F17">
            <v>0</v>
          </cell>
          <cell r="G17">
            <v>63</v>
          </cell>
          <cell r="H17">
            <v>60</v>
          </cell>
          <cell r="I17">
            <v>27</v>
          </cell>
        </row>
        <row r="18">
          <cell r="E18" t="str">
            <v>中国</v>
          </cell>
          <cell r="F18">
            <v>0</v>
          </cell>
          <cell r="G18">
            <v>88</v>
          </cell>
          <cell r="H18">
            <v>52</v>
          </cell>
          <cell r="I18">
            <v>10</v>
          </cell>
        </row>
        <row r="19">
          <cell r="E19" t="str">
            <v>巴基斯坦</v>
          </cell>
          <cell r="F19">
            <v>0</v>
          </cell>
          <cell r="G19">
            <v>63</v>
          </cell>
          <cell r="H19">
            <v>75</v>
          </cell>
          <cell r="I19">
            <v>12</v>
          </cell>
        </row>
        <row r="20">
          <cell r="E20" t="str">
            <v>澳大利亚</v>
          </cell>
          <cell r="F20">
            <v>0</v>
          </cell>
          <cell r="G20">
            <v>46</v>
          </cell>
          <cell r="H20">
            <v>57</v>
          </cell>
          <cell r="I20">
            <v>47</v>
          </cell>
        </row>
        <row r="21">
          <cell r="E21" t="str">
            <v>印度尼西亚</v>
          </cell>
          <cell r="F21">
            <v>0</v>
          </cell>
          <cell r="G21">
            <v>28</v>
          </cell>
          <cell r="H21">
            <v>72</v>
          </cell>
          <cell r="I21">
            <v>50</v>
          </cell>
        </row>
        <row r="22">
          <cell r="E22" t="str">
            <v>印度</v>
          </cell>
          <cell r="F22">
            <v>0</v>
          </cell>
          <cell r="G22">
            <v>19</v>
          </cell>
          <cell r="H22">
            <v>71</v>
          </cell>
          <cell r="I22">
            <v>60</v>
          </cell>
        </row>
        <row r="23">
          <cell r="E23" t="str">
            <v>全球平均(中国除外)</v>
          </cell>
          <cell r="F23">
            <v>0</v>
          </cell>
          <cell r="G23">
            <v>41</v>
          </cell>
          <cell r="H23">
            <v>67</v>
          </cell>
          <cell r="I23">
            <v>42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Nativity"/>
      <sheetName val="2.Region"/>
      <sheetName val="3.Race&amp;Ethnicity"/>
      <sheetName val="4.RaceSelf-Id"/>
      <sheetName val="5.Origin"/>
      <sheetName val="6.PdArrival"/>
      <sheetName val="7.English"/>
      <sheetName val="8.Eng.DateofArr."/>
      <sheetName val="9.MedianAge"/>
      <sheetName val="10.Generations"/>
      <sheetName val="11.Sex&amp;Age"/>
      <sheetName val="12.Age-Sex Pyramids"/>
      <sheetName val="Sheet1"/>
      <sheetName val="13.MarStat"/>
      <sheetName val="14.Births"/>
      <sheetName val="15.UnmarriedBirth"/>
      <sheetName val="16.EducAttain"/>
      <sheetName val="17.SchoolEnrollment"/>
      <sheetName val="18.Dropout"/>
      <sheetName val="19.CollegeEnrollment"/>
      <sheetName val="20.Employment Status"/>
      <sheetName val="21.Occupation - Nativity"/>
      <sheetName val="22.Occupation"/>
      <sheetName val="23.Det.Occupation- Nativity"/>
      <sheetName val="24.Det.Occupation"/>
      <sheetName val="25.Industry- Nativity"/>
      <sheetName val="26.Industry"/>
      <sheetName val="27.Det.Industry- Nativity"/>
      <sheetName val="28.Det.Industry"/>
      <sheetName val="29.Earnings"/>
      <sheetName val="30.MedEarnings"/>
      <sheetName val="31.FTYREarnings"/>
      <sheetName val="32.FTYRMedEarnings"/>
      <sheetName val="33.HHldIncDist"/>
      <sheetName val="34.MedHHInc"/>
      <sheetName val="35.Poverty"/>
      <sheetName val="36.HealthInsurance"/>
      <sheetName val="37.Public v Private Health"/>
      <sheetName val="38.Homeownership"/>
      <sheetName val="39.FBHomeownership"/>
      <sheetName val="40.HouseholdType(p)"/>
      <sheetName val="41.HouseholdType(hhld)"/>
      <sheetName val="42.FamilySize"/>
      <sheetName val="43.HouseholderType"/>
      <sheetName val="44.Region"/>
      <sheetName val="45.State"/>
      <sheetName val="46. StatebyBirth#"/>
      <sheetName val="47.StatebyBirth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Age and gender distributions for nativity groups: 2015</v>
          </cell>
          <cell r="B2"/>
          <cell r="C2"/>
          <cell r="D2"/>
          <cell r="E2"/>
          <cell r="F2"/>
          <cell r="G2"/>
          <cell r="H2"/>
          <cell r="I2"/>
        </row>
        <row r="4">
          <cell r="A4" t="str">
            <v xml:space="preserve"> Age (years)                </v>
          </cell>
          <cell r="B4" t="str">
            <v xml:space="preserve"> Foreign Born</v>
          </cell>
          <cell r="C4"/>
          <cell r="D4"/>
        </row>
        <row r="5">
          <cell r="J5" t="str">
            <v>Younger than 5</v>
          </cell>
          <cell r="K5">
            <v>0.3</v>
          </cell>
          <cell r="M5">
            <v>-0.3</v>
          </cell>
          <cell r="Q5">
            <v>-6</v>
          </cell>
          <cell r="R5">
            <v>17.5</v>
          </cell>
        </row>
        <row r="6">
          <cell r="J6" t="str">
            <v>5 to 9</v>
          </cell>
          <cell r="K6">
            <v>0.6</v>
          </cell>
          <cell r="M6">
            <v>-0.6</v>
          </cell>
          <cell r="Q6">
            <v>6</v>
          </cell>
          <cell r="R6">
            <v>17.5</v>
          </cell>
        </row>
        <row r="7">
          <cell r="J7" t="str">
            <v>10 to 14</v>
          </cell>
          <cell r="K7">
            <v>1</v>
          </cell>
          <cell r="M7">
            <v>-1</v>
          </cell>
        </row>
        <row r="8">
          <cell r="J8" t="str">
            <v>15 to 19</v>
          </cell>
          <cell r="K8">
            <v>1.7</v>
          </cell>
          <cell r="M8">
            <v>-1.8</v>
          </cell>
        </row>
        <row r="9">
          <cell r="J9" t="str">
            <v>20 to 24</v>
          </cell>
          <cell r="K9">
            <v>2.6</v>
          </cell>
          <cell r="M9">
            <v>-2.9</v>
          </cell>
          <cell r="Q9" t="str">
            <v>Males</v>
          </cell>
        </row>
        <row r="10">
          <cell r="J10" t="str">
            <v>25 to 29</v>
          </cell>
          <cell r="K10">
            <v>3.9</v>
          </cell>
          <cell r="M10">
            <v>-4.0999999999999996</v>
          </cell>
          <cell r="Q10" t="str">
            <v>Famales</v>
          </cell>
        </row>
        <row r="11">
          <cell r="J11" t="str">
            <v>30 to 34</v>
          </cell>
          <cell r="K11">
            <v>4.8</v>
          </cell>
          <cell r="M11">
            <v>-5</v>
          </cell>
        </row>
        <row r="12">
          <cell r="J12" t="str">
            <v>35 to 39</v>
          </cell>
          <cell r="K12">
            <v>5.4</v>
          </cell>
          <cell r="M12">
            <v>-5.3</v>
          </cell>
        </row>
        <row r="13">
          <cell r="J13" t="str">
            <v>40 to 44</v>
          </cell>
          <cell r="K13">
            <v>5.6</v>
          </cell>
          <cell r="M13">
            <v>-5.4</v>
          </cell>
        </row>
        <row r="14">
          <cell r="J14" t="str">
            <v>45 to 49</v>
          </cell>
          <cell r="K14">
            <v>5.0999999999999996</v>
          </cell>
          <cell r="M14">
            <v>-4.9000000000000004</v>
          </cell>
        </row>
        <row r="15">
          <cell r="J15" t="str">
            <v>50 to 54</v>
          </cell>
          <cell r="K15">
            <v>4.5999999999999996</v>
          </cell>
          <cell r="M15">
            <v>-4.5</v>
          </cell>
        </row>
        <row r="16">
          <cell r="J16" t="str">
            <v>55 to 59</v>
          </cell>
          <cell r="K16">
            <v>3.9</v>
          </cell>
          <cell r="M16">
            <v>-3.7</v>
          </cell>
        </row>
        <row r="17">
          <cell r="J17" t="str">
            <v>60 to 64</v>
          </cell>
          <cell r="K17">
            <v>3.4</v>
          </cell>
          <cell r="M17">
            <v>-2.9</v>
          </cell>
        </row>
        <row r="18">
          <cell r="J18" t="str">
            <v>65 to 69</v>
          </cell>
          <cell r="K18">
            <v>2.7</v>
          </cell>
          <cell r="M18">
            <v>-2.2999999999999998</v>
          </cell>
        </row>
        <row r="19">
          <cell r="J19" t="str">
            <v>70 to 74</v>
          </cell>
          <cell r="K19">
            <v>2</v>
          </cell>
          <cell r="M19">
            <v>-1.5</v>
          </cell>
        </row>
        <row r="20">
          <cell r="J20" t="str">
            <v>75 to 79</v>
          </cell>
          <cell r="K20">
            <v>1.6</v>
          </cell>
          <cell r="M20">
            <v>-1.1000000000000001</v>
          </cell>
        </row>
        <row r="21">
          <cell r="J21" t="str">
            <v>80 to 84</v>
          </cell>
          <cell r="K21">
            <v>1.1000000000000001</v>
          </cell>
          <cell r="M21">
            <v>-0.7</v>
          </cell>
        </row>
        <row r="22">
          <cell r="J22" t="str">
            <v>85 to 89</v>
          </cell>
          <cell r="K22">
            <v>0.7</v>
          </cell>
          <cell r="M22">
            <v>-0.4</v>
          </cell>
        </row>
        <row r="23">
          <cell r="J23" t="str">
            <v>90 and older</v>
          </cell>
          <cell r="K23">
            <v>0.5</v>
          </cell>
          <cell r="M23">
            <v>-0.2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391F0A-2965-41F0-8D62-427AA3CD4DBC}" name="表13" displayName="表13" ref="B5:D12" totalsRowShown="0">
  <tableColumns count="3">
    <tableColumn id="1" xr3:uid="{367ADB49-8592-4F6F-89FB-66491E167C07}" name="国家"/>
    <tableColumn id="2" xr3:uid="{C49C4A9D-37A5-4A27-B8FD-3784013B4051}" name="2007"/>
    <tableColumn id="3" xr3:uid="{EA769103-BAD4-48E1-A063-2FA71428B8AA}" name="201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07C261-E3FD-4CDA-A142-204C4E5D1B86}" name="表14" displayName="表14" ref="F5:I12" totalsRowShown="0">
  <tableColumns count="4">
    <tableColumn id="1" xr3:uid="{0B9C40D6-9D3E-46C9-9021-819FC34768CE}" name=" "/>
    <tableColumn id="2" xr3:uid="{AF46C5C4-2F63-43D6-AC58-8A7AF2C7DA06}" name="helper" dataDxfId="30"/>
    <tableColumn id="3" xr3:uid="{32BF8D99-79F5-47B0-8107-EB7394893ADC}" name="2007" dataDxfId="29"/>
    <tableColumn id="4" xr3:uid="{66CA4A20-8FDF-47C4-9A44-1AB5D818CB11}" name="2016" dataDxfId="2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F52419D-C6D8-4086-A2F2-4CD5069AD7F9}" name="表15" displayName="表15" ref="B4:D9" totalsRowShown="0">
  <tableColumns count="3">
    <tableColumn id="1" xr3:uid="{7CB057E5-EC43-44A0-A680-4B7E42085C27}" name="城市"/>
    <tableColumn id="3" xr3:uid="{AAB05C65-1D4E-4A61-B7D6-050F44DB922C}" name="枪支" dataDxfId="27"/>
    <tableColumn id="2" xr3:uid="{F6059D14-21CB-42BA-AECC-8ACEC33D0F8A}" name="其它工具" dataDxfId="2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5F8CC83-9E5B-4AD4-B9A2-8C341A31847A}" name="表16" displayName="表16" ref="F4:I9" totalsRowShown="0" headerRowDxfId="25" dataDxfId="24">
  <tableColumns count="4">
    <tableColumn id="1" xr3:uid="{3060D448-8F86-4FDD-9521-BC86ED5A8F76}" name=" "/>
    <tableColumn id="2" xr3:uid="{5C93EFB4-0C20-48EB-9E86-7F4F82395340}" name="helper" dataDxfId="23"/>
    <tableColumn id="3" xr3:uid="{774F553B-A580-4B6F-B040-7696AE302D6A}" name="其它工具" dataDxfId="22"/>
    <tableColumn id="4" xr3:uid="{57F7D420-6965-429A-944E-34A9F12E7E3A}" name="枪支" dataDxfId="21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C4BD872-A190-4BDB-8479-63C594C495C4}" name="表17" displayName="表17" ref="B5:E16" totalsRowShown="0">
  <tableColumns count="4">
    <tableColumn id="1" xr3:uid="{D49574C8-2327-4227-BD8E-2E26267E973F}" name="列1"/>
    <tableColumn id="2" xr3:uid="{C76918BD-6F0E-49F8-8F0D-9D6FF0D7FED8}" name="就业结构优化"/>
    <tableColumn id="3" xr3:uid="{2E69539A-5155-4296-B18E-2D324466D383}" name="增加劳动参与"/>
    <tableColumn id="4" xr3:uid="{5A02EE97-CA3D-4E16-B059-E68EAC2FCDEF}" name="延长工作时间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9D958EA-87D7-4274-BEF2-85919942A434}" name="表18" displayName="表18" ref="G5:K16" totalsRowShown="0" headerRowDxfId="20" dataDxfId="19">
  <tableColumns count="5">
    <tableColumn id="1" xr3:uid="{50345262-9102-4600-B50B-F0B933CFA58E}" name=" "/>
    <tableColumn id="2" xr3:uid="{01DA8149-77EF-4AE6-A96C-4F5B99B4F07B}" name="helper1"/>
    <tableColumn id="3" xr3:uid="{1869A609-5896-4A3B-9DA6-FEF5467495E5}" name="就业结构优化" dataDxfId="18"/>
    <tableColumn id="4" xr3:uid="{394C393A-C540-4B8C-9820-052A15A0F237}" name="增加劳动参与" dataDxfId="17"/>
    <tableColumn id="5" xr3:uid="{01CF3247-D7EC-479D-8BEC-1003D50D4198}" name="延长工作时间" dataDxfId="16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310BDF5-E42A-4744-983C-4E46350839E0}" name="表19" displayName="表19" ref="M5:O16" totalsRowShown="0" headerRowDxfId="15">
  <tableColumns count="3">
    <tableColumn id="1" xr3:uid="{555B641C-6C29-4EC9-A355-3D17B4A4C0E9}" name="x" dataDxfId="14"/>
    <tableColumn id="2" xr3:uid="{C60CE9FB-4066-4B5B-AEFE-66B1A3D5B1F2}" name="y" dataDxfId="13"/>
    <tableColumn id="3" xr3:uid="{B64B52EF-E5F4-46D5-87C9-E023911A1FF7}" name="标签" dataDxfId="12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E0ACDC3-9945-419F-82FC-252012F00D6D}" name="表20" displayName="表20" ref="B5:D11" totalsRowShown="0">
  <tableColumns count="3">
    <tableColumn id="1" xr3:uid="{B267380C-B4EF-4C1A-AA18-D8B15096769C}" name="列1"/>
    <tableColumn id="2" xr3:uid="{07120DA6-8F35-4AB5-9913-22213E0B6B95}" name="男" dataDxfId="11"/>
    <tableColumn id="3" xr3:uid="{613EA9D6-DF40-40AD-912E-B37E11DA7BB7}" name="女" dataDxfId="10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BDEA743-E39C-44D7-B3C6-5F3F502785E7}" name="表21" displayName="表21" ref="F5:J11" totalsRowShown="0" headerRowDxfId="9">
  <tableColumns count="5">
    <tableColumn id="1" xr3:uid="{414BB726-D429-4285-8FB2-BFC47B9D8CB7}" name=" "/>
    <tableColumn id="2" xr3:uid="{C1591FF6-A0C3-40D0-9C88-33F16B48A088}" name="男" dataDxfId="8">
      <calculatedColumnFormula>-C6</calculatedColumnFormula>
    </tableColumn>
    <tableColumn id="3" xr3:uid="{EBC5F8A6-C6F2-4272-8E70-3FFDF63B0AE7}" name="女" dataDxfId="7"/>
    <tableColumn id="4" xr3:uid="{FBF7304D-9A7D-471B-8977-C26361600996}" name="x"/>
    <tableColumn id="5" xr3:uid="{EE996D63-8044-415D-9275-C4E94F9A31D6}" name="y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8394276-5256-4727-9D98-A7FE3F16D74B}" name="表22" displayName="表22" ref="B3:D18" totalsRowShown="0">
  <tableColumns count="3">
    <tableColumn id="1" xr3:uid="{CEEC2AF4-D032-4B64-81F8-D9F8BA2CB9C6}" name=" "/>
    <tableColumn id="2" xr3:uid="{ABF3E2BA-DAC1-46A0-9A77-3C4386254EDA}" name="成功交易的平均回报" dataDxfId="6" dataCellStyle="百分比"/>
    <tableColumn id="3" xr3:uid="{D8433371-7DEC-41EE-B2A0-28BC46202C9D}" name="不成功交易的平均回报" dataDxfId="5" dataCellStyle="百分比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B999BAB-4154-4113-A04C-3C4DA3E6438F}" name="表24" displayName="表24" ref="F3:L18" totalsRowShown="0">
  <tableColumns count="7">
    <tableColumn id="1" xr3:uid="{9CC17ADC-D3FE-463C-BC38-F301954F2403}" name=" "/>
    <tableColumn id="2" xr3:uid="{075A1ACC-C7A8-46E4-BC55-5EDF4550402F}" name="成功交易的平均回报" dataDxfId="4">
      <calculatedColumnFormula>C4*-1</calculatedColumnFormula>
    </tableColumn>
    <tableColumn id="3" xr3:uid="{86457ADA-FC60-4C78-904E-DF81CE035C47}" name="helper" dataDxfId="3" dataCellStyle="百分比"/>
    <tableColumn id="4" xr3:uid="{C0B014FF-1A22-4461-A038-20E91770E619}" name="不成功交易的平均回报" dataDxfId="2">
      <calculatedColumnFormula>-D4</calculatedColumnFormula>
    </tableColumn>
    <tableColumn id="5" xr3:uid="{7D75ED1C-AFA9-4A2D-BBE0-2F8EE4A96794}" name="  "/>
    <tableColumn id="6" xr3:uid="{2A2DCA79-26D1-44AB-86A9-1AE68453594D}" name="x" dataDxfId="1" dataCellStyle="百分比"/>
    <tableColumn id="7" xr3:uid="{B50B4B32-F9D4-4170-886F-B07E460A38F6}" name="y" dataDxfId="0" dataCellStyle="百分比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McKinsey1">
      <a:dk1>
        <a:sysClr val="windowText" lastClr="000000"/>
      </a:dk1>
      <a:lt1>
        <a:sysClr val="window" lastClr="FFFFFF"/>
      </a:lt1>
      <a:dk2>
        <a:srgbClr val="FFF9F1"/>
      </a:dk2>
      <a:lt2>
        <a:srgbClr val="F1F1F1"/>
      </a:lt2>
      <a:accent1>
        <a:srgbClr val="00828F"/>
      </a:accent1>
      <a:accent2>
        <a:srgbClr val="65C6CC"/>
      </a:accent2>
      <a:accent3>
        <a:srgbClr val="25A7DB"/>
      </a:accent3>
      <a:accent4>
        <a:srgbClr val="E06D26"/>
      </a:accent4>
      <a:accent5>
        <a:srgbClr val="9EB1BB"/>
      </a:accent5>
      <a:accent6>
        <a:srgbClr val="E2DFCA"/>
      </a:accent6>
      <a:hlink>
        <a:srgbClr val="0563C1"/>
      </a:hlink>
      <a:folHlink>
        <a:srgbClr val="954F72"/>
      </a:folHlink>
    </a:clrScheme>
    <a:fontScheme name="自定义字体1">
      <a:majorFont>
        <a:latin typeface="Arial"/>
        <a:ea typeface="黑体"/>
        <a:cs typeface=""/>
      </a:majorFont>
      <a:minorFont>
        <a:latin typeface="Arial"/>
        <a:ea typeface="华文细黑"/>
        <a:cs typeface=""/>
      </a:minorFont>
    </a:fontScheme>
    <a:fmtScheme name="奥斯汀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765C-DFF3-4767-802D-6D7E1540FD28}">
  <dimension ref="B2:I12"/>
  <sheetViews>
    <sheetView showGridLines="0" workbookViewId="0">
      <selection activeCell="Q11" sqref="Q11"/>
    </sheetView>
  </sheetViews>
  <sheetFormatPr defaultRowHeight="13.2" x14ac:dyDescent="0.3"/>
  <cols>
    <col min="1" max="1" width="3.6640625" customWidth="1"/>
    <col min="7" max="7" width="8.6640625" customWidth="1"/>
  </cols>
  <sheetData>
    <row r="2" spans="2:9" x14ac:dyDescent="0.3">
      <c r="B2" t="s">
        <v>7</v>
      </c>
    </row>
    <row r="4" spans="2:9" x14ac:dyDescent="0.3">
      <c r="B4" t="s">
        <v>6</v>
      </c>
      <c r="F4" t="s">
        <v>14</v>
      </c>
    </row>
    <row r="5" spans="2:9" x14ac:dyDescent="0.3">
      <c r="B5" t="s">
        <v>0</v>
      </c>
      <c r="C5" s="1" t="s">
        <v>83</v>
      </c>
      <c r="D5" s="1" t="s">
        <v>84</v>
      </c>
      <c r="F5" t="s">
        <v>85</v>
      </c>
      <c r="G5" s="1" t="s">
        <v>2</v>
      </c>
      <c r="H5" s="1" t="s">
        <v>83</v>
      </c>
      <c r="I5" s="1" t="s">
        <v>84</v>
      </c>
    </row>
    <row r="6" spans="2:9" x14ac:dyDescent="0.3">
      <c r="B6" t="s">
        <v>8</v>
      </c>
      <c r="C6">
        <v>89</v>
      </c>
      <c r="D6">
        <v>66</v>
      </c>
      <c r="F6" t="s">
        <v>8</v>
      </c>
      <c r="G6" s="1">
        <v>0</v>
      </c>
      <c r="H6" s="1">
        <v>89</v>
      </c>
      <c r="I6" s="1">
        <v>66</v>
      </c>
    </row>
    <row r="7" spans="2:9" x14ac:dyDescent="0.3">
      <c r="B7" t="s">
        <v>9</v>
      </c>
      <c r="C7">
        <v>68</v>
      </c>
      <c r="D7">
        <v>57</v>
      </c>
      <c r="F7" t="s">
        <v>9</v>
      </c>
      <c r="G7" s="1">
        <v>0</v>
      </c>
      <c r="H7" s="1">
        <v>68</v>
      </c>
      <c r="I7" s="1">
        <v>57</v>
      </c>
    </row>
    <row r="8" spans="2:9" x14ac:dyDescent="0.3">
      <c r="B8" t="s">
        <v>10</v>
      </c>
      <c r="C8">
        <v>65</v>
      </c>
      <c r="D8">
        <v>33</v>
      </c>
      <c r="F8" t="s">
        <v>10</v>
      </c>
      <c r="G8" s="1">
        <v>0</v>
      </c>
      <c r="H8" s="1">
        <v>65</v>
      </c>
      <c r="I8" s="1">
        <v>33</v>
      </c>
    </row>
    <row r="9" spans="2:9" x14ac:dyDescent="0.3">
      <c r="B9" t="s">
        <v>11</v>
      </c>
      <c r="C9">
        <v>63</v>
      </c>
      <c r="D9">
        <v>50</v>
      </c>
      <c r="F9" t="s">
        <v>11</v>
      </c>
      <c r="G9" s="1">
        <v>0</v>
      </c>
      <c r="H9" s="1">
        <v>63</v>
      </c>
      <c r="I9" s="1">
        <v>50</v>
      </c>
    </row>
    <row r="10" spans="2:9" x14ac:dyDescent="0.3">
      <c r="B10" t="s">
        <v>1</v>
      </c>
      <c r="C10">
        <v>44</v>
      </c>
      <c r="D10">
        <v>23</v>
      </c>
      <c r="F10" t="s">
        <v>1</v>
      </c>
      <c r="G10" s="1">
        <v>0</v>
      </c>
      <c r="H10" s="1">
        <v>44</v>
      </c>
      <c r="I10" s="1">
        <v>23</v>
      </c>
    </row>
    <row r="11" spans="2:9" x14ac:dyDescent="0.3">
      <c r="B11" t="s">
        <v>12</v>
      </c>
      <c r="C11">
        <v>42</v>
      </c>
      <c r="D11">
        <v>41</v>
      </c>
      <c r="F11" t="s">
        <v>12</v>
      </c>
      <c r="G11" s="1">
        <v>0</v>
      </c>
      <c r="H11" s="1">
        <v>42</v>
      </c>
      <c r="I11" s="1">
        <v>41</v>
      </c>
    </row>
    <row r="12" spans="2:9" x14ac:dyDescent="0.3">
      <c r="B12" t="s">
        <v>13</v>
      </c>
      <c r="C12">
        <v>29</v>
      </c>
      <c r="D12">
        <v>21</v>
      </c>
      <c r="F12" t="s">
        <v>13</v>
      </c>
      <c r="G12" s="1">
        <v>0</v>
      </c>
      <c r="H12" s="1">
        <v>29</v>
      </c>
      <c r="I12" s="1">
        <v>21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9091-3D99-4780-A78A-D367A8040C44}">
  <dimension ref="B2:I12"/>
  <sheetViews>
    <sheetView showGridLines="0" workbookViewId="0">
      <selection activeCell="P14" sqref="P14"/>
    </sheetView>
  </sheetViews>
  <sheetFormatPr defaultRowHeight="13.2" x14ac:dyDescent="0.3"/>
  <cols>
    <col min="1" max="1" width="3.6640625" customWidth="1"/>
    <col min="3" max="3" width="10" customWidth="1"/>
    <col min="8" max="8" width="10" customWidth="1"/>
  </cols>
  <sheetData>
    <row r="2" spans="2:9" x14ac:dyDescent="0.3">
      <c r="B2" t="s">
        <v>15</v>
      </c>
    </row>
    <row r="4" spans="2:9" x14ac:dyDescent="0.3">
      <c r="B4" t="s">
        <v>16</v>
      </c>
      <c r="C4" s="1" t="s">
        <v>23</v>
      </c>
      <c r="D4" s="1" t="s">
        <v>22</v>
      </c>
      <c r="F4" t="s">
        <v>85</v>
      </c>
      <c r="G4" s="1" t="s">
        <v>2</v>
      </c>
      <c r="H4" s="1" t="s">
        <v>22</v>
      </c>
      <c r="I4" s="1" t="s">
        <v>23</v>
      </c>
    </row>
    <row r="5" spans="2:9" x14ac:dyDescent="0.3">
      <c r="B5" t="s">
        <v>17</v>
      </c>
      <c r="C5" s="2">
        <v>14.6</v>
      </c>
      <c r="D5" s="2">
        <v>2.4</v>
      </c>
      <c r="F5" t="s">
        <v>17</v>
      </c>
      <c r="G5" s="2">
        <v>0</v>
      </c>
      <c r="H5" s="2">
        <v>2.4</v>
      </c>
      <c r="I5" s="2">
        <v>14.6</v>
      </c>
    </row>
    <row r="6" spans="2:9" x14ac:dyDescent="0.3">
      <c r="B6" t="s">
        <v>18</v>
      </c>
      <c r="C6" s="2">
        <v>16.5</v>
      </c>
      <c r="D6" s="2">
        <v>3.5</v>
      </c>
      <c r="F6" t="s">
        <v>18</v>
      </c>
      <c r="G6" s="2">
        <v>0</v>
      </c>
      <c r="H6" s="2">
        <v>3.5</v>
      </c>
      <c r="I6" s="2">
        <v>16.5</v>
      </c>
    </row>
    <row r="7" spans="2:9" x14ac:dyDescent="0.3">
      <c r="B7" t="s">
        <v>19</v>
      </c>
      <c r="C7" s="2">
        <v>9.5</v>
      </c>
      <c r="D7" s="2">
        <v>3.4</v>
      </c>
      <c r="F7" t="s">
        <v>19</v>
      </c>
      <c r="G7" s="2">
        <v>0</v>
      </c>
      <c r="H7" s="2">
        <v>3.4</v>
      </c>
      <c r="I7" s="2">
        <v>9.5</v>
      </c>
    </row>
    <row r="8" spans="2:9" x14ac:dyDescent="0.3">
      <c r="B8" t="s">
        <v>20</v>
      </c>
      <c r="C8" s="2">
        <v>5.6</v>
      </c>
      <c r="D8" s="2">
        <v>1.9</v>
      </c>
      <c r="F8" t="s">
        <v>20</v>
      </c>
      <c r="G8" s="2">
        <v>0</v>
      </c>
      <c r="H8" s="2">
        <v>1.9</v>
      </c>
      <c r="I8" s="2">
        <v>5.6</v>
      </c>
    </row>
    <row r="9" spans="2:9" x14ac:dyDescent="0.3">
      <c r="B9" t="s">
        <v>21</v>
      </c>
      <c r="C9" s="2">
        <v>3</v>
      </c>
      <c r="D9" s="2">
        <v>2</v>
      </c>
      <c r="F9" t="s">
        <v>21</v>
      </c>
      <c r="G9" s="2">
        <v>0</v>
      </c>
      <c r="H9" s="2">
        <v>2</v>
      </c>
      <c r="I9" s="2">
        <v>3</v>
      </c>
    </row>
    <row r="11" spans="2:9" s="3" customFormat="1" ht="20.100000000000001" customHeight="1" x14ac:dyDescent="0.3">
      <c r="F11" s="3" t="s">
        <v>24</v>
      </c>
    </row>
    <row r="12" spans="2:9" ht="5.0999999999999996" customHeight="1" x14ac:dyDescent="0.3"/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E1B2-DEE7-487B-9456-32D883606F93}">
  <dimension ref="B2:O19"/>
  <sheetViews>
    <sheetView showGridLines="0" workbookViewId="0">
      <selection activeCell="G32" sqref="G32"/>
    </sheetView>
  </sheetViews>
  <sheetFormatPr defaultRowHeight="13.2" x14ac:dyDescent="0.3"/>
  <cols>
    <col min="1" max="1" width="3.6640625" customWidth="1"/>
    <col min="2" max="2" width="13.33203125" customWidth="1"/>
    <col min="3" max="5" width="13.44140625" customWidth="1"/>
    <col min="6" max="6" width="18.109375" customWidth="1"/>
    <col min="7" max="7" width="14.109375" bestFit="1" customWidth="1"/>
    <col min="8" max="8" width="9.6640625" customWidth="1"/>
    <col min="9" max="11" width="13.44140625" style="1" customWidth="1"/>
  </cols>
  <sheetData>
    <row r="2" spans="2:15" x14ac:dyDescent="0.3">
      <c r="B2" t="s">
        <v>25</v>
      </c>
    </row>
    <row r="4" spans="2:15" x14ac:dyDescent="0.3">
      <c r="B4" t="s">
        <v>46</v>
      </c>
      <c r="G4" t="s">
        <v>40</v>
      </c>
      <c r="M4" t="s">
        <v>45</v>
      </c>
    </row>
    <row r="5" spans="2:15" x14ac:dyDescent="0.3">
      <c r="B5" t="s">
        <v>82</v>
      </c>
      <c r="C5" t="s">
        <v>37</v>
      </c>
      <c r="D5" t="s">
        <v>38</v>
      </c>
      <c r="E5" t="s">
        <v>39</v>
      </c>
      <c r="G5" t="s">
        <v>85</v>
      </c>
      <c r="H5" s="1" t="s">
        <v>44</v>
      </c>
      <c r="I5" s="1" t="s">
        <v>37</v>
      </c>
      <c r="J5" s="1" t="s">
        <v>38</v>
      </c>
      <c r="K5" s="1" t="s">
        <v>39</v>
      </c>
      <c r="M5" s="1" t="s">
        <v>41</v>
      </c>
      <c r="N5" s="1" t="s">
        <v>42</v>
      </c>
      <c r="O5" s="1" t="s">
        <v>43</v>
      </c>
    </row>
    <row r="6" spans="2:15" x14ac:dyDescent="0.3">
      <c r="B6" t="s">
        <v>26</v>
      </c>
      <c r="C6">
        <v>42</v>
      </c>
      <c r="D6">
        <v>42</v>
      </c>
      <c r="E6">
        <v>16</v>
      </c>
      <c r="G6" t="s">
        <v>26</v>
      </c>
      <c r="H6">
        <v>0</v>
      </c>
      <c r="I6" s="1">
        <v>42</v>
      </c>
      <c r="J6" s="1">
        <v>42</v>
      </c>
      <c r="K6" s="1">
        <v>16</v>
      </c>
      <c r="M6" s="1">
        <v>110</v>
      </c>
      <c r="N6" s="1">
        <v>10.5</v>
      </c>
      <c r="O6" s="2">
        <v>150.6</v>
      </c>
    </row>
    <row r="7" spans="2:15" x14ac:dyDescent="0.3">
      <c r="B7" t="s">
        <v>27</v>
      </c>
      <c r="C7">
        <v>56</v>
      </c>
      <c r="D7">
        <v>35</v>
      </c>
      <c r="E7">
        <v>9</v>
      </c>
      <c r="G7" t="s">
        <v>27</v>
      </c>
      <c r="H7">
        <v>0</v>
      </c>
      <c r="I7" s="1">
        <v>56</v>
      </c>
      <c r="J7" s="1">
        <v>35</v>
      </c>
      <c r="K7" s="1">
        <v>9</v>
      </c>
      <c r="M7" s="1">
        <v>110</v>
      </c>
      <c r="N7" s="1">
        <v>9.5</v>
      </c>
      <c r="O7" s="2">
        <v>34.6</v>
      </c>
    </row>
    <row r="8" spans="2:15" x14ac:dyDescent="0.3">
      <c r="B8" t="s">
        <v>28</v>
      </c>
      <c r="C8">
        <v>53</v>
      </c>
      <c r="D8">
        <v>33</v>
      </c>
      <c r="E8">
        <v>14</v>
      </c>
      <c r="G8" t="s">
        <v>28</v>
      </c>
      <c r="H8">
        <v>0</v>
      </c>
      <c r="I8" s="1">
        <v>53</v>
      </c>
      <c r="J8" s="1">
        <v>33</v>
      </c>
      <c r="K8" s="1">
        <v>14</v>
      </c>
      <c r="M8" s="1">
        <v>110</v>
      </c>
      <c r="N8" s="1">
        <v>8.5</v>
      </c>
      <c r="O8" s="2">
        <v>0.6</v>
      </c>
    </row>
    <row r="9" spans="2:15" x14ac:dyDescent="0.3">
      <c r="B9" t="s">
        <v>29</v>
      </c>
      <c r="C9">
        <v>49</v>
      </c>
      <c r="D9">
        <v>42</v>
      </c>
      <c r="E9">
        <v>9</v>
      </c>
      <c r="G9" t="s">
        <v>29</v>
      </c>
      <c r="H9">
        <v>0</v>
      </c>
      <c r="I9" s="1">
        <v>49</v>
      </c>
      <c r="J9" s="1">
        <v>42</v>
      </c>
      <c r="K9" s="1">
        <v>9</v>
      </c>
      <c r="M9" s="1">
        <v>110</v>
      </c>
      <c r="N9" s="1">
        <v>7.5</v>
      </c>
      <c r="O9" s="2">
        <v>4.7</v>
      </c>
    </row>
    <row r="10" spans="2:15" x14ac:dyDescent="0.3">
      <c r="B10" t="s">
        <v>30</v>
      </c>
      <c r="C10">
        <v>47</v>
      </c>
      <c r="D10">
        <v>43</v>
      </c>
      <c r="E10">
        <v>10</v>
      </c>
      <c r="G10" t="s">
        <v>30</v>
      </c>
      <c r="H10">
        <v>0</v>
      </c>
      <c r="I10" s="1">
        <v>47</v>
      </c>
      <c r="J10" s="1">
        <v>43</v>
      </c>
      <c r="K10" s="1">
        <v>10</v>
      </c>
      <c r="M10" s="1">
        <v>110</v>
      </c>
      <c r="N10" s="1">
        <v>6.5</v>
      </c>
      <c r="O10" s="2">
        <v>21.3</v>
      </c>
    </row>
    <row r="11" spans="2:15" x14ac:dyDescent="0.3">
      <c r="B11" t="s">
        <v>31</v>
      </c>
      <c r="C11">
        <v>38</v>
      </c>
      <c r="D11">
        <v>39</v>
      </c>
      <c r="E11">
        <v>23</v>
      </c>
      <c r="G11" t="s">
        <v>31</v>
      </c>
      <c r="H11">
        <v>0</v>
      </c>
      <c r="I11" s="1">
        <v>38</v>
      </c>
      <c r="J11" s="1">
        <v>39</v>
      </c>
      <c r="K11" s="1">
        <v>23</v>
      </c>
      <c r="M11" s="1">
        <v>110</v>
      </c>
      <c r="N11" s="1">
        <v>5.5</v>
      </c>
      <c r="O11" s="2">
        <v>21.2</v>
      </c>
    </row>
    <row r="12" spans="2:15" x14ac:dyDescent="0.3">
      <c r="B12" t="s">
        <v>32</v>
      </c>
      <c r="C12">
        <v>37</v>
      </c>
      <c r="D12">
        <v>43</v>
      </c>
      <c r="E12">
        <v>20</v>
      </c>
      <c r="G12" t="s">
        <v>32</v>
      </c>
      <c r="H12">
        <v>0</v>
      </c>
      <c r="I12" s="1">
        <v>37</v>
      </c>
      <c r="J12" s="1">
        <v>43</v>
      </c>
      <c r="K12" s="1">
        <v>20</v>
      </c>
      <c r="M12" s="1">
        <v>110</v>
      </c>
      <c r="N12" s="1">
        <v>4.5</v>
      </c>
      <c r="O12" s="2">
        <v>60</v>
      </c>
    </row>
    <row r="13" spans="2:15" x14ac:dyDescent="0.3">
      <c r="B13" t="s">
        <v>33</v>
      </c>
      <c r="C13">
        <v>26</v>
      </c>
      <c r="D13">
        <v>63</v>
      </c>
      <c r="E13">
        <v>11</v>
      </c>
      <c r="G13" t="s">
        <v>33</v>
      </c>
      <c r="H13">
        <v>0</v>
      </c>
      <c r="I13" s="1">
        <v>26</v>
      </c>
      <c r="J13" s="1">
        <v>63</v>
      </c>
      <c r="K13" s="1">
        <v>11</v>
      </c>
      <c r="M13" s="1">
        <v>110</v>
      </c>
      <c r="N13" s="1">
        <v>3.5</v>
      </c>
      <c r="O13" s="4">
        <v>2.2999999999999998</v>
      </c>
    </row>
    <row r="14" spans="2:15" x14ac:dyDescent="0.3">
      <c r="B14" t="s">
        <v>34</v>
      </c>
      <c r="C14">
        <v>19</v>
      </c>
      <c r="D14">
        <v>60</v>
      </c>
      <c r="E14">
        <v>21</v>
      </c>
      <c r="G14" t="s">
        <v>34</v>
      </c>
      <c r="H14">
        <v>0</v>
      </c>
      <c r="I14" s="1">
        <v>19</v>
      </c>
      <c r="J14" s="1">
        <v>60</v>
      </c>
      <c r="K14" s="1">
        <v>21</v>
      </c>
      <c r="M14" s="1">
        <v>110</v>
      </c>
      <c r="N14" s="1">
        <v>2.5</v>
      </c>
      <c r="O14" s="4">
        <v>3</v>
      </c>
    </row>
    <row r="15" spans="2:15" x14ac:dyDescent="0.3">
      <c r="B15" t="s">
        <v>35</v>
      </c>
      <c r="C15">
        <v>0</v>
      </c>
      <c r="D15">
        <v>74</v>
      </c>
      <c r="E15">
        <v>26</v>
      </c>
      <c r="G15" t="s">
        <v>35</v>
      </c>
      <c r="H15">
        <v>0</v>
      </c>
      <c r="I15" s="1">
        <v>0</v>
      </c>
      <c r="J15" s="1">
        <v>74</v>
      </c>
      <c r="K15" s="1">
        <v>26</v>
      </c>
      <c r="M15" s="1">
        <v>110</v>
      </c>
      <c r="N15" s="1">
        <v>1.5</v>
      </c>
      <c r="O15" s="4">
        <v>1.3</v>
      </c>
    </row>
    <row r="16" spans="2:15" x14ac:dyDescent="0.3">
      <c r="B16" t="s">
        <v>36</v>
      </c>
      <c r="C16">
        <v>0</v>
      </c>
      <c r="D16">
        <v>74</v>
      </c>
      <c r="E16">
        <v>26</v>
      </c>
      <c r="G16" t="s">
        <v>36</v>
      </c>
      <c r="H16">
        <v>0</v>
      </c>
      <c r="I16" s="1">
        <v>0</v>
      </c>
      <c r="J16" s="1">
        <v>74</v>
      </c>
      <c r="K16" s="1">
        <v>26</v>
      </c>
      <c r="M16" s="1">
        <v>110</v>
      </c>
      <c r="N16" s="1">
        <v>0.5</v>
      </c>
      <c r="O16" s="4">
        <v>1.6</v>
      </c>
    </row>
    <row r="18" spans="7:7" ht="20.100000000000001" customHeight="1" x14ac:dyDescent="0.3">
      <c r="G18" t="s">
        <v>47</v>
      </c>
    </row>
    <row r="19" spans="7:7" ht="5.0999999999999996" customHeight="1" x14ac:dyDescent="0.3"/>
  </sheetData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B24E-8896-4F19-9518-549F931EEBEE}">
  <dimension ref="A1:J12"/>
  <sheetViews>
    <sheetView showGridLines="0" workbookViewId="0">
      <selection activeCell="P16" sqref="P16"/>
    </sheetView>
  </sheetViews>
  <sheetFormatPr defaultRowHeight="13.2" x14ac:dyDescent="0.3"/>
  <cols>
    <col min="1" max="1" width="3.6640625" customWidth="1"/>
    <col min="2" max="2" width="9.6640625" customWidth="1"/>
  </cols>
  <sheetData>
    <row r="1" spans="1:10" x14ac:dyDescent="0.3">
      <c r="A1" t="s">
        <v>58</v>
      </c>
    </row>
    <row r="2" spans="1:10" x14ac:dyDescent="0.3">
      <c r="B2" t="s">
        <v>48</v>
      </c>
    </row>
    <row r="4" spans="1:10" x14ac:dyDescent="0.3">
      <c r="B4" t="s">
        <v>49</v>
      </c>
      <c r="F4" t="s">
        <v>3</v>
      </c>
      <c r="I4" t="s">
        <v>2</v>
      </c>
    </row>
    <row r="5" spans="1:10" x14ac:dyDescent="0.3">
      <c r="B5" t="s">
        <v>82</v>
      </c>
      <c r="C5" s="1" t="s">
        <v>56</v>
      </c>
      <c r="D5" s="1" t="s">
        <v>57</v>
      </c>
      <c r="F5" t="s">
        <v>85</v>
      </c>
      <c r="G5" s="1" t="s">
        <v>56</v>
      </c>
      <c r="H5" s="1" t="s">
        <v>57</v>
      </c>
      <c r="I5" s="1" t="s">
        <v>4</v>
      </c>
      <c r="J5" s="1" t="s">
        <v>5</v>
      </c>
    </row>
    <row r="6" spans="1:10" x14ac:dyDescent="0.3">
      <c r="B6" t="s">
        <v>50</v>
      </c>
      <c r="C6" s="1">
        <v>42</v>
      </c>
      <c r="D6" s="1">
        <v>53</v>
      </c>
      <c r="F6" t="s">
        <v>50</v>
      </c>
      <c r="G6" s="1">
        <f>-C6</f>
        <v>-42</v>
      </c>
      <c r="H6" s="1">
        <v>53</v>
      </c>
      <c r="I6">
        <v>-95</v>
      </c>
      <c r="J6">
        <v>5.5</v>
      </c>
    </row>
    <row r="7" spans="1:10" x14ac:dyDescent="0.3">
      <c r="B7" t="s">
        <v>51</v>
      </c>
      <c r="C7" s="1">
        <v>69</v>
      </c>
      <c r="D7" s="1">
        <v>61</v>
      </c>
      <c r="F7" t="s">
        <v>51</v>
      </c>
      <c r="G7" s="1">
        <f t="shared" ref="G7:G11" si="0">-C7</f>
        <v>-69</v>
      </c>
      <c r="H7" s="1">
        <v>61</v>
      </c>
      <c r="I7">
        <v>-95</v>
      </c>
      <c r="J7">
        <v>4.5</v>
      </c>
    </row>
    <row r="8" spans="1:10" x14ac:dyDescent="0.3">
      <c r="B8" t="s">
        <v>52</v>
      </c>
      <c r="C8" s="1">
        <v>69</v>
      </c>
      <c r="D8" s="1">
        <v>65</v>
      </c>
      <c r="F8" t="s">
        <v>52</v>
      </c>
      <c r="G8" s="1">
        <f t="shared" si="0"/>
        <v>-69</v>
      </c>
      <c r="H8" s="1">
        <v>65</v>
      </c>
      <c r="I8">
        <v>-95</v>
      </c>
      <c r="J8">
        <v>3.5</v>
      </c>
    </row>
    <row r="9" spans="1:10" x14ac:dyDescent="0.3">
      <c r="B9" t="s">
        <v>53</v>
      </c>
      <c r="C9" s="1">
        <v>79</v>
      </c>
      <c r="D9" s="1">
        <v>73</v>
      </c>
      <c r="F9" t="s">
        <v>53</v>
      </c>
      <c r="G9" s="1">
        <f t="shared" si="0"/>
        <v>-79</v>
      </c>
      <c r="H9" s="1">
        <v>73</v>
      </c>
      <c r="I9">
        <v>-95</v>
      </c>
      <c r="J9">
        <v>2.5</v>
      </c>
    </row>
    <row r="10" spans="1:10" x14ac:dyDescent="0.3">
      <c r="B10" t="s">
        <v>54</v>
      </c>
      <c r="C10" s="1">
        <v>81</v>
      </c>
      <c r="D10" s="1">
        <v>70</v>
      </c>
      <c r="F10" t="s">
        <v>54</v>
      </c>
      <c r="G10" s="1">
        <f t="shared" si="0"/>
        <v>-81</v>
      </c>
      <c r="H10" s="1">
        <v>70</v>
      </c>
      <c r="I10">
        <v>-95</v>
      </c>
      <c r="J10">
        <v>1.5</v>
      </c>
    </row>
    <row r="11" spans="1:10" x14ac:dyDescent="0.3">
      <c r="B11" t="s">
        <v>55</v>
      </c>
      <c r="C11" s="1">
        <v>69</v>
      </c>
      <c r="D11" s="1">
        <v>57</v>
      </c>
      <c r="F11" t="s">
        <v>55</v>
      </c>
      <c r="G11" s="1">
        <f t="shared" si="0"/>
        <v>-69</v>
      </c>
      <c r="H11" s="1">
        <v>57</v>
      </c>
      <c r="I11">
        <v>-95</v>
      </c>
      <c r="J11">
        <v>0.5</v>
      </c>
    </row>
    <row r="12" spans="1:10" x14ac:dyDescent="0.3">
      <c r="C12" s="1"/>
      <c r="D12" s="1"/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D2D9-3037-4290-88DD-05ACA29EC5B2}">
  <dimension ref="B2:L20"/>
  <sheetViews>
    <sheetView showGridLines="0" tabSelected="1" workbookViewId="0">
      <selection activeCell="O11" sqref="O11"/>
    </sheetView>
  </sheetViews>
  <sheetFormatPr defaultRowHeight="13.2" x14ac:dyDescent="0.3"/>
  <cols>
    <col min="1" max="1" width="3.6640625" customWidth="1"/>
    <col min="3" max="3" width="18.5546875" customWidth="1"/>
    <col min="4" max="4" width="20.33203125" customWidth="1"/>
    <col min="5" max="5" width="2.6640625" customWidth="1"/>
    <col min="7" max="7" width="18" style="1" bestFit="1" customWidth="1"/>
    <col min="8" max="8" width="7.33203125" style="1" bestFit="1" customWidth="1"/>
    <col min="9" max="9" width="20" style="1" bestFit="1" customWidth="1"/>
    <col min="10" max="10" width="2.88671875" bestFit="1" customWidth="1"/>
    <col min="11" max="11" width="6" bestFit="1" customWidth="1"/>
    <col min="12" max="12" width="5.6640625" bestFit="1" customWidth="1"/>
  </cols>
  <sheetData>
    <row r="2" spans="2:12" x14ac:dyDescent="0.3">
      <c r="B2" t="s">
        <v>81</v>
      </c>
      <c r="F2" t="s">
        <v>76</v>
      </c>
      <c r="K2" t="s">
        <v>78</v>
      </c>
    </row>
    <row r="3" spans="2:12" x14ac:dyDescent="0.3">
      <c r="B3" t="s">
        <v>85</v>
      </c>
      <c r="C3" s="1" t="s">
        <v>74</v>
      </c>
      <c r="D3" s="1" t="s">
        <v>75</v>
      </c>
      <c r="F3" t="s">
        <v>58</v>
      </c>
      <c r="G3" s="1" t="s">
        <v>74</v>
      </c>
      <c r="H3" s="1" t="s">
        <v>77</v>
      </c>
      <c r="I3" s="6" t="s">
        <v>75</v>
      </c>
      <c r="J3" t="s">
        <v>86</v>
      </c>
      <c r="K3" s="1" t="s">
        <v>79</v>
      </c>
      <c r="L3" s="1" t="s">
        <v>80</v>
      </c>
    </row>
    <row r="4" spans="2:12" x14ac:dyDescent="0.3">
      <c r="B4" t="s">
        <v>59</v>
      </c>
      <c r="C4" s="8">
        <v>0.11</v>
      </c>
      <c r="D4" s="8">
        <v>-0.28000000000000003</v>
      </c>
      <c r="F4" t="s">
        <v>59</v>
      </c>
      <c r="G4" s="7">
        <f t="shared" ref="G4:G18" si="0">C4*-1</f>
        <v>-0.11</v>
      </c>
      <c r="H4" s="8">
        <v>-0.3</v>
      </c>
      <c r="I4" s="7">
        <f t="shared" ref="I4:I18" si="1">-D4</f>
        <v>0.28000000000000003</v>
      </c>
      <c r="K4" s="8">
        <v>-0.3</v>
      </c>
      <c r="L4" s="9">
        <v>15</v>
      </c>
    </row>
    <row r="5" spans="2:12" x14ac:dyDescent="0.3">
      <c r="B5" t="s">
        <v>60</v>
      </c>
      <c r="C5" s="8">
        <v>0.63</v>
      </c>
      <c r="D5" s="8">
        <v>-0.3</v>
      </c>
      <c r="F5" t="s">
        <v>60</v>
      </c>
      <c r="G5" s="7">
        <f t="shared" si="0"/>
        <v>-0.63</v>
      </c>
      <c r="H5" s="8">
        <v>-0.3</v>
      </c>
      <c r="I5" s="7">
        <f t="shared" si="1"/>
        <v>0.3</v>
      </c>
      <c r="K5" s="8">
        <v>-0.3</v>
      </c>
      <c r="L5" s="9">
        <v>13.5</v>
      </c>
    </row>
    <row r="6" spans="2:12" x14ac:dyDescent="0.3">
      <c r="B6" t="s">
        <v>61</v>
      </c>
      <c r="C6" s="8">
        <v>7.0000000000000007E-2</v>
      </c>
      <c r="D6" s="8">
        <v>-0.32</v>
      </c>
      <c r="F6" t="s">
        <v>61</v>
      </c>
      <c r="G6" s="7">
        <f t="shared" si="0"/>
        <v>-7.0000000000000007E-2</v>
      </c>
      <c r="H6" s="8">
        <v>-0.3</v>
      </c>
      <c r="I6" s="7">
        <f t="shared" si="1"/>
        <v>0.32</v>
      </c>
      <c r="K6" s="8">
        <v>-0.3</v>
      </c>
      <c r="L6" s="9">
        <v>12.5</v>
      </c>
    </row>
    <row r="7" spans="2:12" x14ac:dyDescent="0.3">
      <c r="B7" t="s">
        <v>62</v>
      </c>
      <c r="C7" s="8">
        <v>0.23</v>
      </c>
      <c r="D7" s="8">
        <v>-0.13</v>
      </c>
      <c r="F7" t="s">
        <v>62</v>
      </c>
      <c r="G7" s="7">
        <f t="shared" si="0"/>
        <v>-0.23</v>
      </c>
      <c r="H7" s="8">
        <v>-0.3</v>
      </c>
      <c r="I7" s="7">
        <f t="shared" si="1"/>
        <v>0.13</v>
      </c>
      <c r="K7" s="8">
        <v>-0.3</v>
      </c>
      <c r="L7" s="9">
        <v>11.5</v>
      </c>
    </row>
    <row r="8" spans="2:12" x14ac:dyDescent="0.3">
      <c r="B8" t="s">
        <v>63</v>
      </c>
      <c r="C8" s="8">
        <v>0.11</v>
      </c>
      <c r="D8" s="8">
        <v>-0.25</v>
      </c>
      <c r="F8" t="s">
        <v>63</v>
      </c>
      <c r="G8" s="7">
        <f t="shared" si="0"/>
        <v>-0.11</v>
      </c>
      <c r="H8" s="8">
        <v>-0.3</v>
      </c>
      <c r="I8" s="7">
        <f t="shared" si="1"/>
        <v>0.25</v>
      </c>
      <c r="K8" s="8">
        <v>-0.3</v>
      </c>
      <c r="L8" s="9">
        <v>10.5</v>
      </c>
    </row>
    <row r="9" spans="2:12" x14ac:dyDescent="0.3">
      <c r="B9" t="s">
        <v>64</v>
      </c>
      <c r="C9" s="8">
        <v>0.06</v>
      </c>
      <c r="D9" s="8">
        <v>-0.28000000000000003</v>
      </c>
      <c r="F9" t="s">
        <v>64</v>
      </c>
      <c r="G9" s="7">
        <f t="shared" si="0"/>
        <v>-0.06</v>
      </c>
      <c r="H9" s="8">
        <v>-0.3</v>
      </c>
      <c r="I9" s="7">
        <f t="shared" si="1"/>
        <v>0.28000000000000003</v>
      </c>
      <c r="K9" s="8">
        <v>-0.3</v>
      </c>
      <c r="L9" s="9">
        <v>9.5</v>
      </c>
    </row>
    <row r="10" spans="2:12" x14ac:dyDescent="0.3">
      <c r="B10" t="s">
        <v>65</v>
      </c>
      <c r="C10" s="8">
        <v>0.15</v>
      </c>
      <c r="D10" s="8">
        <v>-0.28999999999999998</v>
      </c>
      <c r="F10" t="s">
        <v>65</v>
      </c>
      <c r="G10" s="7">
        <f t="shared" si="0"/>
        <v>-0.15</v>
      </c>
      <c r="H10" s="8">
        <v>-0.3</v>
      </c>
      <c r="I10" s="7">
        <f t="shared" si="1"/>
        <v>0.28999999999999998</v>
      </c>
      <c r="K10" s="8">
        <v>-0.3</v>
      </c>
      <c r="L10" s="9">
        <v>8.5</v>
      </c>
    </row>
    <row r="11" spans="2:12" x14ac:dyDescent="0.3">
      <c r="B11" t="s">
        <v>66</v>
      </c>
      <c r="C11" s="8">
        <v>0.23</v>
      </c>
      <c r="D11" s="8">
        <v>-0.38</v>
      </c>
      <c r="F11" t="s">
        <v>66</v>
      </c>
      <c r="G11" s="7">
        <f t="shared" si="0"/>
        <v>-0.23</v>
      </c>
      <c r="H11" s="8">
        <v>-0.3</v>
      </c>
      <c r="I11" s="7">
        <f t="shared" si="1"/>
        <v>0.38</v>
      </c>
      <c r="K11" s="8">
        <v>-0.3</v>
      </c>
      <c r="L11" s="9">
        <v>7.5</v>
      </c>
    </row>
    <row r="12" spans="2:12" x14ac:dyDescent="0.3">
      <c r="B12" t="s">
        <v>67</v>
      </c>
      <c r="C12" s="8">
        <v>0.13</v>
      </c>
      <c r="D12" s="8">
        <v>-0.11</v>
      </c>
      <c r="F12" t="s">
        <v>67</v>
      </c>
      <c r="G12" s="7">
        <f t="shared" si="0"/>
        <v>-0.13</v>
      </c>
      <c r="H12" s="8">
        <v>-0.3</v>
      </c>
      <c r="I12" s="7">
        <f t="shared" si="1"/>
        <v>0.11</v>
      </c>
      <c r="K12" s="8">
        <v>-0.3</v>
      </c>
      <c r="L12" s="9">
        <v>6.5</v>
      </c>
    </row>
    <row r="13" spans="2:12" x14ac:dyDescent="0.3">
      <c r="B13" t="s">
        <v>68</v>
      </c>
      <c r="C13" s="8">
        <v>0.05</v>
      </c>
      <c r="D13" s="8">
        <v>-0.75</v>
      </c>
      <c r="F13" t="s">
        <v>68</v>
      </c>
      <c r="G13" s="7">
        <f t="shared" si="0"/>
        <v>-0.05</v>
      </c>
      <c r="H13" s="8">
        <v>-0.3</v>
      </c>
      <c r="I13" s="7">
        <f t="shared" si="1"/>
        <v>0.75</v>
      </c>
      <c r="K13" s="8">
        <v>-0.3</v>
      </c>
      <c r="L13" s="9">
        <v>5.5</v>
      </c>
    </row>
    <row r="14" spans="2:12" x14ac:dyDescent="0.3">
      <c r="B14" t="s">
        <v>69</v>
      </c>
      <c r="C14" s="8">
        <v>0.12</v>
      </c>
      <c r="D14" s="8">
        <v>-0.26</v>
      </c>
      <c r="F14" t="s">
        <v>69</v>
      </c>
      <c r="G14" s="7">
        <f t="shared" si="0"/>
        <v>-0.12</v>
      </c>
      <c r="H14" s="8">
        <v>-0.3</v>
      </c>
      <c r="I14" s="7">
        <f t="shared" si="1"/>
        <v>0.26</v>
      </c>
      <c r="K14" s="8">
        <v>-0.3</v>
      </c>
      <c r="L14" s="9">
        <v>4.5</v>
      </c>
    </row>
    <row r="15" spans="2:12" x14ac:dyDescent="0.3">
      <c r="B15" t="s">
        <v>70</v>
      </c>
      <c r="C15" s="8">
        <v>0.15</v>
      </c>
      <c r="D15" s="8">
        <v>-0.89</v>
      </c>
      <c r="F15" t="s">
        <v>70</v>
      </c>
      <c r="G15" s="7">
        <f t="shared" si="0"/>
        <v>-0.15</v>
      </c>
      <c r="H15" s="8">
        <v>-0.3</v>
      </c>
      <c r="I15" s="7">
        <f t="shared" si="1"/>
        <v>0.89</v>
      </c>
      <c r="K15" s="8">
        <v>-0.3</v>
      </c>
      <c r="L15" s="9">
        <v>3.5</v>
      </c>
    </row>
    <row r="16" spans="2:12" x14ac:dyDescent="0.3">
      <c r="B16" t="s">
        <v>71</v>
      </c>
      <c r="C16" s="8">
        <v>0.08</v>
      </c>
      <c r="D16" s="8">
        <v>-0.17</v>
      </c>
      <c r="F16" t="s">
        <v>71</v>
      </c>
      <c r="G16" s="7">
        <f t="shared" si="0"/>
        <v>-0.08</v>
      </c>
      <c r="H16" s="8">
        <v>-0.3</v>
      </c>
      <c r="I16" s="7">
        <f t="shared" si="1"/>
        <v>0.17</v>
      </c>
      <c r="K16" s="8">
        <v>-0.3</v>
      </c>
      <c r="L16" s="9">
        <v>2.5</v>
      </c>
    </row>
    <row r="17" spans="2:12" x14ac:dyDescent="0.3">
      <c r="B17" t="s">
        <v>72</v>
      </c>
      <c r="C17" s="8">
        <v>0.09</v>
      </c>
      <c r="D17" s="8">
        <v>-0.1</v>
      </c>
      <c r="F17" t="s">
        <v>72</v>
      </c>
      <c r="G17" s="7">
        <f t="shared" si="0"/>
        <v>-0.09</v>
      </c>
      <c r="H17" s="8">
        <v>-0.3</v>
      </c>
      <c r="I17" s="7">
        <f t="shared" si="1"/>
        <v>0.1</v>
      </c>
      <c r="K17" s="8">
        <v>-0.3</v>
      </c>
      <c r="L17" s="9">
        <v>1.5</v>
      </c>
    </row>
    <row r="18" spans="2:12" x14ac:dyDescent="0.3">
      <c r="B18" t="s">
        <v>73</v>
      </c>
      <c r="C18" s="8">
        <v>0.13</v>
      </c>
      <c r="D18" s="8">
        <v>-0.03</v>
      </c>
      <c r="F18" t="s">
        <v>73</v>
      </c>
      <c r="G18" s="7">
        <f t="shared" si="0"/>
        <v>-0.13</v>
      </c>
      <c r="H18" s="8">
        <v>-0.3</v>
      </c>
      <c r="I18" s="7">
        <f t="shared" si="1"/>
        <v>0.03</v>
      </c>
      <c r="K18" s="8">
        <v>-0.3</v>
      </c>
      <c r="L18" s="9">
        <v>0</v>
      </c>
    </row>
    <row r="19" spans="2:12" x14ac:dyDescent="0.3">
      <c r="C19" s="5"/>
      <c r="D19" s="5"/>
      <c r="G19" s="7"/>
      <c r="H19" s="8"/>
      <c r="I19" s="7"/>
      <c r="K19" s="8"/>
      <c r="L19" s="9"/>
    </row>
    <row r="20" spans="2:12" x14ac:dyDescent="0.3">
      <c r="C20" s="5"/>
      <c r="D20" s="5"/>
      <c r="G20" s="7"/>
      <c r="H20" s="8"/>
      <c r="I20" s="7"/>
      <c r="K20" s="8"/>
      <c r="L20" s="9"/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图7</vt:lpstr>
      <vt:lpstr>图8</vt:lpstr>
      <vt:lpstr>图9</vt:lpstr>
      <vt:lpstr>图10</vt:lpstr>
      <vt:lpstr>图11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Tarzan 苏华侨</dc:creator>
  <cp:lastModifiedBy>拉登Dony</cp:lastModifiedBy>
  <dcterms:created xsi:type="dcterms:W3CDTF">2016-11-16T03:25:06Z</dcterms:created>
  <dcterms:modified xsi:type="dcterms:W3CDTF">2019-03-08T02:31:00Z</dcterms:modified>
</cp:coreProperties>
</file>