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73C81A19-49DC-43BF-9F0C-CB9A569C764F}" xr6:coauthVersionLast="40" xr6:coauthVersionMax="40" xr10:uidLastSave="{00000000-0000-0000-0000-000000000000}"/>
  <bookViews>
    <workbookView xWindow="-108" yWindow="-108" windowWidth="23256" windowHeight="12720" activeTab="4" xr2:uid="{00000000-000D-0000-FFFF-FFFF00000000}"/>
  </bookViews>
  <sheets>
    <sheet name="图1" sheetId="1" r:id="rId1"/>
    <sheet name="图2" sheetId="2" r:id="rId2"/>
    <sheet name="图3" sheetId="3" r:id="rId3"/>
    <sheet name="图4" sheetId="4" r:id="rId4"/>
    <sheet name="图5" sheetId="5" r:id="rId5"/>
  </sheets>
  <externalReferences>
    <externalReference r:id="rId6"/>
  </externalReferences>
  <calcPr calcId="191029" calcOnSave="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" i="5" l="1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4" i="5"/>
  <c r="E6" i="3" l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</calcChain>
</file>

<file path=xl/sharedStrings.xml><?xml version="1.0" encoding="utf-8"?>
<sst xmlns="http://schemas.openxmlformats.org/spreadsheetml/2006/main" count="108" uniqueCount="70">
  <si>
    <t>Jan</t>
    <phoneticPr fontId="2" type="noConversion"/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</si>
  <si>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</si>
  <si>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</si>
  <si>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</si>
  <si>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</si>
  <si>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</si>
  <si>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</si>
  <si>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</si>
  <si>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</si>
  <si>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</si>
  <si>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2017年某公司订单量与标准生产量</t>
    <phoneticPr fontId="2" type="noConversion"/>
  </si>
  <si>
    <t>订单量</t>
    <phoneticPr fontId="2" type="noConversion"/>
  </si>
  <si>
    <t>标准生产量</t>
    <phoneticPr fontId="2" type="noConversion"/>
  </si>
  <si>
    <t xml:space="preserve">  *模拟数据</t>
    <phoneticPr fontId="2" type="noConversion"/>
  </si>
  <si>
    <t>标准
生产量</t>
    <phoneticPr fontId="2" type="noConversion"/>
  </si>
  <si>
    <t>Jan</t>
  </si>
  <si>
    <t>helper</t>
    <phoneticPr fontId="2" type="noConversion"/>
  </si>
  <si>
    <t>x</t>
    <phoneticPr fontId="2" type="noConversion"/>
  </si>
  <si>
    <t>y</t>
    <phoneticPr fontId="2" type="noConversion"/>
  </si>
  <si>
    <t xml:space="preserve">  *模拟数据</t>
    <phoneticPr fontId="2" type="noConversion"/>
  </si>
  <si>
    <r>
      <t>2</t>
    </r>
    <r>
      <rPr>
        <sz val="9"/>
        <color theme="1"/>
        <rFont val="微软雅黑"/>
        <family val="2"/>
        <charset val="134"/>
      </rPr>
      <t>017年各月度生产量与去年同期对比</t>
    </r>
    <phoneticPr fontId="2" type="noConversion"/>
  </si>
  <si>
    <t>美国与中国的商品贸易</t>
    <phoneticPr fontId="2" type="noConversion"/>
  </si>
  <si>
    <t>出口</t>
    <phoneticPr fontId="2" type="noConversion"/>
  </si>
  <si>
    <t>进口</t>
    <phoneticPr fontId="2" type="noConversion"/>
  </si>
  <si>
    <t>1985</t>
    <phoneticPr fontId="2" type="noConversion"/>
  </si>
  <si>
    <t>1990</t>
    <phoneticPr fontId="2" type="noConversion"/>
  </si>
  <si>
    <t>1995</t>
    <phoneticPr fontId="2" type="noConversion"/>
  </si>
  <si>
    <t>2000</t>
  </si>
  <si>
    <t>2000</t>
    <phoneticPr fontId="2" type="noConversion"/>
  </si>
  <si>
    <t>05</t>
    <phoneticPr fontId="2" type="noConversion"/>
  </si>
  <si>
    <t>10</t>
    <phoneticPr fontId="2" type="noConversion"/>
  </si>
  <si>
    <t>16</t>
    <phoneticPr fontId="2" type="noConversion"/>
  </si>
  <si>
    <t>贸易差额</t>
    <phoneticPr fontId="2" type="noConversion"/>
  </si>
  <si>
    <t>‘1984</t>
    <phoneticPr fontId="2" type="noConversion"/>
  </si>
  <si>
    <t>Imports</t>
    <phoneticPr fontId="2" type="noConversion"/>
  </si>
  <si>
    <t>Exports</t>
    <phoneticPr fontId="2" type="noConversion"/>
  </si>
  <si>
    <t>年度</t>
  </si>
  <si>
    <t>平均库存</t>
  </si>
  <si>
    <t>2013</t>
  </si>
  <si>
    <t>2013</t>
    <phoneticPr fontId="2" type="noConversion"/>
  </si>
  <si>
    <t>2014</t>
  </si>
  <si>
    <t>2014</t>
    <phoneticPr fontId="2" type="noConversion"/>
  </si>
  <si>
    <t>2015</t>
  </si>
  <si>
    <t>2015</t>
    <phoneticPr fontId="2" type="noConversion"/>
  </si>
  <si>
    <t>2016</t>
  </si>
  <si>
    <t>2016</t>
    <phoneticPr fontId="2" type="noConversion"/>
  </si>
  <si>
    <t>Jan</t>
    <phoneticPr fontId="2" type="noConversion"/>
  </si>
  <si>
    <t>原始数据</t>
    <phoneticPr fontId="2" type="noConversion"/>
  </si>
  <si>
    <t>作图数据</t>
    <phoneticPr fontId="2" type="noConversion"/>
  </si>
  <si>
    <t>柱形</t>
    <phoneticPr fontId="2" type="noConversion"/>
  </si>
  <si>
    <t>折线</t>
    <phoneticPr fontId="2" type="noConversion"/>
  </si>
  <si>
    <t>2017</t>
    <phoneticPr fontId="2" type="noConversion"/>
  </si>
  <si>
    <t>历年全国财政数据</t>
    <phoneticPr fontId="2" type="noConversion"/>
  </si>
  <si>
    <t>一般收入</t>
    <phoneticPr fontId="2" type="noConversion"/>
  </si>
  <si>
    <t>一般支出</t>
    <phoneticPr fontId="2" type="noConversion"/>
  </si>
  <si>
    <t>余额占收入比</t>
    <phoneticPr fontId="2" type="noConversion"/>
  </si>
  <si>
    <t>1999</t>
    <phoneticPr fontId="2" type="noConversion"/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</si>
  <si>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</si>
  <si>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</si>
  <si>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</si>
  <si>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</si>
  <si>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</si>
  <si>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</si>
  <si>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</si>
  <si>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</si>
  <si>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</si>
  <si>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</si>
  <si>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</si>
  <si>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</si>
  <si>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2017.1-8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</si>
</sst>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_ * #,##0_ ;_ * \-#,##0_ ;_ * &quot;-&quot;??_ ;_ @_ "/>
    <numFmt numFmtId="177" formatCode="0.0%"/>
  </numFmts>
  <fonts count="8" x14ac:knownFonts="1">
    <font>
      <sz val="11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theme="0"/>
      <name val="微软雅黑"/>
      <family val="2"/>
      <charset val="134"/>
    </font>
    <font>
      <sz val="11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medium">
        <color theme="1" tint="0.2499465926084170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theme="1" tint="0.24994659260841701"/>
      </bottom>
      <diagonal/>
    </border>
    <border>
      <left/>
      <right/>
      <top style="medium">
        <color theme="1" tint="0.34998626667073579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theme="1" tint="0.34998626667073579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righ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right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right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right" vertical="center"/>
    </xf>
    <xf numFmtId="0" fontId="1" fillId="0" borderId="10" xfId="0" quotePrefix="1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right" vertical="center"/>
    </xf>
    <xf numFmtId="0" fontId="3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right" vertical="center"/>
    </xf>
    <xf numFmtId="0" fontId="1" fillId="0" borderId="12" xfId="0" quotePrefix="1" applyFont="1" applyBorder="1" applyAlignment="1">
      <alignment horizontal="left" vertical="center"/>
    </xf>
    <xf numFmtId="1" fontId="1" fillId="0" borderId="12" xfId="0" applyNumberFormat="1" applyFont="1" applyBorder="1" applyAlignment="1">
      <alignment horizontal="left" vertical="center"/>
    </xf>
    <xf numFmtId="1" fontId="1" fillId="0" borderId="10" xfId="0" applyNumberFormat="1" applyFont="1" applyBorder="1" applyAlignment="1">
      <alignment horizontal="left" vertical="center"/>
    </xf>
    <xf numFmtId="1" fontId="1" fillId="0" borderId="13" xfId="0" applyNumberFormat="1" applyFont="1" applyBorder="1" applyAlignment="1">
      <alignment horizontal="left" vertical="center"/>
    </xf>
    <xf numFmtId="176" fontId="1" fillId="0" borderId="12" xfId="1" applyNumberFormat="1" applyFont="1" applyBorder="1" applyAlignment="1">
      <alignment horizontal="right" vertical="center"/>
    </xf>
    <xf numFmtId="176" fontId="1" fillId="0" borderId="10" xfId="1" applyNumberFormat="1" applyFont="1" applyBorder="1" applyAlignment="1">
      <alignment horizontal="right" vertical="center"/>
    </xf>
    <xf numFmtId="176" fontId="1" fillId="0" borderId="13" xfId="1" applyNumberFormat="1" applyFont="1" applyBorder="1" applyAlignment="1">
      <alignment horizontal="right" vertical="center"/>
    </xf>
    <xf numFmtId="0" fontId="7" fillId="0" borderId="12" xfId="0" quotePrefix="1" applyFont="1" applyBorder="1" applyAlignment="1">
      <alignment horizontal="left" vertical="center"/>
    </xf>
    <xf numFmtId="0" fontId="7" fillId="0" borderId="12" xfId="0" applyFont="1" applyBorder="1" applyAlignment="1">
      <alignment horizontal="right" vertical="center"/>
    </xf>
    <xf numFmtId="177" fontId="7" fillId="0" borderId="12" xfId="2" applyNumberFormat="1" applyFont="1" applyBorder="1" applyAlignment="1">
      <alignment horizontal="right" vertical="center"/>
    </xf>
    <xf numFmtId="0" fontId="7" fillId="0" borderId="10" xfId="0" quotePrefix="1" applyFont="1" applyBorder="1" applyAlignment="1">
      <alignment horizontal="left" vertical="center"/>
    </xf>
    <xf numFmtId="0" fontId="7" fillId="0" borderId="10" xfId="0" applyFont="1" applyBorder="1" applyAlignment="1">
      <alignment horizontal="right" vertical="center"/>
    </xf>
    <xf numFmtId="177" fontId="7" fillId="0" borderId="10" xfId="2" applyNumberFormat="1" applyFont="1" applyBorder="1" applyAlignment="1">
      <alignment horizontal="right" vertical="center"/>
    </xf>
    <xf numFmtId="0" fontId="7" fillId="0" borderId="13" xfId="0" quotePrefix="1" applyFont="1" applyBorder="1" applyAlignment="1">
      <alignment horizontal="left" vertical="center"/>
    </xf>
    <xf numFmtId="0" fontId="7" fillId="0" borderId="13" xfId="0" applyFont="1" applyBorder="1" applyAlignment="1">
      <alignment horizontal="right" vertical="center"/>
    </xf>
    <xf numFmtId="177" fontId="7" fillId="0" borderId="13" xfId="2" applyNumberFormat="1" applyFont="1" applyBorder="1" applyAlignment="1">
      <alignment horizontal="right"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050">
                <a:latin typeface="黑体" panose="02010609060101010101" pitchFamily="49" charset="-122"/>
                <a:ea typeface="黑体" panose="02010609060101010101" pitchFamily="49" charset="-122"/>
              </a:rPr>
              <a:t>某公司</a:t>
            </a:r>
            <a:r>
              <a:rPr lang="en-US" altLang="zh-CN" sz="1050">
                <a:latin typeface="黑体" panose="02010609060101010101" pitchFamily="49" charset="-122"/>
                <a:ea typeface="黑体" panose="02010609060101010101" pitchFamily="49" charset="-122"/>
              </a:rPr>
              <a:t>2017</a:t>
            </a:r>
            <a:r>
              <a:rPr lang="zh-CN" altLang="en-US" sz="1050">
                <a:latin typeface="黑体" panose="02010609060101010101" pitchFamily="49" charset="-122"/>
                <a:ea typeface="黑体" panose="02010609060101010101" pitchFamily="49" charset="-122"/>
              </a:rPr>
              <a:t>年下半年订单量逐步上升，从</a:t>
            </a:r>
            <a:r>
              <a:rPr lang="en-US" altLang="zh-CN" sz="1050">
                <a:latin typeface="黑体" panose="02010609060101010101" pitchFamily="49" charset="-122"/>
                <a:ea typeface="黑体" panose="02010609060101010101" pitchFamily="49" charset="-122"/>
              </a:rPr>
              <a:t>9</a:t>
            </a:r>
            <a:r>
              <a:rPr lang="zh-CN" altLang="en-US" sz="1050">
                <a:latin typeface="黑体" panose="02010609060101010101" pitchFamily="49" charset="-122"/>
                <a:ea typeface="黑体" panose="02010609060101010101" pitchFamily="49" charset="-122"/>
              </a:rPr>
              <a:t>月份开始已经超过了标准生产量</a:t>
            </a:r>
            <a:endParaRPr lang="en-US" altLang="zh-CN" sz="1050">
              <a:latin typeface="黑体" panose="02010609060101010101" pitchFamily="49" charset="-122"/>
              <a:ea typeface="黑体" panose="02010609060101010101" pitchFamily="49" charset="-122"/>
            </a:endParaRPr>
          </a:p>
          <a:p>
            <a:pPr algn="l">
              <a:defRPr sz="1200">
                <a:latin typeface="黑体" panose="02010609060101010101" pitchFamily="49" charset="-122"/>
                <a:ea typeface="黑体" panose="02010609060101010101" pitchFamily="49" charset="-122"/>
              </a:defRPr>
            </a:pPr>
            <a:r>
              <a:rPr lang="zh-CN" altLang="en-US" sz="900">
                <a:solidFill>
                  <a:schemeClr val="tx1">
                    <a:lumMod val="50000"/>
                    <a:lumOff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台套</a:t>
            </a:r>
            <a:endParaRPr lang="zh-CN" sz="900">
              <a:solidFill>
                <a:schemeClr val="tx1">
                  <a:lumMod val="50000"/>
                  <a:lumOff val="50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7.9365079365079361E-3"/>
          <c:y val="1.05263157894736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5960296629587962E-2"/>
          <c:y val="0.20103329189114519"/>
          <c:w val="0.88435716368787232"/>
          <c:h val="0.737241331675645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图1!$C$3</c:f>
              <c:strCache>
                <c:ptCount val="1"/>
                <c:pt idx="0">
                  <c:v>订单量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黑体" panose="02010609060101010101" pitchFamily="49" charset="-122"/>
                      <a:ea typeface="黑体" panose="02010609060101010101" pitchFamily="49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609-46E9-8DC7-4E70D9493B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图1!$B$4:$B$13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图1!$C$4:$C$13</c:f>
              <c:numCache>
                <c:formatCode>General</c:formatCode>
                <c:ptCount val="10"/>
                <c:pt idx="0">
                  <c:v>65</c:v>
                </c:pt>
                <c:pt idx="1">
                  <c:v>48</c:v>
                </c:pt>
                <c:pt idx="2">
                  <c:v>71</c:v>
                </c:pt>
                <c:pt idx="3">
                  <c:v>66</c:v>
                </c:pt>
                <c:pt idx="4">
                  <c:v>53</c:v>
                </c:pt>
                <c:pt idx="5">
                  <c:v>78</c:v>
                </c:pt>
                <c:pt idx="6">
                  <c:v>83</c:v>
                </c:pt>
                <c:pt idx="7">
                  <c:v>98</c:v>
                </c:pt>
                <c:pt idx="8">
                  <c:v>112</c:v>
                </c:pt>
                <c:pt idx="9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9-46E9-8DC7-4E70D9493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624623112"/>
        <c:axId val="624623440"/>
      </c:barChart>
      <c:lineChart>
        <c:grouping val="standard"/>
        <c:varyColors val="0"/>
        <c:ser>
          <c:idx val="1"/>
          <c:order val="1"/>
          <c:tx>
            <c:strRef>
              <c:f>图1!$D$3</c:f>
              <c:strCache>
                <c:ptCount val="1"/>
                <c:pt idx="0">
                  <c:v>标准生产量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8.8624338624338633E-2"/>
                  <c:y val="-3.68421052631578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latin typeface="黑体" panose="02010609060101010101" pitchFamily="49" charset="-122"/>
                      <a:ea typeface="黑体" panose="02010609060101010101" pitchFamily="49" charset="-122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09-46E9-8DC7-4E70D9493B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图1!$B$4:$B$13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图1!$D$4:$D$13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09-46E9-8DC7-4E70D9493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6051296"/>
        <c:axId val="626049328"/>
      </c:lineChart>
      <c:catAx>
        <c:axId val="62462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4623440"/>
        <c:crosses val="autoZero"/>
        <c:auto val="1"/>
        <c:lblAlgn val="ctr"/>
        <c:lblOffset val="100"/>
        <c:noMultiLvlLbl val="0"/>
      </c:catAx>
      <c:valAx>
        <c:axId val="624623440"/>
        <c:scaling>
          <c:orientation val="minMax"/>
          <c:max val="14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4623112"/>
        <c:crosses val="autoZero"/>
        <c:crossBetween val="between"/>
      </c:valAx>
      <c:valAx>
        <c:axId val="626049328"/>
        <c:scaling>
          <c:orientation val="minMax"/>
          <c:max val="14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6051296"/>
        <c:crosses val="max"/>
        <c:crossBetween val="midCat"/>
      </c:valAx>
      <c:catAx>
        <c:axId val="62605129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604932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050">
                <a:latin typeface="黑体" panose="02010609060101010101" pitchFamily="49" charset="-122"/>
                <a:ea typeface="黑体" panose="02010609060101010101" pitchFamily="49" charset="-122"/>
              </a:rPr>
              <a:t>某公司</a:t>
            </a:r>
            <a:r>
              <a:rPr lang="en-US" altLang="zh-CN" sz="1050">
                <a:latin typeface="黑体" panose="02010609060101010101" pitchFamily="49" charset="-122"/>
                <a:ea typeface="黑体" panose="02010609060101010101" pitchFamily="49" charset="-122"/>
              </a:rPr>
              <a:t>2017</a:t>
            </a:r>
            <a:r>
              <a:rPr lang="zh-CN" altLang="en-US" sz="1050">
                <a:latin typeface="黑体" panose="02010609060101010101" pitchFamily="49" charset="-122"/>
                <a:ea typeface="黑体" panose="02010609060101010101" pitchFamily="49" charset="-122"/>
              </a:rPr>
              <a:t>年下半年订单量逐步上升，从</a:t>
            </a:r>
            <a:r>
              <a:rPr lang="en-US" altLang="zh-CN" sz="1050">
                <a:latin typeface="黑体" panose="02010609060101010101" pitchFamily="49" charset="-122"/>
                <a:ea typeface="黑体" panose="02010609060101010101" pitchFamily="49" charset="-122"/>
              </a:rPr>
              <a:t>9</a:t>
            </a:r>
            <a:r>
              <a:rPr lang="zh-CN" altLang="en-US" sz="1050">
                <a:latin typeface="黑体" panose="02010609060101010101" pitchFamily="49" charset="-122"/>
                <a:ea typeface="黑体" panose="02010609060101010101" pitchFamily="49" charset="-122"/>
              </a:rPr>
              <a:t>月份开始已经超过了标准生产量</a:t>
            </a:r>
            <a:endParaRPr lang="en-US" altLang="zh-CN" sz="1050">
              <a:latin typeface="黑体" panose="02010609060101010101" pitchFamily="49" charset="-122"/>
              <a:ea typeface="黑体" panose="02010609060101010101" pitchFamily="49" charset="-122"/>
            </a:endParaRPr>
          </a:p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90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台套</a:t>
            </a:r>
            <a:endParaRPr lang="zh-CN" sz="900">
              <a:solidFill>
                <a:schemeClr val="tx1">
                  <a:lumMod val="65000"/>
                  <a:lumOff val="3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7.9365079365079361E-3"/>
          <c:y val="1.403508771929824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5960296629587962E-2"/>
          <c:y val="0.20103329189114519"/>
          <c:w val="0.82086510019580872"/>
          <c:h val="0.737241331675645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图1!$N$3</c:f>
              <c:strCache>
                <c:ptCount val="1"/>
                <c:pt idx="0">
                  <c:v>订单量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图1!$B$4:$B$13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图1!$N$4:$N$13</c:f>
              <c:numCache>
                <c:formatCode>General</c:formatCode>
                <c:ptCount val="10"/>
                <c:pt idx="0">
                  <c:v>65</c:v>
                </c:pt>
                <c:pt idx="1">
                  <c:v>48</c:v>
                </c:pt>
                <c:pt idx="2">
                  <c:v>71</c:v>
                </c:pt>
                <c:pt idx="3">
                  <c:v>66</c:v>
                </c:pt>
                <c:pt idx="4">
                  <c:v>53</c:v>
                </c:pt>
                <c:pt idx="5">
                  <c:v>78</c:v>
                </c:pt>
                <c:pt idx="6">
                  <c:v>83</c:v>
                </c:pt>
                <c:pt idx="7">
                  <c:v>98</c:v>
                </c:pt>
                <c:pt idx="8">
                  <c:v>112</c:v>
                </c:pt>
                <c:pt idx="9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D7-45FB-B08F-AA702B005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624623112"/>
        <c:axId val="624623440"/>
      </c:barChart>
      <c:lineChart>
        <c:grouping val="standard"/>
        <c:varyColors val="0"/>
        <c:ser>
          <c:idx val="1"/>
          <c:order val="1"/>
          <c:tx>
            <c:strRef>
              <c:f>图1!$O$3</c:f>
              <c:strCache>
                <c:ptCount val="1"/>
                <c:pt idx="0">
                  <c:v>标准
生产量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9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9D7-45FB-B08F-AA702B005552}"/>
              </c:ext>
            </c:extLst>
          </c:dPt>
          <c:dLbls>
            <c:dLbl>
              <c:idx val="9"/>
              <c:layout>
                <c:manualLayout>
                  <c:x val="-5.2910052910052907E-3"/>
                  <c:y val="0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9D7-45FB-B08F-AA702B0055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图1!$B$4:$B$13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图1!$O$4:$O$13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D7-45FB-B08F-AA702B005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6051296"/>
        <c:axId val="626049328"/>
      </c:lineChart>
      <c:catAx>
        <c:axId val="62462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4623440"/>
        <c:crosses val="autoZero"/>
        <c:auto val="1"/>
        <c:lblAlgn val="ctr"/>
        <c:lblOffset val="100"/>
        <c:noMultiLvlLbl val="0"/>
      </c:catAx>
      <c:valAx>
        <c:axId val="624623440"/>
        <c:scaling>
          <c:orientation val="minMax"/>
          <c:max val="14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4623112"/>
        <c:crosses val="autoZero"/>
        <c:crossBetween val="between"/>
      </c:valAx>
      <c:valAx>
        <c:axId val="626049328"/>
        <c:scaling>
          <c:orientation val="minMax"/>
          <c:max val="14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6051296"/>
        <c:crosses val="max"/>
        <c:crossBetween val="midCat"/>
      </c:valAx>
      <c:catAx>
        <c:axId val="62605129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604932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050">
                <a:latin typeface="黑体" panose="02010609060101010101" pitchFamily="49" charset="-122"/>
                <a:ea typeface="黑体" panose="02010609060101010101" pitchFamily="49" charset="-122"/>
              </a:rPr>
              <a:t>某公司</a:t>
            </a:r>
            <a:r>
              <a:rPr lang="en-US" altLang="zh-CN" sz="1050">
                <a:latin typeface="黑体" panose="02010609060101010101" pitchFamily="49" charset="-122"/>
                <a:ea typeface="黑体" panose="02010609060101010101" pitchFamily="49" charset="-122"/>
              </a:rPr>
              <a:t>2017</a:t>
            </a:r>
            <a:r>
              <a:rPr lang="zh-CN" altLang="en-US" sz="1050">
                <a:latin typeface="黑体" panose="02010609060101010101" pitchFamily="49" charset="-122"/>
                <a:ea typeface="黑体" panose="02010609060101010101" pitchFamily="49" charset="-122"/>
              </a:rPr>
              <a:t>年下半年订单量逐步上升，从</a:t>
            </a:r>
            <a:r>
              <a:rPr lang="en-US" altLang="zh-CN" sz="1050">
                <a:latin typeface="黑体" panose="02010609060101010101" pitchFamily="49" charset="-122"/>
                <a:ea typeface="黑体" panose="02010609060101010101" pitchFamily="49" charset="-122"/>
              </a:rPr>
              <a:t>9</a:t>
            </a:r>
            <a:r>
              <a:rPr lang="zh-CN" altLang="en-US" sz="1050">
                <a:latin typeface="黑体" panose="02010609060101010101" pitchFamily="49" charset="-122"/>
                <a:ea typeface="黑体" panose="02010609060101010101" pitchFamily="49" charset="-122"/>
              </a:rPr>
              <a:t>月份开始已经超过了标准生产量</a:t>
            </a:r>
            <a:endParaRPr lang="en-US" altLang="zh-CN" sz="1050">
              <a:latin typeface="黑体" panose="02010609060101010101" pitchFamily="49" charset="-122"/>
              <a:ea typeface="黑体" panose="02010609060101010101" pitchFamily="49" charset="-122"/>
            </a:endParaRPr>
          </a:p>
          <a:p>
            <a:pPr algn="l">
              <a:defRPr sz="1200">
                <a:latin typeface="黑体" panose="02010609060101010101" pitchFamily="49" charset="-122"/>
                <a:ea typeface="黑体" panose="02010609060101010101" pitchFamily="49" charset="-122"/>
              </a:defRPr>
            </a:pPr>
            <a:r>
              <a:rPr lang="zh-CN" altLang="en-US" sz="900">
                <a:solidFill>
                  <a:schemeClr val="tx1">
                    <a:lumMod val="50000"/>
                    <a:lumOff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台套</a:t>
            </a:r>
            <a:endParaRPr lang="zh-CN" sz="900">
              <a:solidFill>
                <a:schemeClr val="tx1">
                  <a:lumMod val="50000"/>
                  <a:lumOff val="50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7.9365079365079361E-3"/>
          <c:y val="1.05263157894736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4195308919718372E-2"/>
          <c:y val="0.20103329189114519"/>
          <c:w val="0.86483689538807651"/>
          <c:h val="0.72606907031357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图1!$C$3</c:f>
              <c:strCache>
                <c:ptCount val="1"/>
                <c:pt idx="0">
                  <c:v>订单量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黑体" panose="02010609060101010101" pitchFamily="49" charset="-122"/>
                      <a:ea typeface="黑体" panose="02010609060101010101" pitchFamily="49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04D-40B2-8A4B-4C72669C09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图1!$B$4:$B$13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图1!$C$4:$C$13</c:f>
              <c:numCache>
                <c:formatCode>General</c:formatCode>
                <c:ptCount val="10"/>
                <c:pt idx="0">
                  <c:v>65</c:v>
                </c:pt>
                <c:pt idx="1">
                  <c:v>48</c:v>
                </c:pt>
                <c:pt idx="2">
                  <c:v>71</c:v>
                </c:pt>
                <c:pt idx="3">
                  <c:v>66</c:v>
                </c:pt>
                <c:pt idx="4">
                  <c:v>53</c:v>
                </c:pt>
                <c:pt idx="5">
                  <c:v>78</c:v>
                </c:pt>
                <c:pt idx="6">
                  <c:v>83</c:v>
                </c:pt>
                <c:pt idx="7">
                  <c:v>98</c:v>
                </c:pt>
                <c:pt idx="8">
                  <c:v>112</c:v>
                </c:pt>
                <c:pt idx="9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4D-40B2-8A4B-4C72669C0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624623112"/>
        <c:axId val="624623440"/>
      </c:barChart>
      <c:barChart>
        <c:barDir val="col"/>
        <c:grouping val="stacked"/>
        <c:varyColors val="0"/>
        <c:ser>
          <c:idx val="1"/>
          <c:order val="1"/>
          <c:tx>
            <c:strRef>
              <c:f>图1!$D$3</c:f>
              <c:strCache>
                <c:ptCount val="1"/>
                <c:pt idx="0">
                  <c:v>标准生产量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  <a:alpha val="40000"/>
              </a:schemeClr>
            </a:solidFill>
            <a:ln w="15875">
              <a:noFill/>
            </a:ln>
            <a:effectLst/>
          </c:spPr>
          <c:invertIfNegative val="0"/>
          <c:val>
            <c:numRef>
              <c:f>图1!$D$4:$D$13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4D-40B2-8A4B-4C72669C0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35094128"/>
        <c:axId val="773180104"/>
      </c:barChart>
      <c:lineChart>
        <c:grouping val="standard"/>
        <c:varyColors val="0"/>
        <c:ser>
          <c:idx val="2"/>
          <c:order val="2"/>
          <c:tx>
            <c:v>辅助线</c:v>
          </c:tx>
          <c:spPr>
            <a:ln w="158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85000"/>
                            <a:lumOff val="15000"/>
                          </a:schemeClr>
                        </a:solidFill>
                        <a:latin typeface="黑体" panose="02010609060101010101" pitchFamily="49" charset="-122"/>
                        <a:ea typeface="黑体" panose="02010609060101010101" pitchFamily="49" charset="-122"/>
                        <a:cs typeface="+mn-cs"/>
                      </a:defRPr>
                    </a:pPr>
                    <a:r>
                      <a:rPr lang="zh-CN" altLang="en-US" sz="1000">
                        <a:latin typeface="黑体" panose="02010609060101010101" pitchFamily="49" charset="-122"/>
                        <a:ea typeface="黑体" panose="02010609060101010101" pitchFamily="49" charset="-122"/>
                      </a:rPr>
                      <a:t>标准生产量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黑体" panose="02010609060101010101" pitchFamily="49" charset="-122"/>
                      <a:ea typeface="黑体" panose="02010609060101010101" pitchFamily="49" charset="-122"/>
                      <a:cs typeface="+mn-cs"/>
                    </a:defRPr>
                  </a:pPr>
                  <a:endParaRPr lang="zh-CN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04D-40B2-8A4B-4C72669C09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图1!$D$4:$D$13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4D-40B2-8A4B-4C72669C0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094128"/>
        <c:axId val="773180104"/>
      </c:lineChart>
      <c:catAx>
        <c:axId val="62462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4623440"/>
        <c:crosses val="autoZero"/>
        <c:auto val="1"/>
        <c:lblAlgn val="ctr"/>
        <c:lblOffset val="100"/>
        <c:noMultiLvlLbl val="0"/>
      </c:catAx>
      <c:valAx>
        <c:axId val="624623440"/>
        <c:scaling>
          <c:orientation val="minMax"/>
          <c:max val="14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4623112"/>
        <c:crosses val="autoZero"/>
        <c:crossBetween val="between"/>
      </c:valAx>
      <c:valAx>
        <c:axId val="773180104"/>
        <c:scaling>
          <c:orientation val="minMax"/>
          <c:max val="14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35094128"/>
        <c:crosses val="max"/>
        <c:crossBetween val="midCat"/>
      </c:valAx>
      <c:catAx>
        <c:axId val="735094128"/>
        <c:scaling>
          <c:orientation val="minMax"/>
        </c:scaling>
        <c:delete val="0"/>
        <c:axPos val="t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73180104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200" b="0">
                <a:latin typeface="黑体" panose="02010609060101010101" pitchFamily="49" charset="-122"/>
                <a:ea typeface="黑体" panose="02010609060101010101" pitchFamily="49" charset="-122"/>
              </a:rPr>
              <a:t>某公司月度生产量均高于去年同期</a:t>
            </a:r>
            <a:endParaRPr lang="en-US" altLang="zh-CN" sz="1200" b="0">
              <a:latin typeface="黑体" panose="02010609060101010101" pitchFamily="49" charset="-122"/>
              <a:ea typeface="黑体" panose="02010609060101010101" pitchFamily="49" charset="-122"/>
            </a:endParaRPr>
          </a:p>
          <a:p>
            <a:pPr algn="l">
              <a:defRPr sz="1200">
                <a:latin typeface="黑体" panose="02010609060101010101" pitchFamily="49" charset="-122"/>
                <a:ea typeface="黑体" panose="02010609060101010101" pitchFamily="49" charset="-122"/>
              </a:defRPr>
            </a:pPr>
            <a:r>
              <a:rPr lang="zh-CN" altLang="en-US" sz="1050" b="0">
                <a:solidFill>
                  <a:schemeClr val="tx1">
                    <a:lumMod val="50000"/>
                    <a:lumOff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台套</a:t>
            </a:r>
          </a:p>
        </c:rich>
      </c:tx>
      <c:layout>
        <c:manualLayout>
          <c:xMode val="edge"/>
          <c:yMode val="edge"/>
          <c:x val="1.0582010582010581E-2"/>
          <c:y val="3.6934556734127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9554222388868057E-2"/>
          <c:y val="0.18391548701841628"/>
          <c:w val="0.84625046869141352"/>
          <c:h val="0.734539082891646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图2!$C$3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1E-4DE2-AD5F-1770B0510E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图2!$B$4:$B$13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图2!$C$4:$C$13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80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E-4DE2-AD5F-1770B0510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31098872"/>
        <c:axId val="629302232"/>
      </c:barChart>
      <c:scatterChart>
        <c:scatterStyle val="lineMarker"/>
        <c:varyColors val="0"/>
        <c:ser>
          <c:idx val="1"/>
          <c:order val="1"/>
          <c:tx>
            <c:strRef>
              <c:f>图2!$F$2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9365079365079361E-2"/>
                  <c:y val="-3.5737090010598404E-17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1E-4DE2-AD5F-1770B0510E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图2!$F$4:$F$23</c:f>
              <c:numCache>
                <c:formatCode>General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1.5</c:v>
                </c:pt>
                <c:pt idx="3">
                  <c:v>2.5</c:v>
                </c:pt>
                <c:pt idx="4">
                  <c:v>2.5</c:v>
                </c:pt>
                <c:pt idx="5">
                  <c:v>3.5</c:v>
                </c:pt>
                <c:pt idx="6">
                  <c:v>3.5</c:v>
                </c:pt>
                <c:pt idx="7">
                  <c:v>4.5</c:v>
                </c:pt>
                <c:pt idx="8">
                  <c:v>4.5</c:v>
                </c:pt>
                <c:pt idx="9">
                  <c:v>5.5</c:v>
                </c:pt>
                <c:pt idx="10">
                  <c:v>5.5</c:v>
                </c:pt>
                <c:pt idx="11">
                  <c:v>6.5</c:v>
                </c:pt>
                <c:pt idx="12">
                  <c:v>6.5</c:v>
                </c:pt>
                <c:pt idx="13">
                  <c:v>7.5</c:v>
                </c:pt>
                <c:pt idx="14">
                  <c:v>7.5</c:v>
                </c:pt>
                <c:pt idx="15">
                  <c:v>8.5</c:v>
                </c:pt>
                <c:pt idx="16">
                  <c:v>8.5</c:v>
                </c:pt>
                <c:pt idx="17">
                  <c:v>9.5</c:v>
                </c:pt>
                <c:pt idx="18">
                  <c:v>9.5</c:v>
                </c:pt>
                <c:pt idx="19">
                  <c:v>10.5</c:v>
                </c:pt>
              </c:numCache>
            </c:numRef>
          </c:xVal>
          <c:yVal>
            <c:numRef>
              <c:f>图2!$G$4:$G$23</c:f>
              <c:numCache>
                <c:formatCode>General</c:formatCode>
                <c:ptCount val="20"/>
                <c:pt idx="0">
                  <c:v>80</c:v>
                </c:pt>
                <c:pt idx="1">
                  <c:v>80</c:v>
                </c:pt>
                <c:pt idx="2">
                  <c:v>40</c:v>
                </c:pt>
                <c:pt idx="3">
                  <c:v>40</c:v>
                </c:pt>
                <c:pt idx="4">
                  <c:v>50</c:v>
                </c:pt>
                <c:pt idx="5">
                  <c:v>50</c:v>
                </c:pt>
                <c:pt idx="6">
                  <c:v>55</c:v>
                </c:pt>
                <c:pt idx="7">
                  <c:v>55</c:v>
                </c:pt>
                <c:pt idx="8">
                  <c:v>52</c:v>
                </c:pt>
                <c:pt idx="9">
                  <c:v>52</c:v>
                </c:pt>
                <c:pt idx="10">
                  <c:v>60</c:v>
                </c:pt>
                <c:pt idx="11">
                  <c:v>60</c:v>
                </c:pt>
                <c:pt idx="12">
                  <c:v>65</c:v>
                </c:pt>
                <c:pt idx="13">
                  <c:v>65</c:v>
                </c:pt>
                <c:pt idx="14">
                  <c:v>70</c:v>
                </c:pt>
                <c:pt idx="15">
                  <c:v>70</c:v>
                </c:pt>
                <c:pt idx="16">
                  <c:v>75</c:v>
                </c:pt>
                <c:pt idx="17">
                  <c:v>75</c:v>
                </c:pt>
                <c:pt idx="18">
                  <c:v>80</c:v>
                </c:pt>
                <c:pt idx="19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1E-4DE2-AD5F-1770B0510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098872"/>
        <c:axId val="629302232"/>
      </c:scatterChart>
      <c:catAx>
        <c:axId val="631098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9302232"/>
        <c:crosses val="autoZero"/>
        <c:auto val="1"/>
        <c:lblAlgn val="ctr"/>
        <c:lblOffset val="100"/>
        <c:noMultiLvlLbl val="0"/>
      </c:catAx>
      <c:valAx>
        <c:axId val="629302232"/>
        <c:scaling>
          <c:orientation val="minMax"/>
        </c:scaling>
        <c:delete val="0"/>
        <c:axPos val="r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31098872"/>
        <c:crosses val="max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20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美国与中国的商品贸易</a:t>
            </a:r>
            <a:endParaRPr lang="en-US" altLang="zh-CN" sz="120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  <a:p>
            <a:pPr algn="l">
              <a:defRPr sz="1200" b="0" i="0" u="none" strike="noStrike" kern="1200" spc="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90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十亿美元</a:t>
            </a:r>
            <a:endParaRPr lang="zh-CN" sz="900">
              <a:solidFill>
                <a:schemeClr val="tx1">
                  <a:lumMod val="65000"/>
                  <a:lumOff val="3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1.8988876390451194E-2"/>
          <c:y val="2.33918128654970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0865516810398699E-2"/>
          <c:y val="0.14609660634525948"/>
          <c:w val="0.87734512352622585"/>
          <c:h val="0.726442188147534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图3!$C$3:$C$5</c:f>
              <c:strCache>
                <c:ptCount val="3"/>
                <c:pt idx="0">
                  <c:v>Exports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图3!$B$4:$B$37</c:f>
              <c:strCache>
                <c:ptCount val="34"/>
                <c:pt idx="2">
                  <c:v>1985</c:v>
                </c:pt>
                <c:pt idx="7">
                  <c:v>1990</c:v>
                </c:pt>
                <c:pt idx="12">
                  <c:v>1995</c:v>
                </c:pt>
                <c:pt idx="17">
                  <c:v>2000</c:v>
                </c:pt>
                <c:pt idx="22">
                  <c:v>05</c:v>
                </c:pt>
                <c:pt idx="27">
                  <c:v>10</c:v>
                </c:pt>
                <c:pt idx="33">
                  <c:v>16</c:v>
                </c:pt>
              </c:strCache>
            </c:strRef>
          </c:cat>
          <c:val>
            <c:numRef>
              <c:f>图3!$C$4:$C$38</c:f>
              <c:numCache>
                <c:formatCode>General</c:formatCode>
                <c:ptCount val="35"/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14</c:v>
                </c:pt>
                <c:pt idx="14">
                  <c:v>18</c:v>
                </c:pt>
                <c:pt idx="15">
                  <c:v>20</c:v>
                </c:pt>
                <c:pt idx="16">
                  <c:v>24</c:v>
                </c:pt>
                <c:pt idx="17">
                  <c:v>28</c:v>
                </c:pt>
                <c:pt idx="18">
                  <c:v>30</c:v>
                </c:pt>
                <c:pt idx="19">
                  <c:v>38</c:v>
                </c:pt>
                <c:pt idx="20">
                  <c:v>46</c:v>
                </c:pt>
                <c:pt idx="21">
                  <c:v>48</c:v>
                </c:pt>
                <c:pt idx="22">
                  <c:v>55</c:v>
                </c:pt>
                <c:pt idx="23">
                  <c:v>60</c:v>
                </c:pt>
                <c:pt idx="24">
                  <c:v>72</c:v>
                </c:pt>
                <c:pt idx="25">
                  <c:v>80</c:v>
                </c:pt>
                <c:pt idx="26">
                  <c:v>90</c:v>
                </c:pt>
                <c:pt idx="27">
                  <c:v>98</c:v>
                </c:pt>
                <c:pt idx="28">
                  <c:v>105</c:v>
                </c:pt>
                <c:pt idx="29">
                  <c:v>110</c:v>
                </c:pt>
                <c:pt idx="30">
                  <c:v>130</c:v>
                </c:pt>
                <c:pt idx="31">
                  <c:v>125</c:v>
                </c:pt>
                <c:pt idx="32">
                  <c:v>120</c:v>
                </c:pt>
                <c:pt idx="33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C-4A84-BED9-D2F2285759C5}"/>
            </c:ext>
          </c:extLst>
        </c:ser>
        <c:ser>
          <c:idx val="1"/>
          <c:order val="1"/>
          <c:tx>
            <c:strRef>
              <c:f>图3!$D$3:$D$5</c:f>
              <c:strCache>
                <c:ptCount val="3"/>
                <c:pt idx="0">
                  <c:v>Imports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图3!$B$4:$B$37</c:f>
              <c:strCache>
                <c:ptCount val="34"/>
                <c:pt idx="2">
                  <c:v>1985</c:v>
                </c:pt>
                <c:pt idx="7">
                  <c:v>1990</c:v>
                </c:pt>
                <c:pt idx="12">
                  <c:v>1995</c:v>
                </c:pt>
                <c:pt idx="17">
                  <c:v>2000</c:v>
                </c:pt>
                <c:pt idx="22">
                  <c:v>05</c:v>
                </c:pt>
                <c:pt idx="27">
                  <c:v>10</c:v>
                </c:pt>
                <c:pt idx="33">
                  <c:v>16</c:v>
                </c:pt>
              </c:strCache>
            </c:strRef>
          </c:cat>
          <c:val>
            <c:numRef>
              <c:f>图3!$D$4:$D$38</c:f>
              <c:numCache>
                <c:formatCode>General</c:formatCode>
                <c:ptCount val="35"/>
                <c:pt idx="2">
                  <c:v>-3</c:v>
                </c:pt>
                <c:pt idx="3">
                  <c:v>-5</c:v>
                </c:pt>
                <c:pt idx="4">
                  <c:v>-7</c:v>
                </c:pt>
                <c:pt idx="5">
                  <c:v>-10</c:v>
                </c:pt>
                <c:pt idx="6">
                  <c:v>-15</c:v>
                </c:pt>
                <c:pt idx="7">
                  <c:v>-20</c:v>
                </c:pt>
                <c:pt idx="8">
                  <c:v>-26</c:v>
                </c:pt>
                <c:pt idx="9">
                  <c:v>-35</c:v>
                </c:pt>
                <c:pt idx="10">
                  <c:v>-40</c:v>
                </c:pt>
                <c:pt idx="11">
                  <c:v>-45</c:v>
                </c:pt>
                <c:pt idx="12">
                  <c:v>-60</c:v>
                </c:pt>
                <c:pt idx="13">
                  <c:v>-68</c:v>
                </c:pt>
                <c:pt idx="14">
                  <c:v>-77</c:v>
                </c:pt>
                <c:pt idx="15">
                  <c:v>-90</c:v>
                </c:pt>
                <c:pt idx="16">
                  <c:v>-98</c:v>
                </c:pt>
                <c:pt idx="17">
                  <c:v>-102</c:v>
                </c:pt>
                <c:pt idx="18">
                  <c:v>-128</c:v>
                </c:pt>
                <c:pt idx="19">
                  <c:v>-154</c:v>
                </c:pt>
                <c:pt idx="20">
                  <c:v>-172</c:v>
                </c:pt>
                <c:pt idx="21">
                  <c:v>-198</c:v>
                </c:pt>
                <c:pt idx="22">
                  <c:v>-230</c:v>
                </c:pt>
                <c:pt idx="23">
                  <c:v>-282</c:v>
                </c:pt>
                <c:pt idx="24">
                  <c:v>-320</c:v>
                </c:pt>
                <c:pt idx="25">
                  <c:v>-350</c:v>
                </c:pt>
                <c:pt idx="26">
                  <c:v>-296</c:v>
                </c:pt>
                <c:pt idx="27">
                  <c:v>-376</c:v>
                </c:pt>
                <c:pt idx="28">
                  <c:v>-399</c:v>
                </c:pt>
                <c:pt idx="29">
                  <c:v>-420</c:v>
                </c:pt>
                <c:pt idx="30">
                  <c:v>-465</c:v>
                </c:pt>
                <c:pt idx="31">
                  <c:v>-480</c:v>
                </c:pt>
                <c:pt idx="32">
                  <c:v>-490</c:v>
                </c:pt>
                <c:pt idx="33">
                  <c:v>-470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5C-4A84-BED9-D2F228575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12333880"/>
        <c:axId val="712334864"/>
      </c:barChart>
      <c:lineChart>
        <c:grouping val="standard"/>
        <c:varyColors val="0"/>
        <c:ser>
          <c:idx val="2"/>
          <c:order val="2"/>
          <c:tx>
            <c:strRef>
              <c:f>图3!$E$3:$E$5</c:f>
              <c:strCache>
                <c:ptCount val="3"/>
                <c:pt idx="0">
                  <c:v>贸易差额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layout>
                <c:manualLayout>
                  <c:x val="-7.8042328042328038E-2"/>
                  <c:y val="9.013169406455766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黑体" panose="02010609060101010101" pitchFamily="49" charset="-122"/>
                      <a:ea typeface="黑体" panose="02010609060101010101" pitchFamily="49" charset="-122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95C-4A84-BED9-D2F2285759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700" cap="flat" cmpd="sng" algn="ctr">
                      <a:solidFill>
                        <a:srgbClr val="C00000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图3!$B$4:$B$38</c:f>
              <c:strCache>
                <c:ptCount val="34"/>
                <c:pt idx="2">
                  <c:v>1985</c:v>
                </c:pt>
                <c:pt idx="7">
                  <c:v>1990</c:v>
                </c:pt>
                <c:pt idx="12">
                  <c:v>1995</c:v>
                </c:pt>
                <c:pt idx="17">
                  <c:v>2000</c:v>
                </c:pt>
                <c:pt idx="22">
                  <c:v>05</c:v>
                </c:pt>
                <c:pt idx="27">
                  <c:v>10</c:v>
                </c:pt>
                <c:pt idx="33">
                  <c:v>16</c:v>
                </c:pt>
              </c:strCache>
            </c:strRef>
          </c:cat>
          <c:val>
            <c:numRef>
              <c:f>图3!$E$4:$E$38</c:f>
              <c:numCache>
                <c:formatCode>General</c:formatCode>
                <c:ptCount val="35"/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-6</c:v>
                </c:pt>
                <c:pt idx="6">
                  <c:v>-10</c:v>
                </c:pt>
                <c:pt idx="7">
                  <c:v>-14</c:v>
                </c:pt>
                <c:pt idx="8">
                  <c:v>-19</c:v>
                </c:pt>
                <c:pt idx="9">
                  <c:v>-27</c:v>
                </c:pt>
                <c:pt idx="10">
                  <c:v>-30</c:v>
                </c:pt>
                <c:pt idx="11">
                  <c:v>-34</c:v>
                </c:pt>
                <c:pt idx="12">
                  <c:v>-48</c:v>
                </c:pt>
                <c:pt idx="13">
                  <c:v>-54</c:v>
                </c:pt>
                <c:pt idx="14">
                  <c:v>-59</c:v>
                </c:pt>
                <c:pt idx="15">
                  <c:v>-70</c:v>
                </c:pt>
                <c:pt idx="16">
                  <c:v>-74</c:v>
                </c:pt>
                <c:pt idx="17">
                  <c:v>-74</c:v>
                </c:pt>
                <c:pt idx="18">
                  <c:v>-98</c:v>
                </c:pt>
                <c:pt idx="19">
                  <c:v>-116</c:v>
                </c:pt>
                <c:pt idx="20">
                  <c:v>-126</c:v>
                </c:pt>
                <c:pt idx="21">
                  <c:v>-150</c:v>
                </c:pt>
                <c:pt idx="22">
                  <c:v>-175</c:v>
                </c:pt>
                <c:pt idx="23">
                  <c:v>-222</c:v>
                </c:pt>
                <c:pt idx="24">
                  <c:v>-248</c:v>
                </c:pt>
                <c:pt idx="25">
                  <c:v>-270</c:v>
                </c:pt>
                <c:pt idx="26">
                  <c:v>-206</c:v>
                </c:pt>
                <c:pt idx="27">
                  <c:v>-278</c:v>
                </c:pt>
                <c:pt idx="28">
                  <c:v>-294</c:v>
                </c:pt>
                <c:pt idx="29">
                  <c:v>-310</c:v>
                </c:pt>
                <c:pt idx="30">
                  <c:v>-335</c:v>
                </c:pt>
                <c:pt idx="31">
                  <c:v>-355</c:v>
                </c:pt>
                <c:pt idx="32">
                  <c:v>-370</c:v>
                </c:pt>
                <c:pt idx="33">
                  <c:v>-342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5C-4A84-BED9-D2F228575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333880"/>
        <c:axId val="712334864"/>
      </c:lineChart>
      <c:scatterChart>
        <c:scatterStyle val="lineMarker"/>
        <c:varyColors val="0"/>
        <c:ser>
          <c:idx val="3"/>
          <c:order val="3"/>
          <c:tx>
            <c:strRef>
              <c:f>图3!$P$4</c:f>
              <c:strCache>
                <c:ptCount val="1"/>
                <c:pt idx="0">
                  <c:v>出口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D95C-4A84-BED9-D2F2285759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图3!$N$4</c:f>
              <c:strCache>
                <c:ptCount val="1"/>
                <c:pt idx="0">
                  <c:v>‘1984</c:v>
                </c:pt>
              </c:strCache>
            </c:strRef>
          </c:xVal>
          <c:yVal>
            <c:numRef>
              <c:f>图3!$O$4</c:f>
              <c:numCache>
                <c:formatCode>General</c:formatCode>
                <c:ptCount val="1"/>
                <c:pt idx="0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95C-4A84-BED9-D2F2285759C5}"/>
            </c:ext>
          </c:extLst>
        </c:ser>
        <c:ser>
          <c:idx val="4"/>
          <c:order val="4"/>
          <c:tx>
            <c:strRef>
              <c:f>图3!$P$5</c:f>
              <c:strCache>
                <c:ptCount val="1"/>
                <c:pt idx="0">
                  <c:v>进口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0"/>
            <c:marker>
              <c:symbol val="picture"/>
              <c:spPr>
                <a:blipFill>
                  <a:blip xmlns:r="http://schemas.openxmlformats.org/officeDocument/2006/relationships" r:embed="rId2"/>
                  <a:stretch>
                    <a:fillRect/>
                  </a:stretch>
                </a:blipFill>
                <a:ln w="254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D95C-4A84-BED9-D2F2285759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eaVert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图3!$N$5</c:f>
              <c:strCache>
                <c:ptCount val="1"/>
                <c:pt idx="0">
                  <c:v>‘1984</c:v>
                </c:pt>
              </c:strCache>
            </c:strRef>
          </c:xVal>
          <c:yVal>
            <c:numRef>
              <c:f>图3!$O$5</c:f>
              <c:numCache>
                <c:formatCode>General</c:formatCode>
                <c:ptCount val="1"/>
                <c:pt idx="0">
                  <c:v>-19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95C-4A84-BED9-D2F228575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333880"/>
        <c:axId val="712334864"/>
      </c:scatterChart>
      <c:catAx>
        <c:axId val="712333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12334864"/>
        <c:crosses val="autoZero"/>
        <c:auto val="1"/>
        <c:lblAlgn val="ctr"/>
        <c:lblOffset val="100"/>
        <c:noMultiLvlLbl val="0"/>
      </c:catAx>
      <c:valAx>
        <c:axId val="712334864"/>
        <c:scaling>
          <c:orientation val="minMax"/>
          <c:min val="-500"/>
        </c:scaling>
        <c:delete val="0"/>
        <c:axPos val="r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[&lt;0]0;[&gt;0]0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1233388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1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en-US" altLang="zh-CN" sz="1100" b="0">
                <a:latin typeface="黑体" panose="02010609060101010101" pitchFamily="49" charset="-122"/>
                <a:ea typeface="黑体" panose="02010609060101010101" pitchFamily="49" charset="-122"/>
              </a:rPr>
              <a:t>2017</a:t>
            </a:r>
            <a:r>
              <a:rPr lang="zh-CN" altLang="en-US" sz="1100" b="0">
                <a:latin typeface="黑体" panose="02010609060101010101" pitchFamily="49" charset="-122"/>
                <a:ea typeface="黑体" panose="02010609060101010101" pitchFamily="49" charset="-122"/>
              </a:rPr>
              <a:t>年以来，库存金额呈上升趋势</a:t>
            </a:r>
            <a:endParaRPr lang="en-US" altLang="zh-CN" sz="1100" b="0">
              <a:latin typeface="黑体" panose="02010609060101010101" pitchFamily="49" charset="-122"/>
              <a:ea typeface="黑体" panose="02010609060101010101" pitchFamily="49" charset="-122"/>
            </a:endParaRPr>
          </a:p>
          <a:p>
            <a:pPr algn="l">
              <a:defRPr sz="1100">
                <a:latin typeface="黑体" panose="02010609060101010101" pitchFamily="49" charset="-122"/>
                <a:ea typeface="黑体" panose="02010609060101010101" pitchFamily="49" charset="-122"/>
              </a:defRPr>
            </a:pPr>
            <a:r>
              <a:rPr lang="en-US" altLang="zh-CN" sz="1100" b="0">
                <a:solidFill>
                  <a:schemeClr val="bg1">
                    <a:lumMod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rmb</a:t>
            </a:r>
            <a:endParaRPr lang="zh-CN" sz="1050" b="0">
              <a:solidFill>
                <a:schemeClr val="bg1">
                  <a:lumMod val="50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2.9629629629629631E-2"/>
          <c:y val="2.5854108956602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1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4104111986001761E-2"/>
          <c:y val="0.15191048487360131"/>
          <c:w val="0.78713852435112275"/>
          <c:h val="0.675063290218916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图4!$G$3</c:f>
              <c:strCache>
                <c:ptCount val="1"/>
                <c:pt idx="0">
                  <c:v>柱形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图4!$E$4:$F$13</c:f>
              <c:multiLvlStrCache>
                <c:ptCount val="10"/>
                <c:lvl>
                  <c:pt idx="0">
                    <c:v>2013</c:v>
                  </c:pt>
                  <c:pt idx="1">
                    <c:v>2014</c:v>
                  </c:pt>
                  <c:pt idx="2">
                    <c:v>2015</c:v>
                  </c:pt>
                  <c:pt idx="3">
                    <c:v>2016</c:v>
                  </c:pt>
                  <c:pt idx="5">
                    <c:v>Jan</c:v>
                  </c:pt>
                  <c:pt idx="6">
                    <c:v>Feb</c:v>
                  </c:pt>
                  <c:pt idx="7">
                    <c:v>Mar</c:v>
                  </c:pt>
                  <c:pt idx="8">
                    <c:v>Apr</c:v>
                  </c:pt>
                  <c:pt idx="9">
                    <c:v>May</c:v>
                  </c:pt>
                </c:lvl>
                <c:lvl>
                  <c:pt idx="5">
                    <c:v>2017</c:v>
                  </c:pt>
                </c:lvl>
              </c:multiLvlStrCache>
            </c:multiLvlStrRef>
          </c:cat>
          <c:val>
            <c:numRef>
              <c:f>图4!$G$4:$G$13</c:f>
              <c:numCache>
                <c:formatCode>_ * #,##0_ ;_ * \-#,##0_ ;_ * "-"??_ ;_ @_ </c:formatCode>
                <c:ptCount val="10"/>
                <c:pt idx="0">
                  <c:v>9152904.4111999962</c:v>
                </c:pt>
                <c:pt idx="1">
                  <c:v>10319316.895066665</c:v>
                </c:pt>
                <c:pt idx="2">
                  <c:v>11210248.491200002</c:v>
                </c:pt>
                <c:pt idx="3">
                  <c:v>11077443.696733333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C-4194-B7A6-E8DBA0C90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859643536"/>
        <c:axId val="859643208"/>
      </c:barChart>
      <c:lineChart>
        <c:grouping val="standard"/>
        <c:varyColors val="0"/>
        <c:ser>
          <c:idx val="1"/>
          <c:order val="1"/>
          <c:tx>
            <c:strRef>
              <c:f>图4!$H$3</c:f>
              <c:strCache>
                <c:ptCount val="1"/>
                <c:pt idx="0">
                  <c:v>折线</c:v>
                </c:pt>
              </c:strCache>
            </c:strRef>
          </c:tx>
          <c:spPr>
            <a:ln w="3810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</c:marker>
          <c:cat>
            <c:strRef>
              <c:f>图4!$F$4:$F$13</c:f>
              <c:strCach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</c:strCache>
            </c:strRef>
          </c:cat>
          <c:val>
            <c:numRef>
              <c:f>图4!$H$4:$H$13</c:f>
              <c:numCache>
                <c:formatCode>_ * #,##0_ ;_ * \-#,##0_ ;_ * "-"??_ ;_ @_ </c:formatCode>
                <c:ptCount val="10"/>
                <c:pt idx="5">
                  <c:v>11563284.48</c:v>
                </c:pt>
                <c:pt idx="6">
                  <c:v>12854592.854399996</c:v>
                </c:pt>
                <c:pt idx="7">
                  <c:v>14114188.378400004</c:v>
                </c:pt>
                <c:pt idx="8">
                  <c:v>13799170.651200006</c:v>
                </c:pt>
                <c:pt idx="9">
                  <c:v>12929506.435999999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CC-4194-B7A6-E8DBA0C90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643536"/>
        <c:axId val="859643208"/>
      </c:lineChart>
      <c:catAx>
        <c:axId val="859643536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59643208"/>
        <c:crosses val="autoZero"/>
        <c:auto val="1"/>
        <c:lblAlgn val="ctr"/>
        <c:lblOffset val="100"/>
        <c:noMultiLvlLbl val="0"/>
      </c:catAx>
      <c:valAx>
        <c:axId val="859643208"/>
        <c:scaling>
          <c:orientation val="minMax"/>
        </c:scaling>
        <c:delete val="0"/>
        <c:axPos val="r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59643536"/>
        <c:crosses val="max"/>
        <c:crossBetween val="between"/>
        <c:dispUnits>
          <c:builtInUnit val="tenThousands"/>
          <c:dispUnitsLbl>
            <c:layout>
              <c:manualLayout>
                <c:xMode val="edge"/>
                <c:yMode val="edge"/>
                <c:x val="0.85300524934383204"/>
                <c:y val="0.83889109429188391"/>
              </c:manualLayout>
            </c:layout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1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100">
                <a:latin typeface="黑体" panose="02010609060101010101" pitchFamily="49" charset="-122"/>
                <a:ea typeface="黑体" panose="02010609060101010101" pitchFamily="49" charset="-122"/>
              </a:rPr>
              <a:t>历年全国财政数据</a:t>
            </a:r>
            <a:endParaRPr lang="en-US" altLang="zh-CN" sz="1100">
              <a:latin typeface="黑体" panose="02010609060101010101" pitchFamily="49" charset="-122"/>
              <a:ea typeface="黑体" panose="02010609060101010101" pitchFamily="49" charset="-122"/>
            </a:endParaRPr>
          </a:p>
          <a:p>
            <a:pPr algn="l">
              <a:defRPr sz="1100">
                <a:latin typeface="黑体" panose="02010609060101010101" pitchFamily="49" charset="-122"/>
                <a:ea typeface="黑体" panose="02010609060101010101" pitchFamily="49" charset="-122"/>
              </a:defRPr>
            </a:pPr>
            <a:r>
              <a:rPr lang="zh-CN" altLang="en-US" sz="1000">
                <a:latin typeface="黑体" panose="02010609060101010101" pitchFamily="49" charset="-122"/>
                <a:ea typeface="黑体" panose="02010609060101010101" pitchFamily="49" charset="-122"/>
              </a:rPr>
              <a:t>收入</a:t>
            </a:r>
            <a:r>
              <a:rPr lang="en-US" altLang="zh-CN" sz="1000">
                <a:latin typeface="黑体" panose="02010609060101010101" pitchFamily="49" charset="-122"/>
                <a:ea typeface="黑体" panose="02010609060101010101" pitchFamily="49" charset="-122"/>
              </a:rPr>
              <a:t>&amp;</a:t>
            </a:r>
            <a:r>
              <a:rPr lang="zh-CN" altLang="en-US" sz="1000">
                <a:latin typeface="黑体" panose="02010609060101010101" pitchFamily="49" charset="-122"/>
                <a:ea typeface="黑体" panose="02010609060101010101" pitchFamily="49" charset="-122"/>
              </a:rPr>
              <a:t>支出，余额占收入比</a:t>
            </a:r>
            <a:endParaRPr lang="en-US" altLang="zh-CN" sz="1000">
              <a:latin typeface="黑体" panose="02010609060101010101" pitchFamily="49" charset="-122"/>
              <a:ea typeface="黑体" panose="02010609060101010101" pitchFamily="49" charset="-122"/>
            </a:endParaRPr>
          </a:p>
          <a:p>
            <a:pPr algn="l">
              <a:defRPr sz="1100">
                <a:latin typeface="黑体" panose="02010609060101010101" pitchFamily="49" charset="-122"/>
                <a:ea typeface="黑体" panose="02010609060101010101" pitchFamily="49" charset="-122"/>
              </a:defRPr>
            </a:pPr>
            <a:r>
              <a:rPr lang="zh-CN" altLang="en-US" sz="90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亿元，</a:t>
            </a:r>
            <a:r>
              <a:rPr lang="en-US" altLang="zh-CN" sz="90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  <a:ea typeface="黑体" panose="02010609060101010101" pitchFamily="49" charset="-122"/>
              </a:rPr>
              <a:t>%</a:t>
            </a:r>
            <a:endParaRPr lang="zh-CN" altLang="en-US" sz="900">
              <a:solidFill>
                <a:schemeClr val="tx1">
                  <a:lumMod val="65000"/>
                  <a:lumOff val="35000"/>
                </a:schemeClr>
              </a:solidFill>
              <a:latin typeface="ITC Officina Sans Std Book" panose="020B0506040203020204" pitchFamily="34" charset="0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7.3211118880410217E-3"/>
          <c:y val="3.00751800563929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1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829771278590179"/>
          <c:y val="0.21954276253816629"/>
          <c:w val="0.79765843876257037"/>
          <c:h val="0.62585397197614179"/>
        </c:manualLayout>
      </c:layout>
      <c:lineChart>
        <c:grouping val="standard"/>
        <c:varyColors val="0"/>
        <c:ser>
          <c:idx val="0"/>
          <c:order val="0"/>
          <c:tx>
            <c:strRef>
              <c:f>图5!$C$3</c:f>
              <c:strCache>
                <c:ptCount val="1"/>
                <c:pt idx="0">
                  <c:v>一般收入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图5!$B$4:$B$22</c:f>
              <c:strCache>
                <c:ptCount val="19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2017.1-8</c:v>
                </c:pt>
              </c:strCache>
            </c:strRef>
          </c:cat>
          <c:val>
            <c:numRef>
              <c:f>图5!$C$4:$C$22</c:f>
              <c:numCache>
                <c:formatCode>General</c:formatCode>
                <c:ptCount val="19"/>
                <c:pt idx="0">
                  <c:v>11444</c:v>
                </c:pt>
                <c:pt idx="1">
                  <c:v>13395</c:v>
                </c:pt>
                <c:pt idx="2">
                  <c:v>16386</c:v>
                </c:pt>
                <c:pt idx="3">
                  <c:v>18904</c:v>
                </c:pt>
                <c:pt idx="4">
                  <c:v>21715</c:v>
                </c:pt>
                <c:pt idx="5">
                  <c:v>26396</c:v>
                </c:pt>
                <c:pt idx="6">
                  <c:v>31649</c:v>
                </c:pt>
                <c:pt idx="7">
                  <c:v>38760</c:v>
                </c:pt>
                <c:pt idx="8">
                  <c:v>51321</c:v>
                </c:pt>
                <c:pt idx="9">
                  <c:v>61330</c:v>
                </c:pt>
                <c:pt idx="10">
                  <c:v>68518</c:v>
                </c:pt>
                <c:pt idx="11">
                  <c:v>83101</c:v>
                </c:pt>
                <c:pt idx="12">
                  <c:v>103874</c:v>
                </c:pt>
                <c:pt idx="13">
                  <c:v>117254</c:v>
                </c:pt>
                <c:pt idx="14">
                  <c:v>129209</c:v>
                </c:pt>
                <c:pt idx="15">
                  <c:v>140370</c:v>
                </c:pt>
                <c:pt idx="16">
                  <c:v>152269</c:v>
                </c:pt>
                <c:pt idx="17">
                  <c:v>159552</c:v>
                </c:pt>
                <c:pt idx="18">
                  <c:v>121415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C1-4E3D-8862-B45C4F988B0A}"/>
            </c:ext>
          </c:extLst>
        </c:ser>
        <c:ser>
          <c:idx val="1"/>
          <c:order val="1"/>
          <c:tx>
            <c:strRef>
              <c:f>图5!$D$3</c:f>
              <c:strCache>
                <c:ptCount val="1"/>
                <c:pt idx="0">
                  <c:v>一般支出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图5!$B$4:$B$22</c:f>
              <c:strCache>
                <c:ptCount val="19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2017.1-8</c:v>
                </c:pt>
              </c:strCache>
            </c:strRef>
          </c:cat>
          <c:val>
            <c:numRef>
              <c:f>图5!$D$4:$D$22</c:f>
              <c:numCache>
                <c:formatCode>General</c:formatCode>
                <c:ptCount val="19"/>
                <c:pt idx="0">
                  <c:v>13187</c:v>
                </c:pt>
                <c:pt idx="1">
                  <c:v>15886</c:v>
                </c:pt>
                <c:pt idx="2">
                  <c:v>18902</c:v>
                </c:pt>
                <c:pt idx="3">
                  <c:v>22053</c:v>
                </c:pt>
                <c:pt idx="4">
                  <c:v>24650</c:v>
                </c:pt>
                <c:pt idx="5">
                  <c:v>28487</c:v>
                </c:pt>
                <c:pt idx="6">
                  <c:v>33930</c:v>
                </c:pt>
                <c:pt idx="7">
                  <c:v>40422</c:v>
                </c:pt>
                <c:pt idx="8">
                  <c:v>49781</c:v>
                </c:pt>
                <c:pt idx="9">
                  <c:v>62592</c:v>
                </c:pt>
                <c:pt idx="10">
                  <c:v>76299</c:v>
                </c:pt>
                <c:pt idx="11">
                  <c:v>89874</c:v>
                </c:pt>
                <c:pt idx="12">
                  <c:v>109248</c:v>
                </c:pt>
                <c:pt idx="13">
                  <c:v>107188</c:v>
                </c:pt>
                <c:pt idx="14">
                  <c:v>140212</c:v>
                </c:pt>
                <c:pt idx="15">
                  <c:v>151786</c:v>
                </c:pt>
                <c:pt idx="16">
                  <c:v>175878</c:v>
                </c:pt>
                <c:pt idx="17">
                  <c:v>187841</c:v>
                </c:pt>
                <c:pt idx="18">
                  <c:v>131627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C1-4E3D-8862-B45C4F988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006072"/>
        <c:axId val="629006400"/>
      </c:lineChart>
      <c:catAx>
        <c:axId val="629006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9006400"/>
        <c:crosses val="autoZero"/>
        <c:auto val="1"/>
        <c:lblAlgn val="ctr"/>
        <c:lblOffset val="100"/>
        <c:noMultiLvlLbl val="0"/>
      </c:catAx>
      <c:valAx>
        <c:axId val="62900640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9006072"/>
        <c:crosses val="autoZero"/>
        <c:crossBetween val="between"/>
        <c:majorUnit val="500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4143580367060857"/>
          <c:y val="0.12421680863133985"/>
          <c:w val="0.18518518518518517"/>
          <c:h val="8.50440839515892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064635839438989"/>
          <c:y val="0.105263157894736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593023844992349"/>
          <c:y val="6.2620527697195755E-2"/>
          <c:w val="0.80060514907546665"/>
          <c:h val="0.820328774692637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图5!$E$3</c:f>
              <c:strCache>
                <c:ptCount val="1"/>
                <c:pt idx="0">
                  <c:v>余额占收入比</c:v>
                </c:pt>
              </c:strCache>
            </c:strRef>
          </c:tx>
          <c:spPr>
            <a:solidFill>
              <a:srgbClr val="127A90"/>
            </a:solidFill>
            <a:ln w="63500">
              <a:solidFill>
                <a:schemeClr val="bg2"/>
              </a:solidFill>
            </a:ln>
            <a:effectLst/>
          </c:spPr>
          <c:invertIfNegative val="1"/>
          <c:cat>
            <c:strRef>
              <c:f>图5!$B$4:$B$22</c:f>
              <c:strCache>
                <c:ptCount val="19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2017.1-8</c:v>
                </c:pt>
              </c:strCache>
            </c:strRef>
          </c:cat>
          <c:val>
            <c:numRef>
              <c:f>图5!$E$4:$E$22</c:f>
              <c:numCache>
                <c:formatCode>0.0%</c:formatCode>
                <c:ptCount val="19"/>
                <c:pt idx="0">
                  <c:v>-0.15230688570429921</c:v>
                </c:pt>
                <c:pt idx="1">
                  <c:v>-0.18596491228070175</c:v>
                </c:pt>
                <c:pt idx="2">
                  <c:v>-0.1535457097522275</c:v>
                </c:pt>
                <c:pt idx="3">
                  <c:v>-0.16657850190435886</c:v>
                </c:pt>
                <c:pt idx="4">
                  <c:v>-0.13516002763067003</c:v>
                </c:pt>
                <c:pt idx="5">
                  <c:v>-7.9216547961812392E-2</c:v>
                </c:pt>
                <c:pt idx="6">
                  <c:v>-7.2071787418243868E-2</c:v>
                </c:pt>
                <c:pt idx="7">
                  <c:v>-4.2879256965944273E-2</c:v>
                </c:pt>
                <c:pt idx="8">
                  <c:v>3.0007209524366245E-2</c:v>
                </c:pt>
                <c:pt idx="9">
                  <c:v>-2.0577205282895809E-2</c:v>
                </c:pt>
                <c:pt idx="10">
                  <c:v>-0.11356139992410753</c:v>
                </c:pt>
                <c:pt idx="11">
                  <c:v>-8.1503231008050445E-2</c:v>
                </c:pt>
                <c:pt idx="12">
                  <c:v>-5.1735756782255428E-2</c:v>
                </c:pt>
                <c:pt idx="13">
                  <c:v>8.5847817558462824E-2</c:v>
                </c:pt>
                <c:pt idx="14">
                  <c:v>-8.5156606737920734E-2</c:v>
                </c:pt>
                <c:pt idx="15">
                  <c:v>-8.1327919071026572E-2</c:v>
                </c:pt>
                <c:pt idx="16">
                  <c:v>-0.15504797430862488</c:v>
                </c:pt>
                <c:pt idx="17">
                  <c:v>-0.17730269755314881</c:v>
                </c:pt>
                <c:pt idx="18">
                  <c:v>-8.4108223860313802E-2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EE2F36"/>
                  </a:solidFill>
                  <a:ln w="63500">
                    <a:solidFill>
                      <a:schemeClr val="bg2"/>
                    </a:solidFill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60B8-46B3-AB89-FA2CE4AB2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12663864"/>
        <c:axId val="712663536"/>
      </c:barChart>
      <c:catAx>
        <c:axId val="712663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58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12663536"/>
        <c:crosses val="autoZero"/>
        <c:auto val="1"/>
        <c:lblAlgn val="ctr"/>
        <c:lblOffset val="100"/>
        <c:noMultiLvlLbl val="0"/>
      </c:catAx>
      <c:valAx>
        <c:axId val="712663536"/>
        <c:scaling>
          <c:orientation val="minMax"/>
        </c:scaling>
        <c:delete val="0"/>
        <c:axPos val="r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1266386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0551707-F9C5-4F90-8296-48BA7C9EF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FE26CCB-B8FE-4E04-BECB-8EA75AD8E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12</xdr:col>
      <xdr:colOff>0</xdr:colOff>
      <xdr:row>53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6635EA5-D1FE-4684-8F0D-F6504055F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195262</xdr:colOff>
      <xdr:row>5</xdr:row>
      <xdr:rowOff>33338</xdr:rowOff>
    </xdr:from>
    <xdr:to>
      <xdr:col>18</xdr:col>
      <xdr:colOff>319087</xdr:colOff>
      <xdr:row>5</xdr:row>
      <xdr:rowOff>147638</xdr:rowOff>
    </xdr:to>
    <xdr:sp macro="" textlink="">
      <xdr:nvSpPr>
        <xdr:cNvPr id="5" name="等腰三角形 4">
          <a:extLst>
            <a:ext uri="{FF2B5EF4-FFF2-40B4-BE49-F238E27FC236}">
              <a16:creationId xmlns:a16="http://schemas.microsoft.com/office/drawing/2014/main" id="{84D200FE-5582-4F95-844B-1A57995677A3}"/>
            </a:ext>
          </a:extLst>
        </xdr:cNvPr>
        <xdr:cNvSpPr/>
      </xdr:nvSpPr>
      <xdr:spPr>
        <a:xfrm rot="16200000">
          <a:off x="12211050" y="933450"/>
          <a:ext cx="114300" cy="123825"/>
        </a:xfrm>
        <a:prstGeom prst="triangle">
          <a:avLst/>
        </a:prstGeom>
        <a:ln>
          <a:noFill/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12</xdr:row>
      <xdr:rowOff>0</xdr:rowOff>
    </xdr:from>
    <xdr:to>
      <xdr:col>15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30B2CD1-04E6-4298-ACD3-C36D9C3B4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D9778E2-FF46-4ED2-8F30-B5A1EC313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419862</xdr:colOff>
      <xdr:row>7</xdr:row>
      <xdr:rowOff>66675</xdr:rowOff>
    </xdr:from>
    <xdr:to>
      <xdr:col>17</xdr:col>
      <xdr:colOff>552450</xdr:colOff>
      <xdr:row>8</xdr:row>
      <xdr:rowOff>0</xdr:rowOff>
    </xdr:to>
    <xdr:sp macro="" textlink="">
      <xdr:nvSpPr>
        <xdr:cNvPr id="3" name="等腰三角形 2">
          <a:extLst>
            <a:ext uri="{FF2B5EF4-FFF2-40B4-BE49-F238E27FC236}">
              <a16:creationId xmlns:a16="http://schemas.microsoft.com/office/drawing/2014/main" id="{BEE87850-F6E1-4D5C-9BB9-80CE46D2E1F9}"/>
            </a:ext>
          </a:extLst>
        </xdr:cNvPr>
        <xdr:cNvSpPr/>
      </xdr:nvSpPr>
      <xdr:spPr>
        <a:xfrm>
          <a:off x="12964287" y="1333500"/>
          <a:ext cx="132588" cy="114300"/>
        </a:xfrm>
        <a:prstGeom prst="triangl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419862</xdr:colOff>
      <xdr:row>8</xdr:row>
      <xdr:rowOff>95250</xdr:rowOff>
    </xdr:from>
    <xdr:to>
      <xdr:col>17</xdr:col>
      <xdr:colOff>552450</xdr:colOff>
      <xdr:row>9</xdr:row>
      <xdr:rowOff>28575</xdr:rowOff>
    </xdr:to>
    <xdr:sp macro="" textlink="">
      <xdr:nvSpPr>
        <xdr:cNvPr id="4" name="等腰三角形 3">
          <a:extLst>
            <a:ext uri="{FF2B5EF4-FFF2-40B4-BE49-F238E27FC236}">
              <a16:creationId xmlns:a16="http://schemas.microsoft.com/office/drawing/2014/main" id="{E7012BB1-08BA-438C-82BA-D0FB24947795}"/>
            </a:ext>
          </a:extLst>
        </xdr:cNvPr>
        <xdr:cNvSpPr/>
      </xdr:nvSpPr>
      <xdr:spPr>
        <a:xfrm rot="10800000">
          <a:off x="12964287" y="1543050"/>
          <a:ext cx="132588" cy="114300"/>
        </a:xfrm>
        <a:prstGeom prst="triangl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47625</xdr:colOff>
      <xdr:row>27</xdr:row>
      <xdr:rowOff>123824</xdr:rowOff>
    </xdr:from>
    <xdr:to>
      <xdr:col>7</xdr:col>
      <xdr:colOff>400050</xdr:colOff>
      <xdr:row>28</xdr:row>
      <xdr:rowOff>142874</xdr:rowOff>
    </xdr:to>
    <xdr:sp macro="" textlink="">
      <xdr:nvSpPr>
        <xdr:cNvPr id="5" name="矩形: 圆角 4">
          <a:extLst>
            <a:ext uri="{FF2B5EF4-FFF2-40B4-BE49-F238E27FC236}">
              <a16:creationId xmlns:a16="http://schemas.microsoft.com/office/drawing/2014/main" id="{91EBDA5E-DB86-48DD-AC4C-43D1DDC3AF03}"/>
            </a:ext>
          </a:extLst>
        </xdr:cNvPr>
        <xdr:cNvSpPr/>
      </xdr:nvSpPr>
      <xdr:spPr>
        <a:xfrm>
          <a:off x="3676650" y="5010149"/>
          <a:ext cx="1038225" cy="2000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zh-CN" sz="100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</a:rPr>
            <a:t>*</a:t>
          </a:r>
          <a:r>
            <a:rPr lang="zh-CN" altLang="en-US" sz="100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</a:rPr>
            <a:t>非精确数据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180974</xdr:rowOff>
    </xdr:from>
    <xdr:to>
      <xdr:col>13</xdr:col>
      <xdr:colOff>0</xdr:colOff>
      <xdr:row>33</xdr:row>
      <xdr:rowOff>180974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0FB5F49-994D-445E-A665-B10FAED35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47626</xdr:colOff>
      <xdr:row>32</xdr:row>
      <xdr:rowOff>114300</xdr:rowOff>
    </xdr:from>
    <xdr:to>
      <xdr:col>9</xdr:col>
      <xdr:colOff>104776</xdr:colOff>
      <xdr:row>33</xdr:row>
      <xdr:rowOff>95250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4C03A8BF-5CA8-4AF1-AC0D-6AB182ADC7BA}"/>
            </a:ext>
          </a:extLst>
        </xdr:cNvPr>
        <xdr:cNvSpPr/>
      </xdr:nvSpPr>
      <xdr:spPr>
        <a:xfrm>
          <a:off x="4333876" y="5905500"/>
          <a:ext cx="742950" cy="1619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zh-CN" sz="80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</a:rPr>
            <a:t>*</a:t>
          </a:r>
          <a:r>
            <a:rPr lang="zh-CN" altLang="en-US" sz="80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</a:rPr>
            <a:t>模拟数据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180974</xdr:rowOff>
    </xdr:from>
    <xdr:to>
      <xdr:col>14</xdr:col>
      <xdr:colOff>0</xdr:colOff>
      <xdr:row>24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84BC8CD-DC00-4605-961F-458C97DC8B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9ED69F4-135B-469E-A200-298D3B017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171449</xdr:colOff>
      <xdr:row>38</xdr:row>
      <xdr:rowOff>114300</xdr:rowOff>
    </xdr:from>
    <xdr:to>
      <xdr:col>8</xdr:col>
      <xdr:colOff>200024</xdr:colOff>
      <xdr:row>39</xdr:row>
      <xdr:rowOff>104775</xdr:rowOff>
    </xdr:to>
    <xdr:sp macro="" textlink="">
      <xdr:nvSpPr>
        <xdr:cNvPr id="4" name="矩形: 圆角 3">
          <a:extLst>
            <a:ext uri="{FF2B5EF4-FFF2-40B4-BE49-F238E27FC236}">
              <a16:creationId xmlns:a16="http://schemas.microsoft.com/office/drawing/2014/main" id="{FCA2D672-C900-449F-B4EE-59FA4083AFFB}"/>
            </a:ext>
          </a:extLst>
        </xdr:cNvPr>
        <xdr:cNvSpPr/>
      </xdr:nvSpPr>
      <xdr:spPr>
        <a:xfrm>
          <a:off x="3228974" y="6991350"/>
          <a:ext cx="1495425" cy="1714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</a:rPr>
            <a:t>数据来源：国家统计局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In%20the%20off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客机闲置"/>
      <sheetName val="美国利率"/>
      <sheetName val="Sheet3"/>
    </sheetNames>
    <sheetDataSet>
      <sheetData sheetId="0">
        <row r="3">
          <cell r="C3" t="str">
            <v>闲置飞机数量</v>
          </cell>
          <cell r="D3" t="str">
            <v>闲置率</v>
          </cell>
        </row>
        <row r="4">
          <cell r="B4" t="str">
            <v>1960</v>
          </cell>
          <cell r="D4">
            <v>0.04</v>
          </cell>
        </row>
        <row r="5">
          <cell r="B5" t="str">
            <v>1961</v>
          </cell>
          <cell r="D5">
            <v>0.01</v>
          </cell>
        </row>
        <row r="6">
          <cell r="B6" t="str">
            <v>1962</v>
          </cell>
          <cell r="D6">
            <v>0.05</v>
          </cell>
        </row>
        <row r="7">
          <cell r="B7" t="str">
            <v>1963</v>
          </cell>
          <cell r="D7">
            <v>0.01</v>
          </cell>
        </row>
        <row r="8">
          <cell r="B8" t="str">
            <v>1964</v>
          </cell>
          <cell r="D8">
            <v>0.05</v>
          </cell>
        </row>
        <row r="9">
          <cell r="B9" t="str">
            <v>1965</v>
          </cell>
          <cell r="D9">
            <v>0.05</v>
          </cell>
        </row>
        <row r="10">
          <cell r="B10" t="str">
            <v>1966</v>
          </cell>
          <cell r="D10">
            <v>0.02</v>
          </cell>
        </row>
        <row r="11">
          <cell r="B11" t="str">
            <v>1967</v>
          </cell>
          <cell r="D11">
            <v>0.01</v>
          </cell>
        </row>
        <row r="12">
          <cell r="B12" t="str">
            <v>1968</v>
          </cell>
          <cell r="C12">
            <v>60</v>
          </cell>
          <cell r="D12">
            <v>0.04</v>
          </cell>
        </row>
        <row r="13">
          <cell r="B13" t="str">
            <v>1969</v>
          </cell>
          <cell r="C13">
            <v>95</v>
          </cell>
          <cell r="D13">
            <v>0.05</v>
          </cell>
        </row>
        <row r="14">
          <cell r="B14" t="str">
            <v>1970</v>
          </cell>
          <cell r="C14">
            <v>120</v>
          </cell>
          <cell r="D14">
            <v>0.05</v>
          </cell>
        </row>
        <row r="15">
          <cell r="B15" t="str">
            <v>1971</v>
          </cell>
          <cell r="C15">
            <v>140</v>
          </cell>
          <cell r="D15">
            <v>0.03</v>
          </cell>
        </row>
        <row r="16">
          <cell r="B16" t="str">
            <v>1972</v>
          </cell>
          <cell r="C16">
            <v>177</v>
          </cell>
          <cell r="D16">
            <v>0.03</v>
          </cell>
        </row>
        <row r="17">
          <cell r="B17" t="str">
            <v>1973</v>
          </cell>
          <cell r="C17">
            <v>132</v>
          </cell>
          <cell r="D17">
            <v>0.05</v>
          </cell>
        </row>
        <row r="18">
          <cell r="B18" t="str">
            <v>1974</v>
          </cell>
          <cell r="C18">
            <v>379</v>
          </cell>
          <cell r="D18">
            <v>0.03</v>
          </cell>
        </row>
        <row r="19">
          <cell r="B19" t="str">
            <v>1975</v>
          </cell>
          <cell r="C19">
            <v>270</v>
          </cell>
          <cell r="D19">
            <v>0.01</v>
          </cell>
        </row>
        <row r="20">
          <cell r="B20" t="str">
            <v>1976</v>
          </cell>
          <cell r="C20">
            <v>327</v>
          </cell>
          <cell r="D20">
            <v>0.03</v>
          </cell>
        </row>
        <row r="21">
          <cell r="B21" t="str">
            <v>1977</v>
          </cell>
          <cell r="C21">
            <v>121</v>
          </cell>
          <cell r="D21">
            <v>0.03</v>
          </cell>
        </row>
        <row r="22">
          <cell r="B22" t="str">
            <v>1978</v>
          </cell>
          <cell r="C22">
            <v>173</v>
          </cell>
          <cell r="D22">
            <v>7.0000000000000007E-2</v>
          </cell>
        </row>
        <row r="23">
          <cell r="B23" t="str">
            <v>1979</v>
          </cell>
          <cell r="C23">
            <v>253</v>
          </cell>
          <cell r="D23">
            <v>0.05</v>
          </cell>
        </row>
        <row r="24">
          <cell r="B24" t="str">
            <v>1980</v>
          </cell>
          <cell r="C24">
            <v>215</v>
          </cell>
          <cell r="D24">
            <v>0.08</v>
          </cell>
        </row>
        <row r="25">
          <cell r="B25" t="str">
            <v>1981</v>
          </cell>
          <cell r="C25">
            <v>233</v>
          </cell>
          <cell r="D25">
            <v>0.05</v>
          </cell>
        </row>
        <row r="26">
          <cell r="B26" t="str">
            <v>1982</v>
          </cell>
          <cell r="C26">
            <v>153</v>
          </cell>
          <cell r="D26">
            <v>0.05</v>
          </cell>
        </row>
        <row r="27">
          <cell r="B27" t="str">
            <v>1983</v>
          </cell>
          <cell r="C27">
            <v>366</v>
          </cell>
          <cell r="D27">
            <v>0.03</v>
          </cell>
        </row>
        <row r="28">
          <cell r="B28" t="str">
            <v>1984</v>
          </cell>
          <cell r="C28">
            <v>952</v>
          </cell>
          <cell r="D28">
            <v>0.04</v>
          </cell>
        </row>
        <row r="29">
          <cell r="B29" t="str">
            <v>1985</v>
          </cell>
          <cell r="C29">
            <v>588</v>
          </cell>
          <cell r="D29">
            <v>0.06</v>
          </cell>
        </row>
        <row r="30">
          <cell r="B30" t="str">
            <v>1986</v>
          </cell>
          <cell r="C30">
            <v>508</v>
          </cell>
          <cell r="D30">
            <v>0.05</v>
          </cell>
        </row>
        <row r="31">
          <cell r="B31" t="str">
            <v>1987</v>
          </cell>
          <cell r="C31">
            <v>832</v>
          </cell>
          <cell r="D31">
            <v>0.04</v>
          </cell>
        </row>
        <row r="32">
          <cell r="B32" t="str">
            <v>1988</v>
          </cell>
          <cell r="C32">
            <v>952</v>
          </cell>
          <cell r="D32">
            <v>0.05</v>
          </cell>
        </row>
        <row r="33">
          <cell r="B33" t="str">
            <v>1989</v>
          </cell>
          <cell r="C33">
            <v>967</v>
          </cell>
          <cell r="D33">
            <v>0.08</v>
          </cell>
        </row>
        <row r="34">
          <cell r="B34" t="str">
            <v>1990</v>
          </cell>
          <cell r="C34">
            <v>508</v>
          </cell>
          <cell r="D34">
            <v>0.1</v>
          </cell>
        </row>
        <row r="35">
          <cell r="B35" t="str">
            <v>1991</v>
          </cell>
          <cell r="C35">
            <v>476</v>
          </cell>
          <cell r="D35">
            <v>0.04</v>
          </cell>
        </row>
        <row r="36">
          <cell r="B36" t="str">
            <v>1992</v>
          </cell>
          <cell r="C36">
            <v>543</v>
          </cell>
          <cell r="D36">
            <v>0.06</v>
          </cell>
        </row>
        <row r="37">
          <cell r="B37" t="str">
            <v>1993</v>
          </cell>
          <cell r="C37">
            <v>265</v>
          </cell>
          <cell r="D37">
            <v>0.04</v>
          </cell>
        </row>
        <row r="38">
          <cell r="B38" t="str">
            <v>1994</v>
          </cell>
          <cell r="C38">
            <v>909</v>
          </cell>
          <cell r="D38">
            <v>0.08</v>
          </cell>
        </row>
        <row r="39">
          <cell r="B39" t="str">
            <v>1995</v>
          </cell>
          <cell r="C39">
            <v>826</v>
          </cell>
          <cell r="D39">
            <v>0.1</v>
          </cell>
        </row>
        <row r="40">
          <cell r="B40" t="str">
            <v>1996</v>
          </cell>
          <cell r="C40">
            <v>1677</v>
          </cell>
          <cell r="D40">
            <v>0.06</v>
          </cell>
        </row>
        <row r="41">
          <cell r="B41" t="str">
            <v>1997</v>
          </cell>
          <cell r="C41">
            <v>1003</v>
          </cell>
          <cell r="D41">
            <v>7.0000000000000007E-2</v>
          </cell>
        </row>
        <row r="42">
          <cell r="B42" t="str">
            <v>1998</v>
          </cell>
          <cell r="C42">
            <v>1025</v>
          </cell>
          <cell r="D42">
            <v>0.1</v>
          </cell>
        </row>
        <row r="43">
          <cell r="B43" t="str">
            <v>1999</v>
          </cell>
          <cell r="C43">
            <v>1425</v>
          </cell>
          <cell r="D43">
            <v>0.08</v>
          </cell>
        </row>
        <row r="44">
          <cell r="B44" t="str">
            <v>2000</v>
          </cell>
          <cell r="C44">
            <v>1477</v>
          </cell>
          <cell r="D44">
            <v>0.09</v>
          </cell>
        </row>
        <row r="45">
          <cell r="B45" t="str">
            <v>2001</v>
          </cell>
          <cell r="C45">
            <v>1758</v>
          </cell>
          <cell r="D45">
            <v>7.0000000000000007E-2</v>
          </cell>
        </row>
        <row r="46">
          <cell r="B46" t="str">
            <v>2002</v>
          </cell>
          <cell r="C46">
            <v>1208</v>
          </cell>
          <cell r="D46">
            <v>0.05</v>
          </cell>
        </row>
        <row r="47">
          <cell r="B47" t="str">
            <v>2003</v>
          </cell>
          <cell r="C47">
            <v>2401</v>
          </cell>
          <cell r="D47">
            <v>0.15</v>
          </cell>
        </row>
        <row r="48">
          <cell r="B48" t="str">
            <v>2004</v>
          </cell>
          <cell r="C48">
            <v>2502</v>
          </cell>
          <cell r="D48">
            <v>0.12</v>
          </cell>
        </row>
        <row r="49">
          <cell r="B49" t="str">
            <v>2005</v>
          </cell>
          <cell r="C49">
            <v>2203</v>
          </cell>
          <cell r="D49">
            <v>0.11</v>
          </cell>
        </row>
        <row r="50">
          <cell r="B50" t="str">
            <v>2006</v>
          </cell>
          <cell r="C50">
            <v>2259</v>
          </cell>
          <cell r="D50">
            <v>0.15</v>
          </cell>
        </row>
        <row r="51">
          <cell r="B51" t="str">
            <v>2007</v>
          </cell>
          <cell r="C51">
            <v>2319</v>
          </cell>
          <cell r="D51">
            <v>0.16</v>
          </cell>
        </row>
        <row r="52">
          <cell r="B52" t="str">
            <v>2008</v>
          </cell>
          <cell r="C52">
            <v>2727</v>
          </cell>
          <cell r="D52">
            <v>0.14000000000000001</v>
          </cell>
        </row>
        <row r="53">
          <cell r="B53" t="str">
            <v>2009</v>
          </cell>
          <cell r="C53">
            <v>2115</v>
          </cell>
          <cell r="D53">
            <v>0.12</v>
          </cell>
        </row>
        <row r="54">
          <cell r="B54" t="str">
            <v>2010</v>
          </cell>
          <cell r="C54">
            <v>2185</v>
          </cell>
          <cell r="D54">
            <v>0.13</v>
          </cell>
        </row>
        <row r="55">
          <cell r="B55" t="str">
            <v>2011</v>
          </cell>
          <cell r="C55">
            <v>2211</v>
          </cell>
          <cell r="D55">
            <v>0.1</v>
          </cell>
        </row>
        <row r="56">
          <cell r="B56" t="str">
            <v>2012</v>
          </cell>
          <cell r="C56">
            <v>2455</v>
          </cell>
          <cell r="D56">
            <v>0.1</v>
          </cell>
        </row>
        <row r="57">
          <cell r="B57" t="str">
            <v>2013</v>
          </cell>
          <cell r="C57">
            <v>2092</v>
          </cell>
          <cell r="D57">
            <v>0.12</v>
          </cell>
        </row>
        <row r="58">
          <cell r="B58" t="str">
            <v>2014</v>
          </cell>
          <cell r="C58">
            <v>2512</v>
          </cell>
          <cell r="D58">
            <v>0.15</v>
          </cell>
        </row>
        <row r="59">
          <cell r="B59" t="str">
            <v>2015</v>
          </cell>
          <cell r="C59">
            <v>2124</v>
          </cell>
          <cell r="D59">
            <v>0.13</v>
          </cell>
        </row>
        <row r="60">
          <cell r="B60" t="str">
            <v>2016</v>
          </cell>
          <cell r="C60">
            <v>2585</v>
          </cell>
          <cell r="D60">
            <v>0.1</v>
          </cell>
        </row>
      </sheetData>
      <sheetData sheetId="1">
        <row r="3">
          <cell r="C3" t="str">
            <v>美国两年期国债利率</v>
          </cell>
          <cell r="D3" t="str">
            <v>超额准备金率</v>
          </cell>
        </row>
        <row r="4">
          <cell r="B4" t="str">
            <v>2013</v>
          </cell>
          <cell r="C4">
            <v>0.27</v>
          </cell>
          <cell r="E4">
            <v>0</v>
          </cell>
          <cell r="F4">
            <v>0.25</v>
          </cell>
        </row>
        <row r="5">
          <cell r="C5">
            <v>0.49</v>
          </cell>
          <cell r="E5">
            <v>2</v>
          </cell>
          <cell r="F5">
            <v>0.25</v>
          </cell>
        </row>
        <row r="6">
          <cell r="C6">
            <v>0.37</v>
          </cell>
          <cell r="E6">
            <v>3</v>
          </cell>
          <cell r="F6">
            <v>0.25</v>
          </cell>
        </row>
        <row r="7">
          <cell r="C7">
            <v>0.41</v>
          </cell>
          <cell r="E7">
            <v>4</v>
          </cell>
          <cell r="F7">
            <v>0.25</v>
          </cell>
        </row>
        <row r="8">
          <cell r="C8">
            <v>0.41</v>
          </cell>
          <cell r="E8">
            <v>5</v>
          </cell>
          <cell r="F8">
            <v>0.25</v>
          </cell>
        </row>
        <row r="9">
          <cell r="C9">
            <v>0.36</v>
          </cell>
          <cell r="E9">
            <v>6</v>
          </cell>
          <cell r="F9">
            <v>0.25</v>
          </cell>
        </row>
        <row r="10">
          <cell r="C10">
            <v>0.39</v>
          </cell>
          <cell r="E10">
            <v>7</v>
          </cell>
          <cell r="F10">
            <v>0.25</v>
          </cell>
        </row>
        <row r="11">
          <cell r="C11">
            <v>0.47</v>
          </cell>
          <cell r="E11">
            <v>8</v>
          </cell>
          <cell r="F11">
            <v>0.25</v>
          </cell>
        </row>
        <row r="12">
          <cell r="C12">
            <v>0.41</v>
          </cell>
          <cell r="E12">
            <v>9</v>
          </cell>
          <cell r="F12">
            <v>0.25</v>
          </cell>
        </row>
        <row r="13">
          <cell r="C13">
            <v>0.34</v>
          </cell>
          <cell r="E13">
            <v>10</v>
          </cell>
          <cell r="F13">
            <v>0.25</v>
          </cell>
        </row>
        <row r="14">
          <cell r="C14">
            <v>0.47</v>
          </cell>
          <cell r="E14">
            <v>11</v>
          </cell>
          <cell r="F14">
            <v>0.25</v>
          </cell>
        </row>
        <row r="15">
          <cell r="C15">
            <v>0.26</v>
          </cell>
          <cell r="E15">
            <v>12</v>
          </cell>
          <cell r="F15">
            <v>0.25</v>
          </cell>
        </row>
        <row r="16">
          <cell r="B16" t="str">
            <v>2014</v>
          </cell>
          <cell r="C16">
            <v>0.67</v>
          </cell>
          <cell r="E16">
            <v>13</v>
          </cell>
          <cell r="F16">
            <v>0.25</v>
          </cell>
        </row>
        <row r="17">
          <cell r="C17">
            <v>0.59</v>
          </cell>
          <cell r="E17">
            <v>14</v>
          </cell>
          <cell r="F17">
            <v>0.25</v>
          </cell>
        </row>
        <row r="18">
          <cell r="C18">
            <v>0.69</v>
          </cell>
          <cell r="E18">
            <v>15</v>
          </cell>
          <cell r="F18">
            <v>0.25</v>
          </cell>
        </row>
        <row r="19">
          <cell r="C19">
            <v>0.55000000000000004</v>
          </cell>
          <cell r="E19">
            <v>16</v>
          </cell>
          <cell r="F19">
            <v>0.25</v>
          </cell>
        </row>
        <row r="20">
          <cell r="C20">
            <v>0.67</v>
          </cell>
          <cell r="E20">
            <v>17</v>
          </cell>
          <cell r="F20">
            <v>0.25</v>
          </cell>
        </row>
        <row r="21">
          <cell r="C21">
            <v>0.53</v>
          </cell>
          <cell r="E21">
            <v>18</v>
          </cell>
          <cell r="F21">
            <v>0.25</v>
          </cell>
        </row>
        <row r="22">
          <cell r="C22">
            <v>0.54</v>
          </cell>
          <cell r="E22">
            <v>19</v>
          </cell>
          <cell r="F22">
            <v>0.25</v>
          </cell>
        </row>
        <row r="23">
          <cell r="C23">
            <v>0.66</v>
          </cell>
          <cell r="E23">
            <v>20</v>
          </cell>
          <cell r="F23">
            <v>0.25</v>
          </cell>
        </row>
        <row r="24">
          <cell r="C24">
            <v>0.56000000000000005</v>
          </cell>
          <cell r="E24">
            <v>21</v>
          </cell>
          <cell r="F24">
            <v>0.25</v>
          </cell>
        </row>
        <row r="25">
          <cell r="C25">
            <v>0.73</v>
          </cell>
          <cell r="E25">
            <v>22</v>
          </cell>
          <cell r="F25">
            <v>0.25</v>
          </cell>
        </row>
        <row r="26">
          <cell r="C26">
            <v>0.65</v>
          </cell>
          <cell r="E26">
            <v>23</v>
          </cell>
          <cell r="F26">
            <v>0.25</v>
          </cell>
        </row>
        <row r="27">
          <cell r="C27">
            <v>0.73</v>
          </cell>
          <cell r="E27">
            <v>24</v>
          </cell>
          <cell r="F27">
            <v>0.25</v>
          </cell>
        </row>
        <row r="28">
          <cell r="B28" t="str">
            <v>2015</v>
          </cell>
          <cell r="C28">
            <v>0.83</v>
          </cell>
          <cell r="E28">
            <v>25</v>
          </cell>
          <cell r="F28">
            <v>0.25</v>
          </cell>
        </row>
        <row r="29">
          <cell r="C29">
            <v>0.94</v>
          </cell>
          <cell r="E29">
            <v>26</v>
          </cell>
          <cell r="F29">
            <v>0.25</v>
          </cell>
        </row>
        <row r="30">
          <cell r="C30">
            <v>1</v>
          </cell>
          <cell r="E30">
            <v>27</v>
          </cell>
          <cell r="F30">
            <v>0.25</v>
          </cell>
        </row>
        <row r="31">
          <cell r="C31">
            <v>0.85</v>
          </cell>
          <cell r="E31">
            <v>28</v>
          </cell>
          <cell r="F31">
            <v>0.25</v>
          </cell>
        </row>
        <row r="32">
          <cell r="C32">
            <v>0.87</v>
          </cell>
          <cell r="E32">
            <v>29</v>
          </cell>
          <cell r="F32">
            <v>0.25</v>
          </cell>
        </row>
        <row r="33">
          <cell r="C33">
            <v>0.93</v>
          </cell>
          <cell r="E33">
            <v>30</v>
          </cell>
          <cell r="F33">
            <v>0.25</v>
          </cell>
        </row>
        <row r="34">
          <cell r="C34">
            <v>0.96</v>
          </cell>
          <cell r="E34">
            <v>31</v>
          </cell>
          <cell r="F34">
            <v>0.25</v>
          </cell>
        </row>
        <row r="35">
          <cell r="C35">
            <v>0.76</v>
          </cell>
          <cell r="E35">
            <v>32</v>
          </cell>
          <cell r="F35">
            <v>0.25</v>
          </cell>
        </row>
        <row r="36">
          <cell r="C36">
            <v>0.84</v>
          </cell>
          <cell r="E36">
            <v>33</v>
          </cell>
          <cell r="F36">
            <v>0.25</v>
          </cell>
        </row>
        <row r="37">
          <cell r="C37">
            <v>0.84</v>
          </cell>
          <cell r="E37">
            <v>34</v>
          </cell>
          <cell r="F37">
            <v>0.25</v>
          </cell>
        </row>
        <row r="38">
          <cell r="C38">
            <v>0.94</v>
          </cell>
          <cell r="E38">
            <v>35</v>
          </cell>
          <cell r="F38">
            <v>0.25</v>
          </cell>
        </row>
        <row r="39">
          <cell r="C39">
            <v>0.76</v>
          </cell>
          <cell r="E39">
            <v>37</v>
          </cell>
          <cell r="F39">
            <v>0.25</v>
          </cell>
        </row>
        <row r="40">
          <cell r="B40" t="str">
            <v>2016</v>
          </cell>
          <cell r="C40">
            <v>1.04</v>
          </cell>
          <cell r="E40">
            <v>37</v>
          </cell>
          <cell r="F40">
            <v>0.5</v>
          </cell>
        </row>
        <row r="41">
          <cell r="C41">
            <v>1.07</v>
          </cell>
          <cell r="E41">
            <v>38</v>
          </cell>
          <cell r="F41">
            <v>0.5</v>
          </cell>
        </row>
        <row r="42">
          <cell r="C42">
            <v>1.1100000000000001</v>
          </cell>
          <cell r="E42">
            <v>39</v>
          </cell>
          <cell r="F42">
            <v>0.5</v>
          </cell>
        </row>
        <row r="43">
          <cell r="C43">
            <v>1.08</v>
          </cell>
          <cell r="E43">
            <v>40</v>
          </cell>
          <cell r="F43">
            <v>0.5</v>
          </cell>
        </row>
        <row r="44">
          <cell r="C44">
            <v>1.25</v>
          </cell>
          <cell r="E44">
            <v>41</v>
          </cell>
          <cell r="F44">
            <v>0.5</v>
          </cell>
        </row>
        <row r="45">
          <cell r="C45">
            <v>1.03</v>
          </cell>
          <cell r="E45">
            <v>42</v>
          </cell>
          <cell r="F45">
            <v>0.5</v>
          </cell>
        </row>
        <row r="46">
          <cell r="C46">
            <v>1.18</v>
          </cell>
          <cell r="E46">
            <v>43</v>
          </cell>
          <cell r="F46">
            <v>0.5</v>
          </cell>
        </row>
        <row r="47">
          <cell r="C47">
            <v>1.22</v>
          </cell>
          <cell r="E47">
            <v>44</v>
          </cell>
          <cell r="F47">
            <v>0.5</v>
          </cell>
        </row>
        <row r="48">
          <cell r="C48">
            <v>1.02</v>
          </cell>
          <cell r="E48">
            <v>45</v>
          </cell>
          <cell r="F48">
            <v>0.5</v>
          </cell>
        </row>
        <row r="49">
          <cell r="C49">
            <v>1.1499999999999999</v>
          </cell>
          <cell r="E49">
            <v>46</v>
          </cell>
          <cell r="F49">
            <v>0.5</v>
          </cell>
        </row>
        <row r="50">
          <cell r="C50">
            <v>1.08</v>
          </cell>
          <cell r="E50">
            <v>47</v>
          </cell>
          <cell r="F50">
            <v>0.5</v>
          </cell>
        </row>
        <row r="51">
          <cell r="C51">
            <v>1.22</v>
          </cell>
          <cell r="E51">
            <v>48</v>
          </cell>
          <cell r="F51">
            <v>0.5</v>
          </cell>
        </row>
        <row r="52">
          <cell r="B52" t="str">
            <v>2017</v>
          </cell>
          <cell r="C52">
            <v>1.28</v>
          </cell>
          <cell r="E52">
            <v>49</v>
          </cell>
          <cell r="F52">
            <v>0.5</v>
          </cell>
        </row>
        <row r="53">
          <cell r="C53">
            <v>1.49</v>
          </cell>
          <cell r="E53">
            <v>50</v>
          </cell>
          <cell r="F53">
            <v>0.5</v>
          </cell>
        </row>
        <row r="54">
          <cell r="C54">
            <v>1.29</v>
          </cell>
          <cell r="E54">
            <v>50</v>
          </cell>
          <cell r="F54">
            <v>0.75</v>
          </cell>
        </row>
        <row r="55">
          <cell r="C55">
            <v>1.32</v>
          </cell>
          <cell r="E55">
            <v>52</v>
          </cell>
          <cell r="F55">
            <v>0.75</v>
          </cell>
        </row>
        <row r="56">
          <cell r="C56">
            <v>1.48</v>
          </cell>
          <cell r="E56">
            <v>53</v>
          </cell>
          <cell r="F56">
            <v>0.75</v>
          </cell>
        </row>
        <row r="57">
          <cell r="C57">
            <v>1.3</v>
          </cell>
          <cell r="E57">
            <v>54</v>
          </cell>
          <cell r="F57">
            <v>0.75</v>
          </cell>
        </row>
        <row r="58">
          <cell r="C58">
            <v>1.43</v>
          </cell>
          <cell r="E58">
            <v>54</v>
          </cell>
          <cell r="F58">
            <v>1</v>
          </cell>
        </row>
        <row r="59">
          <cell r="C59">
            <v>1.27</v>
          </cell>
          <cell r="E59">
            <v>56</v>
          </cell>
          <cell r="F59">
            <v>1</v>
          </cell>
        </row>
        <row r="60">
          <cell r="E60">
            <v>57</v>
          </cell>
          <cell r="F60">
            <v>1</v>
          </cell>
        </row>
        <row r="61">
          <cell r="E61">
            <v>58</v>
          </cell>
          <cell r="F61">
            <v>1</v>
          </cell>
        </row>
        <row r="62">
          <cell r="E62">
            <v>58</v>
          </cell>
          <cell r="F62">
            <v>1.25</v>
          </cell>
        </row>
        <row r="63">
          <cell r="E63">
            <v>60</v>
          </cell>
          <cell r="F63">
            <v>1.25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ECO2017">
      <a:dk1>
        <a:sysClr val="windowText" lastClr="000000"/>
      </a:dk1>
      <a:lt1>
        <a:sysClr val="window" lastClr="FFFFFF"/>
      </a:lt1>
      <a:dk2>
        <a:srgbClr val="C1DAE7"/>
      </a:dk2>
      <a:lt2>
        <a:srgbClr val="ECECE3"/>
      </a:lt2>
      <a:accent1>
        <a:srgbClr val="127A90"/>
      </a:accent1>
      <a:accent2>
        <a:srgbClr val="EE2F36"/>
      </a:accent2>
      <a:accent3>
        <a:srgbClr val="517B7B"/>
      </a:accent3>
      <a:accent4>
        <a:srgbClr val="839EA8"/>
      </a:accent4>
      <a:accent5>
        <a:srgbClr val="31C0E4"/>
      </a:accent5>
      <a:accent6>
        <a:srgbClr val="CAC9BA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54"/>
  <sheetViews>
    <sheetView showGridLines="0" workbookViewId="0"/>
  </sheetViews>
  <sheetFormatPr defaultColWidth="9" defaultRowHeight="13.2" x14ac:dyDescent="0.25"/>
  <cols>
    <col min="1" max="1" width="2.6640625" style="2" customWidth="1"/>
    <col min="2" max="12" width="9" style="2"/>
    <col min="13" max="13" width="2.6640625" style="2" customWidth="1"/>
    <col min="14" max="16384" width="9" style="2"/>
  </cols>
  <sheetData>
    <row r="2" spans="2:20" x14ac:dyDescent="0.25">
      <c r="B2" s="2" t="s">
        <v>10</v>
      </c>
    </row>
    <row r="3" spans="2:20" ht="15.9" customHeight="1" thickBot="1" x14ac:dyDescent="0.3">
      <c r="C3" s="3" t="s">
        <v>11</v>
      </c>
      <c r="D3" s="3" t="s">
        <v>12</v>
      </c>
      <c r="M3" s="4"/>
      <c r="N3" s="5" t="s">
        <v>11</v>
      </c>
      <c r="O3" s="6" t="s">
        <v>14</v>
      </c>
    </row>
    <row r="4" spans="2:20" x14ac:dyDescent="0.25">
      <c r="B4" s="51" t="s">
        <v>0</v>
      </c>
      <c r="C4" s="52">
        <v>65</v>
      </c>
      <c r="D4" s="52">
        <v>100</v>
      </c>
      <c r="M4" s="4" t="s">
        <v>0</v>
      </c>
      <c r="N4" s="5">
        <v>65</v>
      </c>
      <c r="O4" s="5">
        <v>100</v>
      </c>
    </row>
    <row r="5" spans="2:20" x14ac:dyDescent="0.25">
      <c r="B5" s="33" t="s">
        <v>1</v>
      </c>
      <c r="C5" s="34">
        <v>48</v>
      </c>
      <c r="D5" s="34">
        <v>100</v>
      </c>
      <c r="M5" s="4" t="s">
        <v>1</v>
      </c>
      <c r="N5" s="5">
        <v>48</v>
      </c>
      <c r="O5" s="5">
        <v>100</v>
      </c>
    </row>
    <row r="6" spans="2:20" x14ac:dyDescent="0.25">
      <c r="B6" s="33" t="s">
        <v>2</v>
      </c>
      <c r="C6" s="34">
        <v>71</v>
      </c>
      <c r="D6" s="34">
        <v>100</v>
      </c>
      <c r="M6" s="4" t="s">
        <v>2</v>
      </c>
      <c r="N6" s="5">
        <v>71</v>
      </c>
      <c r="O6" s="5">
        <v>100</v>
      </c>
    </row>
    <row r="7" spans="2:20" x14ac:dyDescent="0.25">
      <c r="B7" s="33" t="s">
        <v>3</v>
      </c>
      <c r="C7" s="34">
        <v>66</v>
      </c>
      <c r="D7" s="34">
        <v>100</v>
      </c>
      <c r="M7" s="4" t="s">
        <v>3</v>
      </c>
      <c r="N7" s="5">
        <v>66</v>
      </c>
      <c r="O7" s="5">
        <v>100</v>
      </c>
    </row>
    <row r="8" spans="2:20" x14ac:dyDescent="0.25">
      <c r="B8" s="33" t="s">
        <v>4</v>
      </c>
      <c r="C8" s="34">
        <v>53</v>
      </c>
      <c r="D8" s="34">
        <v>100</v>
      </c>
      <c r="M8" s="4" t="s">
        <v>4</v>
      </c>
      <c r="N8" s="5">
        <v>53</v>
      </c>
      <c r="O8" s="5">
        <v>100</v>
      </c>
    </row>
    <row r="9" spans="2:20" x14ac:dyDescent="0.25">
      <c r="B9" s="33" t="s">
        <v>5</v>
      </c>
      <c r="C9" s="34">
        <v>78</v>
      </c>
      <c r="D9" s="34">
        <v>100</v>
      </c>
      <c r="M9" s="4" t="s">
        <v>5</v>
      </c>
      <c r="N9" s="5">
        <v>78</v>
      </c>
      <c r="O9" s="5">
        <v>100</v>
      </c>
    </row>
    <row r="10" spans="2:20" x14ac:dyDescent="0.25">
      <c r="B10" s="33" t="s">
        <v>6</v>
      </c>
      <c r="C10" s="34">
        <v>83</v>
      </c>
      <c r="D10" s="34">
        <v>100</v>
      </c>
      <c r="M10" s="4" t="s">
        <v>6</v>
      </c>
      <c r="N10" s="5">
        <v>83</v>
      </c>
      <c r="O10" s="5">
        <v>100</v>
      </c>
    </row>
    <row r="11" spans="2:20" x14ac:dyDescent="0.25">
      <c r="B11" s="33" t="s">
        <v>7</v>
      </c>
      <c r="C11" s="34">
        <v>98</v>
      </c>
      <c r="D11" s="34">
        <v>100</v>
      </c>
      <c r="M11" s="4" t="s">
        <v>7</v>
      </c>
      <c r="N11" s="5">
        <v>98</v>
      </c>
      <c r="O11" s="5">
        <v>100</v>
      </c>
    </row>
    <row r="12" spans="2:20" x14ac:dyDescent="0.25">
      <c r="B12" s="33" t="s">
        <v>8</v>
      </c>
      <c r="C12" s="34">
        <v>112</v>
      </c>
      <c r="D12" s="34">
        <v>100</v>
      </c>
      <c r="F12" s="7"/>
      <c r="G12" s="8"/>
      <c r="H12" s="8"/>
      <c r="I12" s="8"/>
      <c r="J12" s="8"/>
      <c r="K12" s="8"/>
      <c r="L12" s="9"/>
      <c r="M12" s="4" t="s">
        <v>8</v>
      </c>
      <c r="N12" s="16">
        <v>112</v>
      </c>
      <c r="O12" s="17">
        <v>100</v>
      </c>
      <c r="P12" s="8"/>
      <c r="Q12" s="8"/>
      <c r="R12" s="8"/>
      <c r="S12" s="8"/>
      <c r="T12" s="9"/>
    </row>
    <row r="13" spans="2:20" ht="13.8" thickBot="1" x14ac:dyDescent="0.3">
      <c r="B13" s="53" t="s">
        <v>9</v>
      </c>
      <c r="C13" s="54">
        <v>135</v>
      </c>
      <c r="D13" s="54">
        <v>100</v>
      </c>
      <c r="F13" s="10"/>
      <c r="G13" s="11"/>
      <c r="H13" s="11"/>
      <c r="I13" s="11"/>
      <c r="J13" s="11"/>
      <c r="K13" s="11"/>
      <c r="L13" s="12"/>
      <c r="M13" s="4" t="s">
        <v>9</v>
      </c>
      <c r="N13" s="18">
        <v>135</v>
      </c>
      <c r="O13" s="19">
        <v>100</v>
      </c>
      <c r="P13" s="11"/>
      <c r="Q13" s="11"/>
      <c r="R13" s="11"/>
      <c r="S13" s="11"/>
      <c r="T13" s="12"/>
    </row>
    <row r="14" spans="2:20" x14ac:dyDescent="0.25">
      <c r="F14" s="10"/>
      <c r="G14" s="11"/>
      <c r="H14" s="11"/>
      <c r="I14" s="11"/>
      <c r="J14" s="11"/>
      <c r="K14" s="11"/>
      <c r="L14" s="12"/>
      <c r="N14" s="10"/>
      <c r="O14" s="11"/>
      <c r="P14" s="11"/>
      <c r="Q14" s="11"/>
      <c r="R14" s="11"/>
      <c r="S14" s="11"/>
      <c r="T14" s="12"/>
    </row>
    <row r="15" spans="2:20" x14ac:dyDescent="0.25">
      <c r="F15" s="10"/>
      <c r="G15" s="11"/>
      <c r="H15" s="11"/>
      <c r="I15" s="11"/>
      <c r="J15" s="11"/>
      <c r="K15" s="11"/>
      <c r="L15" s="12"/>
      <c r="N15" s="10"/>
      <c r="O15" s="11"/>
      <c r="P15" s="11"/>
      <c r="Q15" s="11"/>
      <c r="R15" s="11"/>
      <c r="S15" s="11"/>
      <c r="T15" s="12"/>
    </row>
    <row r="16" spans="2:20" x14ac:dyDescent="0.25">
      <c r="F16" s="10"/>
      <c r="G16" s="11"/>
      <c r="H16" s="11"/>
      <c r="I16" s="11"/>
      <c r="J16" s="11"/>
      <c r="K16" s="11"/>
      <c r="L16" s="12"/>
      <c r="N16" s="10"/>
      <c r="O16" s="11"/>
      <c r="P16" s="11"/>
      <c r="Q16" s="11"/>
      <c r="R16" s="11"/>
      <c r="S16" s="11"/>
      <c r="T16" s="12"/>
    </row>
    <row r="17" spans="6:20" x14ac:dyDescent="0.25">
      <c r="F17" s="10"/>
      <c r="G17" s="11"/>
      <c r="H17" s="11"/>
      <c r="I17" s="11"/>
      <c r="J17" s="11"/>
      <c r="K17" s="11"/>
      <c r="L17" s="12"/>
      <c r="N17" s="10"/>
      <c r="O17" s="11"/>
      <c r="P17" s="11"/>
      <c r="Q17" s="11"/>
      <c r="R17" s="11"/>
      <c r="S17" s="11"/>
      <c r="T17" s="12"/>
    </row>
    <row r="18" spans="6:20" x14ac:dyDescent="0.25">
      <c r="F18" s="10"/>
      <c r="G18" s="11"/>
      <c r="H18" s="11"/>
      <c r="I18" s="11"/>
      <c r="J18" s="11"/>
      <c r="K18" s="11"/>
      <c r="L18" s="12"/>
      <c r="N18" s="10"/>
      <c r="O18" s="11"/>
      <c r="P18" s="11"/>
      <c r="Q18" s="11"/>
      <c r="R18" s="11"/>
      <c r="S18" s="11"/>
      <c r="T18" s="12"/>
    </row>
    <row r="19" spans="6:20" x14ac:dyDescent="0.25">
      <c r="F19" s="10"/>
      <c r="G19" s="11"/>
      <c r="H19" s="11"/>
      <c r="I19" s="11"/>
      <c r="J19" s="11"/>
      <c r="K19" s="11"/>
      <c r="L19" s="12"/>
      <c r="N19" s="10"/>
      <c r="O19" s="11"/>
      <c r="P19" s="11"/>
      <c r="Q19" s="11"/>
      <c r="R19" s="11"/>
      <c r="S19" s="11"/>
      <c r="T19" s="12"/>
    </row>
    <row r="20" spans="6:20" x14ac:dyDescent="0.25">
      <c r="F20" s="10"/>
      <c r="G20" s="11"/>
      <c r="H20" s="11"/>
      <c r="I20" s="11"/>
      <c r="J20" s="11"/>
      <c r="K20" s="11"/>
      <c r="L20" s="12"/>
      <c r="N20" s="10"/>
      <c r="O20" s="11"/>
      <c r="P20" s="11"/>
      <c r="Q20" s="11"/>
      <c r="R20" s="11"/>
      <c r="S20" s="11"/>
      <c r="T20" s="12"/>
    </row>
    <row r="21" spans="6:20" x14ac:dyDescent="0.25">
      <c r="F21" s="10"/>
      <c r="G21" s="11"/>
      <c r="H21" s="11"/>
      <c r="I21" s="11"/>
      <c r="J21" s="11"/>
      <c r="K21" s="11"/>
      <c r="L21" s="12"/>
      <c r="N21" s="10"/>
      <c r="O21" s="11"/>
      <c r="P21" s="11"/>
      <c r="Q21" s="11"/>
      <c r="R21" s="11"/>
      <c r="S21" s="11"/>
      <c r="T21" s="12"/>
    </row>
    <row r="22" spans="6:20" x14ac:dyDescent="0.25">
      <c r="F22" s="10"/>
      <c r="G22" s="11"/>
      <c r="H22" s="11"/>
      <c r="I22" s="11"/>
      <c r="J22" s="11"/>
      <c r="K22" s="11"/>
      <c r="L22" s="12"/>
      <c r="N22" s="10"/>
      <c r="O22" s="11"/>
      <c r="P22" s="11"/>
      <c r="Q22" s="11"/>
      <c r="R22" s="11"/>
      <c r="S22" s="11"/>
      <c r="T22" s="12"/>
    </row>
    <row r="23" spans="6:20" x14ac:dyDescent="0.25">
      <c r="F23" s="10"/>
      <c r="G23" s="11"/>
      <c r="H23" s="11"/>
      <c r="I23" s="11"/>
      <c r="J23" s="11"/>
      <c r="K23" s="11"/>
      <c r="L23" s="12"/>
      <c r="N23" s="10"/>
      <c r="O23" s="11"/>
      <c r="P23" s="11"/>
      <c r="Q23" s="11"/>
      <c r="R23" s="11"/>
      <c r="S23" s="11"/>
      <c r="T23" s="12"/>
    </row>
    <row r="24" spans="6:20" x14ac:dyDescent="0.25">
      <c r="F24" s="10"/>
      <c r="G24" s="11"/>
      <c r="H24" s="11"/>
      <c r="I24" s="11"/>
      <c r="J24" s="11"/>
      <c r="K24" s="11"/>
      <c r="L24" s="12"/>
      <c r="N24" s="10"/>
      <c r="O24" s="11"/>
      <c r="P24" s="11"/>
      <c r="Q24" s="11"/>
      <c r="R24" s="11"/>
      <c r="S24" s="11"/>
      <c r="T24" s="12"/>
    </row>
    <row r="25" spans="6:20" x14ac:dyDescent="0.25">
      <c r="F25" s="10"/>
      <c r="G25" s="11"/>
      <c r="H25" s="11"/>
      <c r="I25" s="11"/>
      <c r="J25" s="11"/>
      <c r="K25" s="11"/>
      <c r="L25" s="12"/>
      <c r="N25" s="10"/>
      <c r="O25" s="11"/>
      <c r="P25" s="11"/>
      <c r="Q25" s="11"/>
      <c r="R25" s="11"/>
      <c r="S25" s="11"/>
      <c r="T25" s="12"/>
    </row>
    <row r="26" spans="6:20" x14ac:dyDescent="0.25">
      <c r="F26" s="10"/>
      <c r="G26" s="11"/>
      <c r="H26" s="11"/>
      <c r="I26" s="11"/>
      <c r="J26" s="11"/>
      <c r="K26" s="11"/>
      <c r="L26" s="12"/>
      <c r="N26" s="10"/>
      <c r="O26" s="11"/>
      <c r="P26" s="11"/>
      <c r="Q26" s="11"/>
      <c r="R26" s="11"/>
      <c r="S26" s="11"/>
      <c r="T26" s="12"/>
    </row>
    <row r="27" spans="6:20" x14ac:dyDescent="0.25">
      <c r="F27" s="10"/>
      <c r="G27" s="11"/>
      <c r="H27" s="11"/>
      <c r="I27" s="11"/>
      <c r="J27" s="11"/>
      <c r="K27" s="11"/>
      <c r="L27" s="12"/>
      <c r="N27" s="10"/>
      <c r="O27" s="11"/>
      <c r="P27" s="11"/>
      <c r="Q27" s="11"/>
      <c r="R27" s="11"/>
      <c r="S27" s="11"/>
      <c r="T27" s="12"/>
    </row>
    <row r="28" spans="6:20" x14ac:dyDescent="0.25">
      <c r="F28" s="10"/>
      <c r="G28" s="11"/>
      <c r="H28" s="11"/>
      <c r="I28" s="11"/>
      <c r="J28" s="11"/>
      <c r="K28" s="11"/>
      <c r="L28" s="12"/>
      <c r="N28" s="10"/>
      <c r="O28" s="11"/>
      <c r="P28" s="11"/>
      <c r="Q28" s="11"/>
      <c r="R28" s="11"/>
      <c r="S28" s="11"/>
      <c r="T28" s="12"/>
    </row>
    <row r="29" spans="6:20" x14ac:dyDescent="0.25">
      <c r="F29" s="10"/>
      <c r="G29" s="11"/>
      <c r="H29" s="11"/>
      <c r="I29" s="11"/>
      <c r="J29" s="11"/>
      <c r="K29" s="11"/>
      <c r="L29" s="12"/>
      <c r="N29" s="10"/>
      <c r="O29" s="11"/>
      <c r="P29" s="11"/>
      <c r="Q29" s="11"/>
      <c r="R29" s="11"/>
      <c r="S29" s="11"/>
      <c r="T29" s="12"/>
    </row>
    <row r="30" spans="6:20" x14ac:dyDescent="0.25">
      <c r="F30" s="10"/>
      <c r="G30" s="11"/>
      <c r="H30" s="11"/>
      <c r="I30" s="11"/>
      <c r="J30" s="11"/>
      <c r="K30" s="11"/>
      <c r="L30" s="12"/>
      <c r="N30" s="10"/>
      <c r="O30" s="11"/>
      <c r="P30" s="11"/>
      <c r="Q30" s="11"/>
      <c r="R30" s="11"/>
      <c r="S30" s="11"/>
      <c r="T30" s="12"/>
    </row>
    <row r="31" spans="6:20" x14ac:dyDescent="0.25">
      <c r="F31" s="10"/>
      <c r="G31" s="11"/>
      <c r="H31" s="11"/>
      <c r="I31" s="11"/>
      <c r="J31" s="11"/>
      <c r="K31" s="11"/>
      <c r="L31" s="12"/>
      <c r="N31" s="10"/>
      <c r="O31" s="11"/>
      <c r="P31" s="11"/>
      <c r="Q31" s="11"/>
      <c r="R31" s="11"/>
      <c r="S31" s="11"/>
      <c r="T31" s="12"/>
    </row>
    <row r="32" spans="6:20" ht="18" customHeight="1" x14ac:dyDescent="0.3">
      <c r="F32" s="13" t="s">
        <v>13</v>
      </c>
      <c r="G32" s="14"/>
      <c r="H32" s="14"/>
      <c r="I32" s="14"/>
      <c r="J32" s="14"/>
      <c r="K32" s="14"/>
      <c r="L32" s="15"/>
      <c r="N32" s="13" t="s">
        <v>13</v>
      </c>
      <c r="O32" s="14"/>
      <c r="P32" s="14"/>
      <c r="Q32" s="14"/>
      <c r="R32" s="14"/>
      <c r="S32" s="14"/>
      <c r="T32" s="15"/>
    </row>
    <row r="34" spans="6:12" x14ac:dyDescent="0.25">
      <c r="F34" s="7"/>
      <c r="G34" s="8"/>
      <c r="H34" s="8"/>
      <c r="I34" s="8"/>
      <c r="J34" s="8"/>
      <c r="K34" s="8"/>
      <c r="L34" s="9"/>
    </row>
    <row r="35" spans="6:12" x14ac:dyDescent="0.25">
      <c r="F35" s="10"/>
      <c r="G35" s="11"/>
      <c r="H35" s="11"/>
      <c r="I35" s="11"/>
      <c r="J35" s="11"/>
      <c r="K35" s="11"/>
      <c r="L35" s="12"/>
    </row>
    <row r="36" spans="6:12" x14ac:dyDescent="0.25">
      <c r="F36" s="10"/>
      <c r="G36" s="11"/>
      <c r="H36" s="11"/>
      <c r="I36" s="11"/>
      <c r="J36" s="11"/>
      <c r="K36" s="11"/>
      <c r="L36" s="12"/>
    </row>
    <row r="37" spans="6:12" x14ac:dyDescent="0.25">
      <c r="F37" s="10"/>
      <c r="G37" s="11"/>
      <c r="H37" s="11"/>
      <c r="I37" s="11"/>
      <c r="J37" s="11"/>
      <c r="K37" s="11"/>
      <c r="L37" s="12"/>
    </row>
    <row r="38" spans="6:12" x14ac:dyDescent="0.25">
      <c r="F38" s="10"/>
      <c r="G38" s="11"/>
      <c r="H38" s="11"/>
      <c r="I38" s="11"/>
      <c r="J38" s="11"/>
      <c r="K38" s="11"/>
      <c r="L38" s="12"/>
    </row>
    <row r="39" spans="6:12" x14ac:dyDescent="0.25">
      <c r="F39" s="10"/>
      <c r="G39" s="11"/>
      <c r="H39" s="11"/>
      <c r="I39" s="11"/>
      <c r="J39" s="11"/>
      <c r="K39" s="11"/>
      <c r="L39" s="12"/>
    </row>
    <row r="40" spans="6:12" x14ac:dyDescent="0.25">
      <c r="F40" s="10"/>
      <c r="G40" s="11"/>
      <c r="H40" s="11"/>
      <c r="I40" s="11"/>
      <c r="J40" s="11"/>
      <c r="K40" s="11"/>
      <c r="L40" s="12"/>
    </row>
    <row r="41" spans="6:12" x14ac:dyDescent="0.25">
      <c r="F41" s="10"/>
      <c r="G41" s="11"/>
      <c r="H41" s="11"/>
      <c r="I41" s="11"/>
      <c r="J41" s="11"/>
      <c r="K41" s="11"/>
      <c r="L41" s="12"/>
    </row>
    <row r="42" spans="6:12" x14ac:dyDescent="0.25">
      <c r="F42" s="10"/>
      <c r="G42" s="11"/>
      <c r="H42" s="11"/>
      <c r="I42" s="11"/>
      <c r="J42" s="11"/>
      <c r="K42" s="11"/>
      <c r="L42" s="12"/>
    </row>
    <row r="43" spans="6:12" x14ac:dyDescent="0.25">
      <c r="F43" s="10"/>
      <c r="G43" s="11"/>
      <c r="H43" s="11"/>
      <c r="I43" s="11"/>
      <c r="J43" s="11"/>
      <c r="K43" s="11"/>
      <c r="L43" s="12"/>
    </row>
    <row r="44" spans="6:12" x14ac:dyDescent="0.25">
      <c r="F44" s="10"/>
      <c r="G44" s="11"/>
      <c r="H44" s="11"/>
      <c r="I44" s="11"/>
      <c r="J44" s="11"/>
      <c r="K44" s="11"/>
      <c r="L44" s="12"/>
    </row>
    <row r="45" spans="6:12" x14ac:dyDescent="0.25">
      <c r="F45" s="10"/>
      <c r="G45" s="11"/>
      <c r="H45" s="11"/>
      <c r="I45" s="11"/>
      <c r="J45" s="11"/>
      <c r="K45" s="11"/>
      <c r="L45" s="12"/>
    </row>
    <row r="46" spans="6:12" x14ac:dyDescent="0.25">
      <c r="F46" s="10"/>
      <c r="G46" s="11"/>
      <c r="H46" s="11"/>
      <c r="I46" s="11"/>
      <c r="J46" s="11"/>
      <c r="K46" s="11"/>
      <c r="L46" s="12"/>
    </row>
    <row r="47" spans="6:12" x14ac:dyDescent="0.25">
      <c r="F47" s="10"/>
      <c r="G47" s="11"/>
      <c r="H47" s="11"/>
      <c r="I47" s="11"/>
      <c r="J47" s="11"/>
      <c r="K47" s="11"/>
      <c r="L47" s="12"/>
    </row>
    <row r="48" spans="6:12" x14ac:dyDescent="0.25">
      <c r="F48" s="10"/>
      <c r="G48" s="11"/>
      <c r="H48" s="11"/>
      <c r="I48" s="11"/>
      <c r="J48" s="11"/>
      <c r="K48" s="11"/>
      <c r="L48" s="12"/>
    </row>
    <row r="49" spans="6:12" x14ac:dyDescent="0.25">
      <c r="F49" s="10"/>
      <c r="G49" s="11"/>
      <c r="H49" s="11"/>
      <c r="I49" s="11"/>
      <c r="J49" s="11"/>
      <c r="K49" s="11"/>
      <c r="L49" s="12"/>
    </row>
    <row r="50" spans="6:12" x14ac:dyDescent="0.25">
      <c r="F50" s="10"/>
      <c r="G50" s="11"/>
      <c r="H50" s="11"/>
      <c r="I50" s="11"/>
      <c r="J50" s="11"/>
      <c r="K50" s="11"/>
      <c r="L50" s="12"/>
    </row>
    <row r="51" spans="6:12" x14ac:dyDescent="0.25">
      <c r="F51" s="10"/>
      <c r="G51" s="11"/>
      <c r="H51" s="11"/>
      <c r="I51" s="11"/>
      <c r="J51" s="11"/>
      <c r="K51" s="11"/>
      <c r="L51" s="12"/>
    </row>
    <row r="52" spans="6:12" x14ac:dyDescent="0.25">
      <c r="F52" s="10"/>
      <c r="G52" s="11"/>
      <c r="H52" s="11"/>
      <c r="I52" s="11"/>
      <c r="J52" s="11"/>
      <c r="K52" s="11"/>
      <c r="L52" s="12"/>
    </row>
    <row r="53" spans="6:12" x14ac:dyDescent="0.25">
      <c r="F53" s="10"/>
      <c r="G53" s="11"/>
      <c r="H53" s="11"/>
      <c r="I53" s="11"/>
      <c r="J53" s="11"/>
      <c r="K53" s="11"/>
      <c r="L53" s="12"/>
    </row>
    <row r="54" spans="6:12" ht="18" customHeight="1" x14ac:dyDescent="0.3">
      <c r="F54" s="13" t="s">
        <v>13</v>
      </c>
      <c r="G54" s="14"/>
      <c r="H54" s="14"/>
      <c r="I54" s="14"/>
      <c r="J54" s="14"/>
      <c r="K54" s="14"/>
      <c r="L54" s="15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F5A1-AB74-40AC-A200-6D832F9A0804}">
  <dimension ref="A1:O32"/>
  <sheetViews>
    <sheetView showGridLines="0" workbookViewId="0"/>
  </sheetViews>
  <sheetFormatPr defaultColWidth="9" defaultRowHeight="13.2" x14ac:dyDescent="0.25"/>
  <cols>
    <col min="1" max="1" width="2.6640625" style="20" customWidth="1"/>
    <col min="2" max="4" width="9" style="20"/>
    <col min="5" max="5" width="2.6640625" style="26" customWidth="1"/>
    <col min="6" max="7" width="9" style="20"/>
    <col min="8" max="8" width="2.6640625" style="20" customWidth="1"/>
    <col min="9" max="16384" width="9" style="20"/>
  </cols>
  <sheetData>
    <row r="1" spans="1:15" x14ac:dyDescent="0.25">
      <c r="A1" s="2"/>
      <c r="B1" s="2"/>
      <c r="C1" s="2"/>
      <c r="D1" s="2"/>
      <c r="E1" s="11"/>
    </row>
    <row r="2" spans="1:15" x14ac:dyDescent="0.25">
      <c r="A2" s="2"/>
      <c r="B2" s="1" t="s">
        <v>20</v>
      </c>
      <c r="C2" s="2"/>
      <c r="D2" s="2"/>
      <c r="E2" s="11"/>
      <c r="F2" s="20">
        <v>2016</v>
      </c>
    </row>
    <row r="3" spans="1:15" ht="13.8" thickBot="1" x14ac:dyDescent="0.3">
      <c r="A3" s="2"/>
      <c r="B3" s="2"/>
      <c r="C3" s="21">
        <v>2017</v>
      </c>
      <c r="D3" s="21">
        <v>2016</v>
      </c>
      <c r="E3" s="40"/>
      <c r="F3" s="20" t="s">
        <v>17</v>
      </c>
      <c r="G3" s="20" t="s">
        <v>18</v>
      </c>
    </row>
    <row r="4" spans="1:15" x14ac:dyDescent="0.25">
      <c r="A4" s="2"/>
      <c r="B4" s="31" t="s">
        <v>0</v>
      </c>
      <c r="C4" s="32">
        <v>90</v>
      </c>
      <c r="D4" s="32">
        <v>80</v>
      </c>
      <c r="E4" s="41"/>
      <c r="F4" s="37">
        <v>0.5</v>
      </c>
      <c r="G4" s="37">
        <v>80</v>
      </c>
      <c r="H4" s="26"/>
    </row>
    <row r="5" spans="1:15" x14ac:dyDescent="0.25">
      <c r="A5" s="2"/>
      <c r="B5" s="33" t="s">
        <v>1</v>
      </c>
      <c r="C5" s="34">
        <v>45</v>
      </c>
      <c r="D5" s="34">
        <v>40</v>
      </c>
      <c r="E5" s="41"/>
      <c r="F5" s="38">
        <v>1.5</v>
      </c>
      <c r="G5" s="38">
        <v>80</v>
      </c>
      <c r="H5" s="26"/>
    </row>
    <row r="6" spans="1:15" x14ac:dyDescent="0.25">
      <c r="A6" s="2"/>
      <c r="B6" s="33" t="s">
        <v>2</v>
      </c>
      <c r="C6" s="34">
        <v>60</v>
      </c>
      <c r="D6" s="34">
        <v>50</v>
      </c>
      <c r="E6" s="41"/>
      <c r="F6" s="38">
        <v>1.5</v>
      </c>
      <c r="G6" s="38">
        <v>40</v>
      </c>
      <c r="H6" s="26"/>
    </row>
    <row r="7" spans="1:15" x14ac:dyDescent="0.25">
      <c r="A7" s="2"/>
      <c r="B7" s="33" t="s">
        <v>3</v>
      </c>
      <c r="C7" s="34">
        <v>60</v>
      </c>
      <c r="D7" s="34">
        <v>55</v>
      </c>
      <c r="E7" s="41"/>
      <c r="F7" s="38">
        <v>2.5</v>
      </c>
      <c r="G7" s="38">
        <v>40</v>
      </c>
      <c r="H7" s="26"/>
    </row>
    <row r="8" spans="1:15" x14ac:dyDescent="0.25">
      <c r="A8" s="2"/>
      <c r="B8" s="33" t="s">
        <v>4</v>
      </c>
      <c r="C8" s="34">
        <v>60</v>
      </c>
      <c r="D8" s="34">
        <v>52</v>
      </c>
      <c r="E8" s="41"/>
      <c r="F8" s="38">
        <v>2.5</v>
      </c>
      <c r="G8" s="38">
        <v>50</v>
      </c>
      <c r="H8" s="26"/>
    </row>
    <row r="9" spans="1:15" x14ac:dyDescent="0.25">
      <c r="A9" s="2"/>
      <c r="B9" s="33" t="s">
        <v>5</v>
      </c>
      <c r="C9" s="34">
        <v>70</v>
      </c>
      <c r="D9" s="34">
        <v>60</v>
      </c>
      <c r="E9" s="41"/>
      <c r="F9" s="38">
        <v>3.5</v>
      </c>
      <c r="G9" s="38">
        <v>50</v>
      </c>
      <c r="H9" s="26"/>
    </row>
    <row r="10" spans="1:15" x14ac:dyDescent="0.25">
      <c r="A10" s="2"/>
      <c r="B10" s="33" t="s">
        <v>6</v>
      </c>
      <c r="C10" s="34">
        <v>75</v>
      </c>
      <c r="D10" s="34">
        <v>65</v>
      </c>
      <c r="E10" s="41"/>
      <c r="F10" s="38">
        <v>3.5</v>
      </c>
      <c r="G10" s="38">
        <v>55</v>
      </c>
      <c r="H10" s="26"/>
    </row>
    <row r="11" spans="1:15" x14ac:dyDescent="0.25">
      <c r="A11" s="2"/>
      <c r="B11" s="33" t="s">
        <v>7</v>
      </c>
      <c r="C11" s="34">
        <v>80</v>
      </c>
      <c r="D11" s="34">
        <v>70</v>
      </c>
      <c r="E11" s="41"/>
      <c r="F11" s="38">
        <v>4.5</v>
      </c>
      <c r="G11" s="38">
        <v>55</v>
      </c>
      <c r="H11" s="26"/>
    </row>
    <row r="12" spans="1:15" x14ac:dyDescent="0.25">
      <c r="A12" s="2"/>
      <c r="B12" s="33" t="s">
        <v>8</v>
      </c>
      <c r="C12" s="34">
        <v>80</v>
      </c>
      <c r="D12" s="34">
        <v>75</v>
      </c>
      <c r="E12" s="41"/>
      <c r="F12" s="38">
        <v>4.5</v>
      </c>
      <c r="G12" s="38">
        <v>52</v>
      </c>
      <c r="H12" s="26"/>
    </row>
    <row r="13" spans="1:15" ht="13.8" thickBot="1" x14ac:dyDescent="0.3">
      <c r="A13" s="2"/>
      <c r="B13" s="35" t="s">
        <v>9</v>
      </c>
      <c r="C13" s="36">
        <v>90</v>
      </c>
      <c r="D13" s="36">
        <v>80</v>
      </c>
      <c r="E13" s="41"/>
      <c r="F13" s="38">
        <v>5.5</v>
      </c>
      <c r="G13" s="38">
        <v>52</v>
      </c>
      <c r="H13" s="26"/>
      <c r="I13" s="22"/>
      <c r="J13" s="23"/>
      <c r="K13" s="23"/>
      <c r="L13" s="23"/>
      <c r="M13" s="23"/>
      <c r="N13" s="23"/>
      <c r="O13" s="24"/>
    </row>
    <row r="14" spans="1:15" x14ac:dyDescent="0.25">
      <c r="F14" s="38">
        <v>5.5</v>
      </c>
      <c r="G14" s="38">
        <v>60</v>
      </c>
      <c r="H14" s="26"/>
      <c r="I14" s="25"/>
      <c r="J14" s="26"/>
      <c r="K14" s="26"/>
      <c r="L14" s="26"/>
      <c r="M14" s="26"/>
      <c r="N14" s="26"/>
      <c r="O14" s="27"/>
    </row>
    <row r="15" spans="1:15" x14ac:dyDescent="0.25">
      <c r="F15" s="38">
        <v>6.5</v>
      </c>
      <c r="G15" s="38">
        <v>60</v>
      </c>
      <c r="H15" s="26"/>
      <c r="I15" s="25"/>
      <c r="J15" s="26"/>
      <c r="K15" s="26"/>
      <c r="L15" s="26"/>
      <c r="M15" s="26"/>
      <c r="N15" s="26"/>
      <c r="O15" s="27"/>
    </row>
    <row r="16" spans="1:15" x14ac:dyDescent="0.25">
      <c r="F16" s="38">
        <v>6.5</v>
      </c>
      <c r="G16" s="38">
        <v>65</v>
      </c>
      <c r="H16" s="26"/>
      <c r="I16" s="25"/>
      <c r="J16" s="26"/>
      <c r="K16" s="26"/>
      <c r="L16" s="26"/>
      <c r="M16" s="26"/>
      <c r="N16" s="26"/>
      <c r="O16" s="27"/>
    </row>
    <row r="17" spans="6:15" x14ac:dyDescent="0.25">
      <c r="F17" s="38">
        <v>7.5</v>
      </c>
      <c r="G17" s="38">
        <v>65</v>
      </c>
      <c r="H17" s="26"/>
      <c r="I17" s="25"/>
      <c r="J17" s="26"/>
      <c r="K17" s="26"/>
      <c r="L17" s="26"/>
      <c r="M17" s="26"/>
      <c r="N17" s="26"/>
      <c r="O17" s="27"/>
    </row>
    <row r="18" spans="6:15" x14ac:dyDescent="0.25">
      <c r="F18" s="38">
        <v>7.5</v>
      </c>
      <c r="G18" s="38">
        <v>70</v>
      </c>
      <c r="H18" s="26"/>
      <c r="I18" s="25"/>
      <c r="J18" s="26"/>
      <c r="K18" s="26"/>
      <c r="L18" s="26"/>
      <c r="M18" s="26"/>
      <c r="N18" s="26"/>
      <c r="O18" s="27"/>
    </row>
    <row r="19" spans="6:15" x14ac:dyDescent="0.25">
      <c r="F19" s="38">
        <v>8.5</v>
      </c>
      <c r="G19" s="38">
        <v>70</v>
      </c>
      <c r="H19" s="26"/>
      <c r="I19" s="25"/>
      <c r="J19" s="26"/>
      <c r="K19" s="26"/>
      <c r="L19" s="26"/>
      <c r="M19" s="26"/>
      <c r="N19" s="26"/>
      <c r="O19" s="27"/>
    </row>
    <row r="20" spans="6:15" x14ac:dyDescent="0.25">
      <c r="F20" s="38">
        <v>8.5</v>
      </c>
      <c r="G20" s="38">
        <v>75</v>
      </c>
      <c r="H20" s="26"/>
      <c r="I20" s="25"/>
      <c r="J20" s="26"/>
      <c r="K20" s="26"/>
      <c r="L20" s="26"/>
      <c r="M20" s="26"/>
      <c r="N20" s="26"/>
      <c r="O20" s="27"/>
    </row>
    <row r="21" spans="6:15" x14ac:dyDescent="0.25">
      <c r="F21" s="38">
        <v>9.5</v>
      </c>
      <c r="G21" s="38">
        <v>75</v>
      </c>
      <c r="H21" s="26"/>
      <c r="I21" s="25"/>
      <c r="J21" s="26"/>
      <c r="K21" s="26"/>
      <c r="L21" s="26"/>
      <c r="M21" s="26"/>
      <c r="N21" s="26"/>
      <c r="O21" s="27"/>
    </row>
    <row r="22" spans="6:15" x14ac:dyDescent="0.25">
      <c r="F22" s="38">
        <v>9.5</v>
      </c>
      <c r="G22" s="38">
        <v>80</v>
      </c>
      <c r="H22" s="26"/>
      <c r="I22" s="25"/>
      <c r="J22" s="26"/>
      <c r="K22" s="26"/>
      <c r="L22" s="26"/>
      <c r="M22" s="26"/>
      <c r="N22" s="26"/>
      <c r="O22" s="27"/>
    </row>
    <row r="23" spans="6:15" ht="13.8" thickBot="1" x14ac:dyDescent="0.3">
      <c r="F23" s="39">
        <v>10.5</v>
      </c>
      <c r="G23" s="39">
        <v>80</v>
      </c>
      <c r="H23" s="26"/>
      <c r="I23" s="25"/>
      <c r="J23" s="26"/>
      <c r="K23" s="26"/>
      <c r="L23" s="26"/>
      <c r="M23" s="26"/>
      <c r="N23" s="26"/>
      <c r="O23" s="27"/>
    </row>
    <row r="24" spans="6:15" x14ac:dyDescent="0.25">
      <c r="I24" s="25"/>
      <c r="J24" s="26"/>
      <c r="K24" s="26"/>
      <c r="L24" s="26"/>
      <c r="M24" s="26"/>
      <c r="N24" s="26"/>
      <c r="O24" s="27"/>
    </row>
    <row r="25" spans="6:15" x14ac:dyDescent="0.25">
      <c r="I25" s="25"/>
      <c r="J25" s="26"/>
      <c r="K25" s="26"/>
      <c r="L25" s="26"/>
      <c r="M25" s="26"/>
      <c r="N25" s="26"/>
      <c r="O25" s="27"/>
    </row>
    <row r="26" spans="6:15" x14ac:dyDescent="0.25">
      <c r="I26" s="25"/>
      <c r="J26" s="26"/>
      <c r="K26" s="26"/>
      <c r="L26" s="26"/>
      <c r="M26" s="26"/>
      <c r="N26" s="26"/>
      <c r="O26" s="27"/>
    </row>
    <row r="27" spans="6:15" x14ac:dyDescent="0.25">
      <c r="I27" s="25"/>
      <c r="J27" s="26"/>
      <c r="K27" s="26"/>
      <c r="L27" s="26"/>
      <c r="M27" s="26"/>
      <c r="N27" s="26"/>
      <c r="O27" s="27"/>
    </row>
    <row r="28" spans="6:15" x14ac:dyDescent="0.25">
      <c r="I28" s="25"/>
      <c r="J28" s="26"/>
      <c r="K28" s="26"/>
      <c r="L28" s="26"/>
      <c r="M28" s="26"/>
      <c r="N28" s="26"/>
      <c r="O28" s="27"/>
    </row>
    <row r="29" spans="6:15" x14ac:dyDescent="0.25">
      <c r="I29" s="25"/>
      <c r="J29" s="26"/>
      <c r="K29" s="26"/>
      <c r="L29" s="26"/>
      <c r="M29" s="26"/>
      <c r="N29" s="26"/>
      <c r="O29" s="27"/>
    </row>
    <row r="30" spans="6:15" x14ac:dyDescent="0.25">
      <c r="I30" s="25"/>
      <c r="J30" s="26"/>
      <c r="K30" s="26"/>
      <c r="L30" s="26"/>
      <c r="M30" s="26"/>
      <c r="N30" s="26"/>
      <c r="O30" s="27"/>
    </row>
    <row r="31" spans="6:15" x14ac:dyDescent="0.25">
      <c r="I31" s="25"/>
      <c r="J31" s="26"/>
      <c r="K31" s="26"/>
      <c r="L31" s="26"/>
      <c r="M31" s="26"/>
      <c r="N31" s="26"/>
      <c r="O31" s="27"/>
    </row>
    <row r="32" spans="6:15" x14ac:dyDescent="0.25">
      <c r="I32" s="28" t="s">
        <v>19</v>
      </c>
      <c r="J32" s="29"/>
      <c r="K32" s="29"/>
      <c r="L32" s="29"/>
      <c r="M32" s="29"/>
      <c r="N32" s="29"/>
      <c r="O32" s="30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8131B-401A-4B13-BD4E-5B3CD3C505FF}">
  <dimension ref="B2:P38"/>
  <sheetViews>
    <sheetView showGridLines="0" workbookViewId="0"/>
  </sheetViews>
  <sheetFormatPr defaultColWidth="9" defaultRowHeight="13.2" x14ac:dyDescent="0.25"/>
  <cols>
    <col min="1" max="1" width="2.6640625" style="1" customWidth="1"/>
    <col min="2" max="4" width="9" style="1"/>
    <col min="5" max="5" width="9" style="21"/>
    <col min="6" max="16384" width="9" style="1"/>
  </cols>
  <sheetData>
    <row r="2" spans="2:16" x14ac:dyDescent="0.25">
      <c r="B2" s="1" t="s">
        <v>21</v>
      </c>
      <c r="N2" s="1" t="s">
        <v>16</v>
      </c>
    </row>
    <row r="3" spans="2:16" ht="13.8" thickBot="1" x14ac:dyDescent="0.3">
      <c r="C3" s="21" t="s">
        <v>35</v>
      </c>
      <c r="D3" s="21" t="s">
        <v>34</v>
      </c>
      <c r="E3" s="21" t="s">
        <v>32</v>
      </c>
      <c r="N3" s="21" t="s">
        <v>17</v>
      </c>
      <c r="O3" s="21" t="s">
        <v>18</v>
      </c>
    </row>
    <row r="4" spans="2:16" x14ac:dyDescent="0.25">
      <c r="B4" s="42"/>
      <c r="C4" s="43"/>
      <c r="D4" s="43"/>
      <c r="E4" s="43"/>
      <c r="N4" s="43" t="s">
        <v>33</v>
      </c>
      <c r="O4" s="43">
        <v>17</v>
      </c>
      <c r="P4" s="43" t="s">
        <v>22</v>
      </c>
    </row>
    <row r="5" spans="2:16" ht="13.8" thickBot="1" x14ac:dyDescent="0.3">
      <c r="B5" s="44"/>
      <c r="C5" s="45"/>
      <c r="D5" s="45"/>
      <c r="E5" s="45"/>
      <c r="N5" s="48" t="s">
        <v>33</v>
      </c>
      <c r="O5" s="48">
        <v>-19</v>
      </c>
      <c r="P5" s="48" t="s">
        <v>23</v>
      </c>
    </row>
    <row r="6" spans="2:16" x14ac:dyDescent="0.25">
      <c r="B6" s="46" t="s">
        <v>24</v>
      </c>
      <c r="C6" s="45">
        <v>1</v>
      </c>
      <c r="D6" s="45">
        <v>-3</v>
      </c>
      <c r="E6" s="45">
        <f t="shared" ref="E6:E37" si="0">C6+D6</f>
        <v>-2</v>
      </c>
    </row>
    <row r="7" spans="2:16" x14ac:dyDescent="0.25">
      <c r="B7" s="44"/>
      <c r="C7" s="45">
        <v>2</v>
      </c>
      <c r="D7" s="45">
        <v>-5</v>
      </c>
      <c r="E7" s="45">
        <f t="shared" si="0"/>
        <v>-3</v>
      </c>
    </row>
    <row r="8" spans="2:16" x14ac:dyDescent="0.25">
      <c r="B8" s="44"/>
      <c r="C8" s="45">
        <v>3</v>
      </c>
      <c r="D8" s="45">
        <v>-7</v>
      </c>
      <c r="E8" s="45">
        <f t="shared" si="0"/>
        <v>-4</v>
      </c>
    </row>
    <row r="9" spans="2:16" x14ac:dyDescent="0.25">
      <c r="B9" s="44"/>
      <c r="C9" s="45">
        <v>4</v>
      </c>
      <c r="D9" s="45">
        <v>-10</v>
      </c>
      <c r="E9" s="45">
        <f t="shared" si="0"/>
        <v>-6</v>
      </c>
    </row>
    <row r="10" spans="2:16" x14ac:dyDescent="0.25">
      <c r="B10" s="44"/>
      <c r="C10" s="45">
        <v>5</v>
      </c>
      <c r="D10" s="45">
        <v>-15</v>
      </c>
      <c r="E10" s="45">
        <f t="shared" si="0"/>
        <v>-10</v>
      </c>
    </row>
    <row r="11" spans="2:16" x14ac:dyDescent="0.25">
      <c r="B11" s="46" t="s">
        <v>25</v>
      </c>
      <c r="C11" s="45">
        <v>6</v>
      </c>
      <c r="D11" s="45">
        <v>-20</v>
      </c>
      <c r="E11" s="45">
        <f t="shared" si="0"/>
        <v>-14</v>
      </c>
    </row>
    <row r="12" spans="2:16" x14ac:dyDescent="0.25">
      <c r="B12" s="44"/>
      <c r="C12" s="45">
        <v>7</v>
      </c>
      <c r="D12" s="45">
        <v>-26</v>
      </c>
      <c r="E12" s="45">
        <f t="shared" si="0"/>
        <v>-19</v>
      </c>
    </row>
    <row r="13" spans="2:16" x14ac:dyDescent="0.25">
      <c r="B13" s="44"/>
      <c r="C13" s="45">
        <v>8</v>
      </c>
      <c r="D13" s="45">
        <v>-35</v>
      </c>
      <c r="E13" s="45">
        <f t="shared" si="0"/>
        <v>-27</v>
      </c>
    </row>
    <row r="14" spans="2:16" x14ac:dyDescent="0.25">
      <c r="B14" s="44"/>
      <c r="C14" s="45">
        <v>10</v>
      </c>
      <c r="D14" s="45">
        <v>-40</v>
      </c>
      <c r="E14" s="45">
        <f t="shared" si="0"/>
        <v>-30</v>
      </c>
    </row>
    <row r="15" spans="2:16" x14ac:dyDescent="0.25">
      <c r="B15" s="44"/>
      <c r="C15" s="45">
        <v>11</v>
      </c>
      <c r="D15" s="45">
        <v>-45</v>
      </c>
      <c r="E15" s="45">
        <f t="shared" si="0"/>
        <v>-34</v>
      </c>
    </row>
    <row r="16" spans="2:16" x14ac:dyDescent="0.25">
      <c r="B16" s="46" t="s">
        <v>26</v>
      </c>
      <c r="C16" s="45">
        <v>12</v>
      </c>
      <c r="D16" s="45">
        <v>-60</v>
      </c>
      <c r="E16" s="45">
        <f t="shared" si="0"/>
        <v>-48</v>
      </c>
    </row>
    <row r="17" spans="2:5" x14ac:dyDescent="0.25">
      <c r="B17" s="44"/>
      <c r="C17" s="45">
        <v>14</v>
      </c>
      <c r="D17" s="45">
        <v>-68</v>
      </c>
      <c r="E17" s="45">
        <f t="shared" si="0"/>
        <v>-54</v>
      </c>
    </row>
    <row r="18" spans="2:5" x14ac:dyDescent="0.25">
      <c r="B18" s="44"/>
      <c r="C18" s="45">
        <v>18</v>
      </c>
      <c r="D18" s="45">
        <v>-77</v>
      </c>
      <c r="E18" s="45">
        <f t="shared" si="0"/>
        <v>-59</v>
      </c>
    </row>
    <row r="19" spans="2:5" x14ac:dyDescent="0.25">
      <c r="B19" s="44"/>
      <c r="C19" s="45">
        <v>20</v>
      </c>
      <c r="D19" s="45">
        <v>-90</v>
      </c>
      <c r="E19" s="45">
        <f t="shared" si="0"/>
        <v>-70</v>
      </c>
    </row>
    <row r="20" spans="2:5" x14ac:dyDescent="0.25">
      <c r="B20" s="44"/>
      <c r="C20" s="45">
        <v>24</v>
      </c>
      <c r="D20" s="45">
        <v>-98</v>
      </c>
      <c r="E20" s="45">
        <f t="shared" si="0"/>
        <v>-74</v>
      </c>
    </row>
    <row r="21" spans="2:5" x14ac:dyDescent="0.25">
      <c r="B21" s="46" t="s">
        <v>28</v>
      </c>
      <c r="C21" s="45">
        <v>28</v>
      </c>
      <c r="D21" s="45">
        <v>-102</v>
      </c>
      <c r="E21" s="45">
        <f t="shared" si="0"/>
        <v>-74</v>
      </c>
    </row>
    <row r="22" spans="2:5" x14ac:dyDescent="0.25">
      <c r="B22" s="44"/>
      <c r="C22" s="45">
        <v>30</v>
      </c>
      <c r="D22" s="45">
        <v>-128</v>
      </c>
      <c r="E22" s="45">
        <f t="shared" si="0"/>
        <v>-98</v>
      </c>
    </row>
    <row r="23" spans="2:5" x14ac:dyDescent="0.25">
      <c r="B23" s="44"/>
      <c r="C23" s="45">
        <v>38</v>
      </c>
      <c r="D23" s="45">
        <v>-154</v>
      </c>
      <c r="E23" s="45">
        <f t="shared" si="0"/>
        <v>-116</v>
      </c>
    </row>
    <row r="24" spans="2:5" x14ac:dyDescent="0.25">
      <c r="B24" s="44"/>
      <c r="C24" s="45">
        <v>46</v>
      </c>
      <c r="D24" s="45">
        <v>-172</v>
      </c>
      <c r="E24" s="45">
        <f t="shared" si="0"/>
        <v>-126</v>
      </c>
    </row>
    <row r="25" spans="2:5" x14ac:dyDescent="0.25">
      <c r="B25" s="44"/>
      <c r="C25" s="45">
        <v>48</v>
      </c>
      <c r="D25" s="45">
        <v>-198</v>
      </c>
      <c r="E25" s="45">
        <f t="shared" si="0"/>
        <v>-150</v>
      </c>
    </row>
    <row r="26" spans="2:5" x14ac:dyDescent="0.25">
      <c r="B26" s="46" t="s">
        <v>29</v>
      </c>
      <c r="C26" s="45">
        <v>55</v>
      </c>
      <c r="D26" s="45">
        <v>-230</v>
      </c>
      <c r="E26" s="45">
        <f t="shared" si="0"/>
        <v>-175</v>
      </c>
    </row>
    <row r="27" spans="2:5" x14ac:dyDescent="0.25">
      <c r="B27" s="44"/>
      <c r="C27" s="45">
        <v>60</v>
      </c>
      <c r="D27" s="45">
        <v>-282</v>
      </c>
      <c r="E27" s="45">
        <f t="shared" si="0"/>
        <v>-222</v>
      </c>
    </row>
    <row r="28" spans="2:5" x14ac:dyDescent="0.25">
      <c r="B28" s="44"/>
      <c r="C28" s="45">
        <v>72</v>
      </c>
      <c r="D28" s="45">
        <v>-320</v>
      </c>
      <c r="E28" s="45">
        <f t="shared" si="0"/>
        <v>-248</v>
      </c>
    </row>
    <row r="29" spans="2:5" x14ac:dyDescent="0.25">
      <c r="B29" s="44"/>
      <c r="C29" s="45">
        <v>80</v>
      </c>
      <c r="D29" s="45">
        <v>-350</v>
      </c>
      <c r="E29" s="45">
        <f t="shared" si="0"/>
        <v>-270</v>
      </c>
    </row>
    <row r="30" spans="2:5" x14ac:dyDescent="0.25">
      <c r="B30" s="44"/>
      <c r="C30" s="45">
        <v>90</v>
      </c>
      <c r="D30" s="45">
        <v>-296</v>
      </c>
      <c r="E30" s="45">
        <f t="shared" si="0"/>
        <v>-206</v>
      </c>
    </row>
    <row r="31" spans="2:5" x14ac:dyDescent="0.25">
      <c r="B31" s="46" t="s">
        <v>30</v>
      </c>
      <c r="C31" s="45">
        <v>98</v>
      </c>
      <c r="D31" s="45">
        <v>-376</v>
      </c>
      <c r="E31" s="45">
        <f t="shared" si="0"/>
        <v>-278</v>
      </c>
    </row>
    <row r="32" spans="2:5" x14ac:dyDescent="0.25">
      <c r="B32" s="44"/>
      <c r="C32" s="45">
        <v>105</v>
      </c>
      <c r="D32" s="45">
        <v>-399</v>
      </c>
      <c r="E32" s="45">
        <f t="shared" si="0"/>
        <v>-294</v>
      </c>
    </row>
    <row r="33" spans="2:5" x14ac:dyDescent="0.25">
      <c r="B33" s="44"/>
      <c r="C33" s="45">
        <v>110</v>
      </c>
      <c r="D33" s="45">
        <v>-420</v>
      </c>
      <c r="E33" s="45">
        <f t="shared" si="0"/>
        <v>-310</v>
      </c>
    </row>
    <row r="34" spans="2:5" x14ac:dyDescent="0.25">
      <c r="B34" s="44"/>
      <c r="C34" s="45">
        <v>130</v>
      </c>
      <c r="D34" s="45">
        <v>-465</v>
      </c>
      <c r="E34" s="45">
        <f t="shared" si="0"/>
        <v>-335</v>
      </c>
    </row>
    <row r="35" spans="2:5" x14ac:dyDescent="0.25">
      <c r="B35" s="44"/>
      <c r="C35" s="45">
        <v>125</v>
      </c>
      <c r="D35" s="45">
        <v>-480</v>
      </c>
      <c r="E35" s="45">
        <f t="shared" si="0"/>
        <v>-355</v>
      </c>
    </row>
    <row r="36" spans="2:5" x14ac:dyDescent="0.25">
      <c r="B36" s="44"/>
      <c r="C36" s="45">
        <v>120</v>
      </c>
      <c r="D36" s="45">
        <v>-490</v>
      </c>
      <c r="E36" s="45">
        <f t="shared" si="0"/>
        <v>-370</v>
      </c>
    </row>
    <row r="37" spans="2:5" x14ac:dyDescent="0.25">
      <c r="B37" s="46" t="s">
        <v>31</v>
      </c>
      <c r="C37" s="45">
        <v>128</v>
      </c>
      <c r="D37" s="45">
        <v>-470</v>
      </c>
      <c r="E37" s="45">
        <f t="shared" si="0"/>
        <v>-342</v>
      </c>
    </row>
    <row r="38" spans="2:5" ht="13.8" thickBot="1" x14ac:dyDescent="0.3">
      <c r="B38" s="47"/>
      <c r="C38" s="47"/>
      <c r="D38" s="47"/>
      <c r="E38" s="48"/>
    </row>
  </sheetData>
  <phoneticPr fontId="2" type="noConversion"/>
  <pageMargins left="0.7" right="0.7" top="0.75" bottom="0.75" header="0.3" footer="0.3"/>
  <ignoredErrors>
    <ignoredError sqref="B6:B16 B21 B26:B37" numberStoredAsText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0399-9D07-437B-A84D-2102CCDB04EE}">
  <dimension ref="B2:H13"/>
  <sheetViews>
    <sheetView showGridLines="0" workbookViewId="0"/>
  </sheetViews>
  <sheetFormatPr defaultColWidth="9" defaultRowHeight="13.2" x14ac:dyDescent="0.25"/>
  <cols>
    <col min="1" max="1" width="2.6640625" style="1" customWidth="1"/>
    <col min="2" max="2" width="9" style="1"/>
    <col min="3" max="3" width="8.44140625" style="21" bestFit="1" customWidth="1"/>
    <col min="4" max="4" width="2.6640625" style="1" customWidth="1"/>
    <col min="5" max="5" width="4.6640625" style="1" customWidth="1"/>
    <col min="6" max="6" width="9.6640625" style="1" customWidth="1"/>
    <col min="7" max="8" width="9.6640625" style="21" customWidth="1"/>
    <col min="9" max="16384" width="9" style="1"/>
  </cols>
  <sheetData>
    <row r="2" spans="2:8" x14ac:dyDescent="0.25">
      <c r="B2" s="1" t="s">
        <v>47</v>
      </c>
      <c r="F2" s="1" t="s">
        <v>48</v>
      </c>
    </row>
    <row r="3" spans="2:8" ht="13.8" thickBot="1" x14ac:dyDescent="0.3">
      <c r="B3" s="1" t="s">
        <v>36</v>
      </c>
      <c r="C3" s="21" t="s">
        <v>37</v>
      </c>
      <c r="G3" s="21" t="s">
        <v>49</v>
      </c>
      <c r="H3" s="21" t="s">
        <v>50</v>
      </c>
    </row>
    <row r="4" spans="2:8" x14ac:dyDescent="0.25">
      <c r="B4" s="55" t="s">
        <v>39</v>
      </c>
      <c r="C4" s="56">
        <v>9152904.4111999962</v>
      </c>
      <c r="E4" s="42"/>
      <c r="F4" s="42" t="s">
        <v>38</v>
      </c>
      <c r="G4" s="59">
        <v>9152904.4111999962</v>
      </c>
      <c r="H4" s="59"/>
    </row>
    <row r="5" spans="2:8" x14ac:dyDescent="0.25">
      <c r="B5" s="46" t="s">
        <v>41</v>
      </c>
      <c r="C5" s="57">
        <v>10319316.895066665</v>
      </c>
      <c r="E5" s="44"/>
      <c r="F5" s="44" t="s">
        <v>40</v>
      </c>
      <c r="G5" s="60">
        <v>10319316.895066665</v>
      </c>
      <c r="H5" s="60"/>
    </row>
    <row r="6" spans="2:8" x14ac:dyDescent="0.25">
      <c r="B6" s="46" t="s">
        <v>43</v>
      </c>
      <c r="C6" s="57">
        <v>11210248.491200002</v>
      </c>
      <c r="E6" s="44"/>
      <c r="F6" s="44" t="s">
        <v>42</v>
      </c>
      <c r="G6" s="60">
        <v>11210248.491200002</v>
      </c>
      <c r="H6" s="60"/>
    </row>
    <row r="7" spans="2:8" x14ac:dyDescent="0.25">
      <c r="B7" s="46" t="s">
        <v>45</v>
      </c>
      <c r="C7" s="57">
        <v>11077443.696733333</v>
      </c>
      <c r="E7" s="44"/>
      <c r="F7" s="44" t="s">
        <v>44</v>
      </c>
      <c r="G7" s="60">
        <v>11077443.696733333</v>
      </c>
      <c r="H7" s="60"/>
    </row>
    <row r="8" spans="2:8" x14ac:dyDescent="0.25">
      <c r="B8" s="44" t="s">
        <v>46</v>
      </c>
      <c r="C8" s="57">
        <v>11563284.48</v>
      </c>
      <c r="E8" s="44"/>
      <c r="F8" s="44"/>
      <c r="G8" s="45"/>
      <c r="H8" s="45"/>
    </row>
    <row r="9" spans="2:8" x14ac:dyDescent="0.25">
      <c r="B9" s="44" t="s">
        <v>1</v>
      </c>
      <c r="C9" s="57">
        <v>12854592.854399996</v>
      </c>
      <c r="E9" s="44" t="s">
        <v>51</v>
      </c>
      <c r="F9" s="44" t="s">
        <v>15</v>
      </c>
      <c r="G9" s="60"/>
      <c r="H9" s="60">
        <v>11563284.48</v>
      </c>
    </row>
    <row r="10" spans="2:8" x14ac:dyDescent="0.25">
      <c r="B10" s="44" t="s">
        <v>2</v>
      </c>
      <c r="C10" s="57">
        <v>14114188.378400004</v>
      </c>
      <c r="E10" s="44"/>
      <c r="F10" s="44" t="s">
        <v>1</v>
      </c>
      <c r="G10" s="60"/>
      <c r="H10" s="60">
        <v>12854592.854399996</v>
      </c>
    </row>
    <row r="11" spans="2:8" x14ac:dyDescent="0.25">
      <c r="B11" s="44" t="s">
        <v>3</v>
      </c>
      <c r="C11" s="57">
        <v>13799170.651200006</v>
      </c>
      <c r="E11" s="44"/>
      <c r="F11" s="44" t="s">
        <v>2</v>
      </c>
      <c r="G11" s="60"/>
      <c r="H11" s="60">
        <v>14114188.378400004</v>
      </c>
    </row>
    <row r="12" spans="2:8" ht="13.8" thickBot="1" x14ac:dyDescent="0.3">
      <c r="B12" s="47" t="s">
        <v>4</v>
      </c>
      <c r="C12" s="58">
        <v>12929506.435999999</v>
      </c>
      <c r="E12" s="44"/>
      <c r="F12" s="44" t="s">
        <v>3</v>
      </c>
      <c r="G12" s="60"/>
      <c r="H12" s="60">
        <v>13799170.651200006</v>
      </c>
    </row>
    <row r="13" spans="2:8" ht="13.8" thickBot="1" x14ac:dyDescent="0.3">
      <c r="E13" s="47"/>
      <c r="F13" s="47" t="s">
        <v>4</v>
      </c>
      <c r="G13" s="61"/>
      <c r="H13" s="61">
        <v>12929506.435999999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B4:B7 F4:F7 E9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FB47-D6B6-48DC-96EE-C797EED15BB3}">
  <dimension ref="B2:E22"/>
  <sheetViews>
    <sheetView showGridLines="0" tabSelected="1" workbookViewId="0"/>
  </sheetViews>
  <sheetFormatPr defaultColWidth="9" defaultRowHeight="13.2" x14ac:dyDescent="0.25"/>
  <cols>
    <col min="1" max="1" width="2.6640625" style="49" customWidth="1"/>
    <col min="2" max="2" width="9" style="49"/>
    <col min="3" max="4" width="9" style="50"/>
    <col min="5" max="5" width="10.44140625" style="50" bestFit="1" customWidth="1"/>
    <col min="6" max="6" width="2.6640625" style="49" customWidth="1"/>
    <col min="7" max="7" width="7.6640625" style="49" customWidth="1"/>
    <col min="8" max="8" width="9" style="49"/>
    <col min="9" max="11" width="10.6640625" style="49" customWidth="1"/>
    <col min="12" max="12" width="9" style="49"/>
    <col min="13" max="13" width="3.6640625" style="49" customWidth="1"/>
    <col min="14" max="14" width="5.6640625" style="49" customWidth="1"/>
    <col min="15" max="16384" width="9" style="49"/>
  </cols>
  <sheetData>
    <row r="2" spans="2:5" x14ac:dyDescent="0.25">
      <c r="B2" s="49" t="s">
        <v>52</v>
      </c>
    </row>
    <row r="3" spans="2:5" ht="13.8" thickBot="1" x14ac:dyDescent="0.3">
      <c r="C3" s="50" t="s">
        <v>53</v>
      </c>
      <c r="D3" s="50" t="s">
        <v>54</v>
      </c>
      <c r="E3" s="50" t="s">
        <v>55</v>
      </c>
    </row>
    <row r="4" spans="2:5" x14ac:dyDescent="0.25">
      <c r="B4" s="62" t="s">
        <v>56</v>
      </c>
      <c r="C4" s="63">
        <v>11444</v>
      </c>
      <c r="D4" s="63">
        <v>13187</v>
      </c>
      <c r="E4" s="64">
        <f>(C4-D4)/C4</f>
        <v>-0.15230688570429921</v>
      </c>
    </row>
    <row r="5" spans="2:5" x14ac:dyDescent="0.25">
      <c r="B5" s="65" t="s">
        <v>27</v>
      </c>
      <c r="C5" s="66">
        <v>13395</v>
      </c>
      <c r="D5" s="66">
        <v>15886</v>
      </c>
      <c r="E5" s="67">
        <f t="shared" ref="E5:E22" si="0">(C5-D5)/C5</f>
        <v>-0.18596491228070175</v>
      </c>
    </row>
    <row r="6" spans="2:5" x14ac:dyDescent="0.25">
      <c r="B6" s="65" t="s">
        <v>57</v>
      </c>
      <c r="C6" s="66">
        <v>16386</v>
      </c>
      <c r="D6" s="66">
        <v>18902</v>
      </c>
      <c r="E6" s="67">
        <f t="shared" si="0"/>
        <v>-0.1535457097522275</v>
      </c>
    </row>
    <row r="7" spans="2:5" x14ac:dyDescent="0.25">
      <c r="B7" s="65" t="s">
        <v>58</v>
      </c>
      <c r="C7" s="66">
        <v>18904</v>
      </c>
      <c r="D7" s="66">
        <v>22053</v>
      </c>
      <c r="E7" s="67">
        <f t="shared" si="0"/>
        <v>-0.16657850190435886</v>
      </c>
    </row>
    <row r="8" spans="2:5" x14ac:dyDescent="0.25">
      <c r="B8" s="65" t="s">
        <v>59</v>
      </c>
      <c r="C8" s="66">
        <v>21715</v>
      </c>
      <c r="D8" s="66">
        <v>24650</v>
      </c>
      <c r="E8" s="67">
        <f t="shared" si="0"/>
        <v>-0.13516002763067003</v>
      </c>
    </row>
    <row r="9" spans="2:5" x14ac:dyDescent="0.25">
      <c r="B9" s="65" t="s">
        <v>60</v>
      </c>
      <c r="C9" s="66">
        <v>26396</v>
      </c>
      <c r="D9" s="66">
        <v>28487</v>
      </c>
      <c r="E9" s="67">
        <f t="shared" si="0"/>
        <v>-7.9216547961812392E-2</v>
      </c>
    </row>
    <row r="10" spans="2:5" x14ac:dyDescent="0.25">
      <c r="B10" s="65" t="s">
        <v>61</v>
      </c>
      <c r="C10" s="66">
        <v>31649</v>
      </c>
      <c r="D10" s="66">
        <v>33930</v>
      </c>
      <c r="E10" s="67">
        <f t="shared" si="0"/>
        <v>-7.2071787418243868E-2</v>
      </c>
    </row>
    <row r="11" spans="2:5" x14ac:dyDescent="0.25">
      <c r="B11" s="65" t="s">
        <v>62</v>
      </c>
      <c r="C11" s="66">
        <v>38760</v>
      </c>
      <c r="D11" s="66">
        <v>40422</v>
      </c>
      <c r="E11" s="67">
        <f t="shared" si="0"/>
        <v>-4.2879256965944273E-2</v>
      </c>
    </row>
    <row r="12" spans="2:5" x14ac:dyDescent="0.25">
      <c r="B12" s="65" t="s">
        <v>63</v>
      </c>
      <c r="C12" s="66">
        <v>51321</v>
      </c>
      <c r="D12" s="66">
        <v>49781</v>
      </c>
      <c r="E12" s="67">
        <f t="shared" si="0"/>
        <v>3.0007209524366245E-2</v>
      </c>
    </row>
    <row r="13" spans="2:5" x14ac:dyDescent="0.25">
      <c r="B13" s="65" t="s">
        <v>64</v>
      </c>
      <c r="C13" s="66">
        <v>61330</v>
      </c>
      <c r="D13" s="66">
        <v>62592</v>
      </c>
      <c r="E13" s="67">
        <f t="shared" si="0"/>
        <v>-2.0577205282895809E-2</v>
      </c>
    </row>
    <row r="14" spans="2:5" x14ac:dyDescent="0.25">
      <c r="B14" s="65" t="s">
        <v>65</v>
      </c>
      <c r="C14" s="66">
        <v>68518</v>
      </c>
      <c r="D14" s="66">
        <v>76299</v>
      </c>
      <c r="E14" s="67">
        <f t="shared" si="0"/>
        <v>-0.11356139992410753</v>
      </c>
    </row>
    <row r="15" spans="2:5" x14ac:dyDescent="0.25">
      <c r="B15" s="65" t="s">
        <v>66</v>
      </c>
      <c r="C15" s="66">
        <v>83101</v>
      </c>
      <c r="D15" s="66">
        <v>89874</v>
      </c>
      <c r="E15" s="67">
        <f t="shared" si="0"/>
        <v>-8.1503231008050445E-2</v>
      </c>
    </row>
    <row r="16" spans="2:5" x14ac:dyDescent="0.25">
      <c r="B16" s="65" t="s">
        <v>67</v>
      </c>
      <c r="C16" s="66">
        <v>103874</v>
      </c>
      <c r="D16" s="66">
        <v>109248</v>
      </c>
      <c r="E16" s="67">
        <f t="shared" si="0"/>
        <v>-5.1735756782255428E-2</v>
      </c>
    </row>
    <row r="17" spans="2:5" x14ac:dyDescent="0.25">
      <c r="B17" s="65" t="s">
        <v>68</v>
      </c>
      <c r="C17" s="66">
        <v>117254</v>
      </c>
      <c r="D17" s="66">
        <v>107188</v>
      </c>
      <c r="E17" s="67">
        <f t="shared" si="0"/>
        <v>8.5847817558462824E-2</v>
      </c>
    </row>
    <row r="18" spans="2:5" x14ac:dyDescent="0.25">
      <c r="B18" s="65" t="s">
        <v>38</v>
      </c>
      <c r="C18" s="66">
        <v>129209</v>
      </c>
      <c r="D18" s="66">
        <v>140212</v>
      </c>
      <c r="E18" s="67">
        <f t="shared" si="0"/>
        <v>-8.5156606737920734E-2</v>
      </c>
    </row>
    <row r="19" spans="2:5" x14ac:dyDescent="0.25">
      <c r="B19" s="65" t="s">
        <v>40</v>
      </c>
      <c r="C19" s="66">
        <v>140370</v>
      </c>
      <c r="D19" s="66">
        <v>151786</v>
      </c>
      <c r="E19" s="67">
        <f t="shared" si="0"/>
        <v>-8.1327919071026572E-2</v>
      </c>
    </row>
    <row r="20" spans="2:5" x14ac:dyDescent="0.25">
      <c r="B20" s="65" t="s">
        <v>42</v>
      </c>
      <c r="C20" s="66">
        <v>152269</v>
      </c>
      <c r="D20" s="66">
        <v>175878</v>
      </c>
      <c r="E20" s="67">
        <f t="shared" si="0"/>
        <v>-0.15504797430862488</v>
      </c>
    </row>
    <row r="21" spans="2:5" x14ac:dyDescent="0.25">
      <c r="B21" s="65" t="s">
        <v>44</v>
      </c>
      <c r="C21" s="66">
        <v>159552</v>
      </c>
      <c r="D21" s="66">
        <v>187841</v>
      </c>
      <c r="E21" s="67">
        <f t="shared" si="0"/>
        <v>-0.17730269755314881</v>
      </c>
    </row>
    <row r="22" spans="2:5" ht="13.8" thickBot="1" x14ac:dyDescent="0.3">
      <c r="B22" s="68" t="s">
        <v>69</v>
      </c>
      <c r="C22" s="69">
        <v>121415</v>
      </c>
      <c r="D22" s="69">
        <v>131627</v>
      </c>
      <c r="E22" s="70">
        <f t="shared" si="0"/>
        <v>-8.4108223860313802E-2</v>
      </c>
    </row>
  </sheetData>
  <phoneticPr fontId="2" type="noConversion"/>
  <pageMargins left="0.7" right="0.7" top="0.75" bottom="0.75" header="0.3" footer="0.3"/>
  <ignoredErrors>
    <ignoredError sqref="B4:B22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图1</vt:lpstr>
      <vt:lpstr>图2</vt:lpstr>
      <vt:lpstr>图3</vt:lpstr>
      <vt:lpstr>图4</vt:lpstr>
      <vt:lpstr>图5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2019-03-08T02:18:46Z</dcterms:modified>
</cp:coreProperties>
</file>