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 G1" sheetId="7" r:id="rId1"/>
  </sheets>
  <calcPr calcId="152511"/>
</workbook>
</file>

<file path=xl/calcChain.xml><?xml version="1.0" encoding="utf-8"?>
<calcChain xmlns="http://schemas.openxmlformats.org/spreadsheetml/2006/main">
  <c r="C4" i="7" l="1"/>
  <c r="D4" i="7"/>
  <c r="E4" i="7" s="1"/>
  <c r="E7" i="7" s="1"/>
  <c r="F5" i="7"/>
  <c r="G4" i="7" s="1"/>
  <c r="G7" i="7" s="1"/>
  <c r="H5" i="7"/>
  <c r="F6" i="7"/>
  <c r="H6" i="7" s="1"/>
  <c r="B7" i="7"/>
  <c r="C7" i="7"/>
  <c r="B9" i="7"/>
  <c r="C9" i="7"/>
  <c r="D9" i="7"/>
  <c r="E9" i="7"/>
  <c r="G9" i="7"/>
  <c r="H9" i="7" l="1"/>
  <c r="F9" i="7"/>
  <c r="D7" i="7"/>
  <c r="F7" i="7"/>
</calcChain>
</file>

<file path=xl/sharedStrings.xml><?xml version="1.0" encoding="utf-8"?>
<sst xmlns="http://schemas.openxmlformats.org/spreadsheetml/2006/main" count="16" uniqueCount="16">
  <si>
    <t>图表模板区</t>
    <phoneticPr fontId="3" type="noConversion"/>
  </si>
  <si>
    <t>图表颜色</t>
    <phoneticPr fontId="3" type="noConversion"/>
  </si>
  <si>
    <t>A</t>
    <phoneticPr fontId="2" type="noConversion"/>
  </si>
  <si>
    <t>B</t>
    <phoneticPr fontId="2" type="noConversion"/>
  </si>
  <si>
    <t>C</t>
  </si>
  <si>
    <t>D</t>
  </si>
  <si>
    <t>数据1</t>
    <phoneticPr fontId="3" type="noConversion"/>
  </si>
  <si>
    <t>数据2</t>
    <phoneticPr fontId="3" type="noConversion"/>
  </si>
  <si>
    <t>辅助列2</t>
    <phoneticPr fontId="2" type="noConversion"/>
  </si>
  <si>
    <t>饼干</t>
    <phoneticPr fontId="2" type="noConversion"/>
  </si>
  <si>
    <t>面包</t>
    <phoneticPr fontId="2" type="noConversion"/>
  </si>
  <si>
    <t>两年总和</t>
    <phoneticPr fontId="2" type="noConversion"/>
  </si>
  <si>
    <t>17年销售额</t>
    <phoneticPr fontId="2" type="noConversion"/>
  </si>
  <si>
    <t>16年销售额</t>
    <phoneticPr fontId="2" type="noConversion"/>
  </si>
  <si>
    <t>辅助列1</t>
    <phoneticPr fontId="2" type="noConversion"/>
  </si>
  <si>
    <t>模拟数据区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</si>
</sst>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Wingdings"/>
      <charset val="2"/>
    </font>
    <font>
      <b/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4" borderId="0" xfId="0" applyNumberFormat="1" applyFont="1" applyFill="1" applyAlignment="1">
      <alignment horizontal="center" vertical="center"/>
    </xf>
    <xf numFmtId="0" fontId="0" fillId="4" borderId="0" xfId="0" applyNumberForma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002863"/>
      <color rgb="FF848184"/>
      <color rgb="FF00AEEE"/>
      <color rgb="FF007EBB"/>
      <color rgb="FFCECECE"/>
      <color rgb="FFC5C6C6"/>
      <color rgb="FF8AB3C1"/>
      <color rgb="FF5993A7"/>
      <color rgb="FF63317A"/>
      <color rgb="FF893B7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C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' G1'!$B$3:$H$3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17年销售额</c:v>
                </c:pt>
                <c:pt idx="5">
                  <c:v>16年销售额</c:v>
                </c:pt>
                <c:pt idx="6">
                  <c:v>两年总和</c:v>
                </c:pt>
              </c:strCache>
            </c:strRef>
          </c:cat>
          <c:val>
            <c:numRef>
              <c:f>' G1'!$B$4:$H$4</c:f>
              <c:numCache>
                <c:formatCode>General</c:formatCode>
                <c:ptCount val="7"/>
                <c:pt idx="0">
                  <c:v>0</c:v>
                </c:pt>
                <c:pt idx="1">
                  <c:v>90</c:v>
                </c:pt>
                <c:pt idx="2">
                  <c:v>244</c:v>
                </c:pt>
                <c:pt idx="3">
                  <c:v>409</c:v>
                </c:pt>
                <c:pt idx="4">
                  <c:v>0</c:v>
                </c:pt>
                <c:pt idx="5">
                  <c:v>541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rgbClr val="5993A7"/>
            </a:solidFill>
            <a:ln>
              <a:noFill/>
            </a:ln>
            <a:effectLst/>
          </c:spPr>
          <c:invertIfNegative val="0"/>
          <c:cat>
            <c:strRef>
              <c:f>' G1'!$B$3:$H$3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17年销售额</c:v>
                </c:pt>
                <c:pt idx="5">
                  <c:v>16年销售额</c:v>
                </c:pt>
                <c:pt idx="6">
                  <c:v>两年总和</c:v>
                </c:pt>
              </c:strCache>
            </c:strRef>
          </c:cat>
          <c:val>
            <c:numRef>
              <c:f>' G1'!$B$5:$H$5</c:f>
              <c:numCache>
                <c:formatCode>General</c:formatCode>
                <c:ptCount val="7"/>
                <c:pt idx="0">
                  <c:v>55</c:v>
                </c:pt>
                <c:pt idx="1">
                  <c:v>66</c:v>
                </c:pt>
                <c:pt idx="2">
                  <c:v>88</c:v>
                </c:pt>
                <c:pt idx="3">
                  <c:v>77</c:v>
                </c:pt>
                <c:pt idx="4">
                  <c:v>286</c:v>
                </c:pt>
                <c:pt idx="5">
                  <c:v>110</c:v>
                </c:pt>
                <c:pt idx="6">
                  <c:v>396</c:v>
                </c:pt>
              </c:numCache>
            </c:numRef>
          </c:val>
        </c:ser>
        <c:ser>
          <c:idx val="2"/>
          <c:order val="2"/>
          <c:spPr>
            <a:solidFill>
              <a:srgbClr val="8AB3C1"/>
            </a:solidFill>
            <a:ln>
              <a:noFill/>
            </a:ln>
            <a:effectLst/>
          </c:spPr>
          <c:invertIfNegative val="0"/>
          <c:cat>
            <c:strRef>
              <c:f>' G1'!$B$3:$H$3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17年销售额</c:v>
                </c:pt>
                <c:pt idx="5">
                  <c:v>16年销售额</c:v>
                </c:pt>
                <c:pt idx="6">
                  <c:v>两年总和</c:v>
                </c:pt>
              </c:strCache>
            </c:strRef>
          </c:cat>
          <c:val>
            <c:numRef>
              <c:f>' G1'!$B$6:$H$6</c:f>
              <c:numCache>
                <c:formatCode>General</c:formatCode>
                <c:ptCount val="7"/>
                <c:pt idx="0">
                  <c:v>35</c:v>
                </c:pt>
                <c:pt idx="1">
                  <c:v>88</c:v>
                </c:pt>
                <c:pt idx="2">
                  <c:v>77</c:v>
                </c:pt>
                <c:pt idx="3">
                  <c:v>55</c:v>
                </c:pt>
                <c:pt idx="4">
                  <c:v>255</c:v>
                </c:pt>
                <c:pt idx="5">
                  <c:v>88</c:v>
                </c:pt>
                <c:pt idx="6">
                  <c:v>343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899171488"/>
        <c:axId val="-899178560"/>
      </c:barChart>
      <c:scatterChart>
        <c:scatterStyle val="lineMarker"/>
        <c:varyColors val="0"/>
        <c:ser>
          <c:idx val="3"/>
          <c:order val="3"/>
          <c:tx>
            <c:strRef>
              <c:f>' G1'!$A$7</c:f>
              <c:strCache>
                <c:ptCount val="1"/>
                <c:pt idx="0">
                  <c:v>辅助列2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EE3F245A-80D6-40AF-B871-5085259B14BF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DE6891E4-312D-4B6D-8BF7-D13124FDE5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74892B03-1521-4390-9535-CF8D985EAE5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7DF6BD2-E585-4DAF-A982-B026AC94FA9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F003A32F-7E02-46C6-8B68-BAF3BD1688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41532FE3-5AD6-4FE8-B8CA-4DC0946E64B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errBars>
            <c:errDir val="x"/>
            <c:errBarType val="plus"/>
            <c:errValType val="fixedVal"/>
            <c:noEndCap val="1"/>
            <c:val val="0.9"/>
            <c:spPr>
              <a:noFill/>
              <a:ln w="9525" cap="flat" cmpd="sng" algn="ctr">
                <a:solidFill>
                  <a:srgbClr val="C5C6C6"/>
                </a:solidFill>
                <a:round/>
              </a:ln>
              <a:effectLst/>
            </c:spPr>
          </c:errBars>
          <c:xVal>
            <c:strRef>
              <c:f>' G1'!$B$3:$H$3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17年销售额</c:v>
                </c:pt>
                <c:pt idx="5">
                  <c:v>16年销售额</c:v>
                </c:pt>
                <c:pt idx="6">
                  <c:v>两年总和</c:v>
                </c:pt>
              </c:strCache>
            </c:strRef>
          </c:xVal>
          <c:yVal>
            <c:numRef>
              <c:f>' G1'!$B$7:$G$7</c:f>
              <c:numCache>
                <c:formatCode>General</c:formatCode>
                <c:ptCount val="6"/>
                <c:pt idx="0">
                  <c:v>90</c:v>
                </c:pt>
                <c:pt idx="1">
                  <c:v>244</c:v>
                </c:pt>
                <c:pt idx="2">
                  <c:v>409</c:v>
                </c:pt>
                <c:pt idx="3">
                  <c:v>541</c:v>
                </c:pt>
                <c:pt idx="4">
                  <c:v>541</c:v>
                </c:pt>
                <c:pt idx="5">
                  <c:v>739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 G1'!$B$9:$H$9</c15:f>
                <c15:dlblRangeCache>
                  <c:ptCount val="7"/>
                  <c:pt idx="0">
                    <c:v>90</c:v>
                  </c:pt>
                  <c:pt idx="1">
                    <c:v>154</c:v>
                  </c:pt>
                  <c:pt idx="2">
                    <c:v>165</c:v>
                  </c:pt>
                  <c:pt idx="3">
                    <c:v>132</c:v>
                  </c:pt>
                  <c:pt idx="4">
                    <c:v>541</c:v>
                  </c:pt>
                  <c:pt idx="5">
                    <c:v>198</c:v>
                  </c:pt>
                  <c:pt idx="6">
                    <c:v>739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99181824"/>
        <c:axId val="-899174752"/>
      </c:scatterChart>
      <c:catAx>
        <c:axId val="-89917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-899178560"/>
        <c:crosses val="autoZero"/>
        <c:auto val="1"/>
        <c:lblAlgn val="ctr"/>
        <c:lblOffset val="100"/>
        <c:noMultiLvlLbl val="0"/>
      </c:catAx>
      <c:valAx>
        <c:axId val="-899178560"/>
        <c:scaling>
          <c:orientation val="minMax"/>
          <c:max val="1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-899171488"/>
        <c:crosses val="autoZero"/>
        <c:crossBetween val="between"/>
        <c:majorUnit val="200"/>
      </c:valAx>
      <c:valAx>
        <c:axId val="-899174752"/>
        <c:scaling>
          <c:orientation val="minMax"/>
          <c:max val="1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CN"/>
          </a:p>
        </c:txPr>
        <c:crossAx val="-899181824"/>
        <c:crosses val="max"/>
        <c:crossBetween val="midCat"/>
        <c:majorUnit val="200"/>
      </c:valAx>
      <c:valAx>
        <c:axId val="-8991818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899174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latin typeface="Arial" panose="020B0604020202020204" pitchFamily="34" charset="0"/>
          <a:cs typeface="Arial" panose="020B0604020202020204" pitchFamily="34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 G1'!$H$3</c:f>
          <c:strCache>
            <c:ptCount val="1"/>
            <c:pt idx="0">
              <c:v>两年总和</c:v>
            </c:pt>
          </c:strCache>
        </c:strRef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4.5588261198893761E-2"/>
          <c:y val="0.1123531097735741"/>
          <c:w val="0.80655438204452634"/>
          <c:h val="0.753544435492424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 G1'!$A$4</c:f>
              <c:strCache>
                <c:ptCount val="1"/>
                <c:pt idx="0">
                  <c:v>辅助列1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 G1'!$B$3:$H$3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17年销售额</c:v>
                </c:pt>
                <c:pt idx="5">
                  <c:v>16年销售额</c:v>
                </c:pt>
                <c:pt idx="6">
                  <c:v>两年总和</c:v>
                </c:pt>
              </c:strCache>
            </c:strRef>
          </c:cat>
          <c:val>
            <c:numRef>
              <c:f>' G1'!$B$4:$H$4</c:f>
              <c:numCache>
                <c:formatCode>General</c:formatCode>
                <c:ptCount val="7"/>
                <c:pt idx="0">
                  <c:v>0</c:v>
                </c:pt>
                <c:pt idx="1">
                  <c:v>90</c:v>
                </c:pt>
                <c:pt idx="2">
                  <c:v>244</c:v>
                </c:pt>
                <c:pt idx="3">
                  <c:v>409</c:v>
                </c:pt>
                <c:pt idx="4">
                  <c:v>0</c:v>
                </c:pt>
                <c:pt idx="5">
                  <c:v>541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' G1'!$A$5</c:f>
              <c:strCache>
                <c:ptCount val="1"/>
                <c:pt idx="0">
                  <c:v>饼干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 G1'!$B$3:$H$3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17年销售额</c:v>
                </c:pt>
                <c:pt idx="5">
                  <c:v>16年销售额</c:v>
                </c:pt>
                <c:pt idx="6">
                  <c:v>两年总和</c:v>
                </c:pt>
              </c:strCache>
            </c:strRef>
          </c:cat>
          <c:val>
            <c:numRef>
              <c:f>' G1'!$B$5:$H$5</c:f>
              <c:numCache>
                <c:formatCode>General</c:formatCode>
                <c:ptCount val="7"/>
                <c:pt idx="0">
                  <c:v>55</c:v>
                </c:pt>
                <c:pt idx="1">
                  <c:v>66</c:v>
                </c:pt>
                <c:pt idx="2">
                  <c:v>88</c:v>
                </c:pt>
                <c:pt idx="3">
                  <c:v>77</c:v>
                </c:pt>
                <c:pt idx="4">
                  <c:v>286</c:v>
                </c:pt>
                <c:pt idx="5">
                  <c:v>110</c:v>
                </c:pt>
                <c:pt idx="6">
                  <c:v>396</c:v>
                </c:pt>
              </c:numCache>
            </c:numRef>
          </c:val>
        </c:ser>
        <c:ser>
          <c:idx val="2"/>
          <c:order val="2"/>
          <c:tx>
            <c:strRef>
              <c:f>' G1'!$A$6</c:f>
              <c:strCache>
                <c:ptCount val="1"/>
                <c:pt idx="0">
                  <c:v>面包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 G1'!$B$3:$H$3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17年销售额</c:v>
                </c:pt>
                <c:pt idx="5">
                  <c:v>16年销售额</c:v>
                </c:pt>
                <c:pt idx="6">
                  <c:v>两年总和</c:v>
                </c:pt>
              </c:strCache>
            </c:strRef>
          </c:cat>
          <c:val>
            <c:numRef>
              <c:f>' G1'!$B$6:$H$6</c:f>
              <c:numCache>
                <c:formatCode>General</c:formatCode>
                <c:ptCount val="7"/>
                <c:pt idx="0">
                  <c:v>35</c:v>
                </c:pt>
                <c:pt idx="1">
                  <c:v>88</c:v>
                </c:pt>
                <c:pt idx="2">
                  <c:v>77</c:v>
                </c:pt>
                <c:pt idx="3">
                  <c:v>55</c:v>
                </c:pt>
                <c:pt idx="4">
                  <c:v>255</c:v>
                </c:pt>
                <c:pt idx="5">
                  <c:v>88</c:v>
                </c:pt>
                <c:pt idx="6">
                  <c:v>343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899180736"/>
        <c:axId val="-899178016"/>
      </c:barChart>
      <c:scatterChart>
        <c:scatterStyle val="lineMarker"/>
        <c:varyColors val="0"/>
        <c:ser>
          <c:idx val="3"/>
          <c:order val="3"/>
          <c:tx>
            <c:strRef>
              <c:f>' G1'!$A$7</c:f>
              <c:strCache>
                <c:ptCount val="1"/>
                <c:pt idx="0">
                  <c:v>辅助列2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A01B3EB5-E66F-48F3-814D-16770F475207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F6CB2D80-FB4C-446C-BFC1-ACEE1725939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DC3A5CC3-635C-49F2-8ED2-E152AB4C4D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290CB70D-EE0C-4447-A989-03847A87767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66F92C95-C958-49B3-8BE2-906D7CFCC0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AF2AD90D-848F-4F66-8392-C905015784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0"/>
              </c:ext>
            </c:extLst>
          </c:dLbls>
          <c:errBars>
            <c:errDir val="x"/>
            <c:errBarType val="plus"/>
            <c:errValType val="fixedVal"/>
            <c:noEndCap val="1"/>
            <c:val val="0.9"/>
            <c:spPr>
              <a:noFill/>
              <a:ln w="9525" cap="flat" cmpd="sng" algn="ctr">
                <a:solidFill>
                  <a:srgbClr val="C5C6C6"/>
                </a:solidFill>
                <a:round/>
              </a:ln>
              <a:effectLst/>
            </c:spPr>
          </c:errBars>
          <c:yVal>
            <c:numRef>
              <c:f>' G1'!$B$7:$G$7</c:f>
              <c:numCache>
                <c:formatCode>General</c:formatCode>
                <c:ptCount val="6"/>
                <c:pt idx="0">
                  <c:v>90</c:v>
                </c:pt>
                <c:pt idx="1">
                  <c:v>244</c:v>
                </c:pt>
                <c:pt idx="2">
                  <c:v>409</c:v>
                </c:pt>
                <c:pt idx="3">
                  <c:v>541</c:v>
                </c:pt>
                <c:pt idx="4">
                  <c:v>541</c:v>
                </c:pt>
                <c:pt idx="5">
                  <c:v>739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 G1'!$B$9:$H$9</c15:f>
                <c15:dlblRangeCache>
                  <c:ptCount val="7"/>
                  <c:pt idx="0">
                    <c:v>90</c:v>
                  </c:pt>
                  <c:pt idx="1">
                    <c:v>154</c:v>
                  </c:pt>
                  <c:pt idx="2">
                    <c:v>165</c:v>
                  </c:pt>
                  <c:pt idx="3">
                    <c:v>132</c:v>
                  </c:pt>
                  <c:pt idx="4">
                    <c:v>541</c:v>
                  </c:pt>
                  <c:pt idx="5">
                    <c:v>198</c:v>
                  </c:pt>
                  <c:pt idx="6">
                    <c:v>739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899183456"/>
        <c:axId val="-899180192"/>
      </c:scatterChart>
      <c:catAx>
        <c:axId val="-89918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899178016"/>
        <c:crosses val="autoZero"/>
        <c:auto val="1"/>
        <c:lblAlgn val="ctr"/>
        <c:lblOffset val="100"/>
        <c:noMultiLvlLbl val="0"/>
      </c:catAx>
      <c:valAx>
        <c:axId val="-899178016"/>
        <c:scaling>
          <c:orientation val="minMax"/>
          <c:max val="1000"/>
        </c:scaling>
        <c:delete val="1"/>
        <c:axPos val="l"/>
        <c:numFmt formatCode="General" sourceLinked="1"/>
        <c:majorTickMark val="out"/>
        <c:minorTickMark val="none"/>
        <c:tickLblPos val="nextTo"/>
        <c:crossAx val="-899180736"/>
        <c:crosses val="autoZero"/>
        <c:crossBetween val="between"/>
      </c:valAx>
      <c:valAx>
        <c:axId val="-899180192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-899183456"/>
        <c:crosses val="max"/>
        <c:crossBetween val="midCat"/>
      </c:valAx>
      <c:valAx>
        <c:axId val="-899183456"/>
        <c:scaling>
          <c:orientation val="minMax"/>
        </c:scaling>
        <c:delete val="1"/>
        <c:axPos val="b"/>
        <c:majorTickMark val="out"/>
        <c:minorTickMark val="none"/>
        <c:tickLblPos val="nextTo"/>
        <c:crossAx val="-8991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4.4263846213854145E-2"/>
          <c:y val="0.92297185981588925"/>
          <c:w val="0.15755093642955648"/>
          <c:h val="5.0676030361069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403860</xdr:colOff>
      <xdr:row>2</xdr:row>
      <xdr:rowOff>137160</xdr:rowOff>
    </xdr:from>
    <xdr:to>
      <xdr:col>17</xdr:col>
      <xdr:colOff>152400</xdr:colOff>
      <xdr:row>19</xdr:row>
      <xdr:rowOff>15240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365760</xdr:colOff>
      <xdr:row>23</xdr:row>
      <xdr:rowOff>137160</xdr:rowOff>
    </xdr:from>
    <xdr:to>
      <xdr:col>17</xdr:col>
      <xdr:colOff>281940</xdr:colOff>
      <xdr:row>40</xdr:row>
      <xdr:rowOff>160020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0.75551</cdr:x>
      <cdr:y>0.16767</cdr:y>
    </cdr:from>
    <cdr:to>
      <cdr:x>0.83126</cdr:x>
      <cdr:y>0.20378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6004560" y="742950"/>
          <a:ext cx="601980" cy="160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zh-CN" altLang="en-US" sz="1100"/>
        </a:p>
      </cdr:txBody>
    </cdr:sp>
  </cdr:relSizeAnchor>
  <cdr:relSizeAnchor xmlns:cdr="http://schemas.openxmlformats.org/drawingml/2006/chartDrawing">
    <cdr:from>
      <cdr:x>0.75673</cdr:x>
      <cdr:y>0.22952</cdr:y>
    </cdr:from>
    <cdr:to>
      <cdr:x>0.84206</cdr:x>
      <cdr:y>0.27939</cdr:y>
    </cdr:to>
    <cdr:sp macro="" textlink="' G1'!$H$9">
      <cdr:nvSpPr>
        <cdr:cNvPr id="3" name="文本框 2"/>
        <cdr:cNvSpPr txBox="1"/>
      </cdr:nvSpPr>
      <cdr:spPr>
        <a:xfrm xmlns:a="http://schemas.openxmlformats.org/drawingml/2006/main">
          <a:off x="4082523" y="970643"/>
          <a:ext cx="460356" cy="210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1D7D703-32C8-408A-912B-ACE37ECA925E}" type="TxLink">
            <a:rPr lang="en-US" altLang="en-US" sz="1100" b="0" i="0" u="none" strike="noStrike">
              <a:solidFill>
                <a:srgbClr val="000000"/>
              </a:solidFill>
              <a:latin typeface="宋体"/>
              <a:ea typeface="宋体"/>
            </a:rPr>
            <a:pPr/>
            <a:t>739</a:t>
          </a:fld>
          <a:endParaRPr lang="zh-CN" altLang="en-US" sz="11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topLeftCell="A22" workbookViewId="0">
      <selection activeCell="E17" sqref="E17"/>
    </sheetView>
  </sheetViews>
  <sheetFormatPr defaultRowHeight="14.4" x14ac:dyDescent="0.25"/>
  <cols>
    <col min="1" max="1" width="7.5546875" style="1" bestFit="1" customWidth="1"/>
    <col min="2" max="5" width="8.77734375" style="1" customWidth="1"/>
    <col min="6" max="6" width="13.88671875" style="1" bestFit="1" customWidth="1"/>
    <col min="7" max="7" width="11.6640625" style="1" bestFit="1" customWidth="1"/>
    <col min="8" max="8" width="8.77734375" style="1" customWidth="1"/>
    <col min="9" max="9" width="8.77734375" style="4" customWidth="1"/>
    <col min="10" max="18" width="8.88671875" style="2"/>
    <col min="19" max="16384" width="8.88671875" style="1"/>
  </cols>
  <sheetData>
    <row r="1" spans="1:22" ht="30" customHeight="1" x14ac:dyDescent="0.25">
      <c r="A1" s="7" t="s">
        <v>15</v>
      </c>
      <c r="B1" s="7"/>
      <c r="C1" s="7"/>
      <c r="D1" s="7"/>
      <c r="E1" s="7"/>
      <c r="F1" s="7"/>
      <c r="G1" s="7"/>
      <c r="H1" s="7"/>
      <c r="I1" s="7" t="s">
        <v>0</v>
      </c>
      <c r="J1" s="7"/>
      <c r="K1" s="7"/>
      <c r="L1" s="7"/>
      <c r="M1" s="7"/>
      <c r="N1" s="7"/>
      <c r="O1" s="7"/>
      <c r="P1" s="7"/>
      <c r="Q1" s="7"/>
      <c r="R1" s="7"/>
      <c r="S1" s="6" t="s">
        <v>1</v>
      </c>
      <c r="T1" s="6"/>
      <c r="U1" s="6"/>
      <c r="V1" s="6"/>
    </row>
    <row r="2" spans="1:22" x14ac:dyDescent="0.25">
      <c r="I2" s="8"/>
      <c r="J2" s="8"/>
      <c r="K2" s="8"/>
      <c r="L2" s="8"/>
      <c r="M2" s="8"/>
      <c r="N2" s="8"/>
      <c r="O2" s="8"/>
      <c r="P2" s="8"/>
      <c r="Q2" s="8"/>
      <c r="R2" s="8"/>
      <c r="S2" s="1" t="s">
        <v>6</v>
      </c>
      <c r="T2" s="1" t="s">
        <v>7</v>
      </c>
    </row>
    <row r="3" spans="1:22" ht="15.6" x14ac:dyDescent="0.25">
      <c r="A3" s="11"/>
      <c r="B3" s="11" t="s">
        <v>2</v>
      </c>
      <c r="C3" s="11" t="s">
        <v>3</v>
      </c>
      <c r="D3" s="11" t="s">
        <v>4</v>
      </c>
      <c r="E3" s="11" t="s">
        <v>5</v>
      </c>
      <c r="F3" s="11" t="s">
        <v>12</v>
      </c>
      <c r="G3" s="11" t="s">
        <v>13</v>
      </c>
      <c r="H3" s="11" t="s">
        <v>11</v>
      </c>
      <c r="I3" s="8"/>
      <c r="J3" s="8"/>
      <c r="K3" s="8"/>
      <c r="L3" s="8"/>
      <c r="M3" s="8"/>
      <c r="N3" s="8"/>
      <c r="O3" s="8"/>
      <c r="P3" s="8"/>
      <c r="Q3" s="8"/>
      <c r="R3" s="8"/>
    </row>
    <row r="4" spans="1:22" ht="15.6" x14ac:dyDescent="0.25">
      <c r="A4" s="12" t="s">
        <v>14</v>
      </c>
      <c r="B4" s="11">
        <v>0</v>
      </c>
      <c r="C4" s="12">
        <f>SUM(B4:B6)</f>
        <v>90</v>
      </c>
      <c r="D4" s="12">
        <f>SUM(C4:C6)</f>
        <v>244</v>
      </c>
      <c r="E4" s="12">
        <f>SUM(D4:D6)</f>
        <v>409</v>
      </c>
      <c r="F4" s="11">
        <v>0</v>
      </c>
      <c r="G4" s="11">
        <f>SUM(F5:F6)</f>
        <v>541</v>
      </c>
      <c r="H4" s="11">
        <v>0</v>
      </c>
      <c r="I4" s="8"/>
      <c r="J4" s="8"/>
      <c r="K4" s="8"/>
      <c r="L4" s="8"/>
      <c r="M4" s="8"/>
      <c r="N4" s="8"/>
      <c r="O4" s="8"/>
      <c r="P4" s="8"/>
      <c r="Q4" s="8"/>
      <c r="R4" s="8"/>
    </row>
    <row r="5" spans="1:22" ht="16.2" x14ac:dyDescent="0.25">
      <c r="A5" s="13" t="s">
        <v>9</v>
      </c>
      <c r="B5" s="13">
        <v>55</v>
      </c>
      <c r="C5" s="13">
        <v>66</v>
      </c>
      <c r="D5" s="14">
        <v>88</v>
      </c>
      <c r="E5" s="14">
        <v>77</v>
      </c>
      <c r="F5" s="14">
        <f>B5+C5+D5+E5</f>
        <v>286</v>
      </c>
      <c r="G5" s="13">
        <v>110</v>
      </c>
      <c r="H5" s="13">
        <f>F5+G5</f>
        <v>396</v>
      </c>
      <c r="I5" s="9"/>
      <c r="J5" s="8"/>
      <c r="K5" s="8"/>
      <c r="L5" s="8"/>
      <c r="M5" s="8"/>
      <c r="N5" s="8"/>
      <c r="O5" s="8"/>
      <c r="P5" s="8"/>
      <c r="Q5" s="8"/>
      <c r="R5" s="8"/>
    </row>
    <row r="6" spans="1:22" ht="16.2" x14ac:dyDescent="0.25">
      <c r="A6" s="13" t="s">
        <v>10</v>
      </c>
      <c r="B6" s="13">
        <v>35</v>
      </c>
      <c r="C6" s="13">
        <v>88</v>
      </c>
      <c r="D6" s="14">
        <v>77</v>
      </c>
      <c r="E6" s="14">
        <v>55</v>
      </c>
      <c r="F6" s="14">
        <f>B6+C6+D6+E6</f>
        <v>255</v>
      </c>
      <c r="G6" s="13">
        <v>88</v>
      </c>
      <c r="H6" s="13">
        <f>F6+G6</f>
        <v>343</v>
      </c>
      <c r="I6" s="9"/>
      <c r="J6" s="8"/>
      <c r="K6" s="8"/>
      <c r="L6" s="8"/>
      <c r="M6" s="8"/>
      <c r="N6" s="8"/>
      <c r="O6" s="8"/>
      <c r="P6" s="8"/>
      <c r="Q6" s="8"/>
      <c r="R6" s="8"/>
    </row>
    <row r="7" spans="1:22" ht="15.6" x14ac:dyDescent="0.25">
      <c r="A7" s="12" t="s">
        <v>8</v>
      </c>
      <c r="B7" s="12">
        <f>SUM(B4:B6)</f>
        <v>90</v>
      </c>
      <c r="C7" s="12">
        <f t="shared" ref="C7:G7" si="0">SUM(C4:C6)</f>
        <v>244</v>
      </c>
      <c r="D7" s="12">
        <f t="shared" si="0"/>
        <v>409</v>
      </c>
      <c r="E7" s="12">
        <f t="shared" si="0"/>
        <v>541</v>
      </c>
      <c r="F7" s="12">
        <f t="shared" si="0"/>
        <v>541</v>
      </c>
      <c r="G7" s="12">
        <f t="shared" si="0"/>
        <v>739</v>
      </c>
      <c r="H7" s="11">
        <v>781</v>
      </c>
      <c r="I7" s="8"/>
      <c r="J7" s="8"/>
      <c r="K7" s="8"/>
      <c r="L7" s="8"/>
      <c r="M7" s="8"/>
      <c r="N7" s="8"/>
      <c r="O7" s="8"/>
      <c r="P7" s="8"/>
      <c r="Q7" s="8"/>
      <c r="R7" s="8"/>
    </row>
    <row r="8" spans="1:22" ht="15.6" x14ac:dyDescent="0.25">
      <c r="A8" s="12"/>
      <c r="B8" s="12"/>
      <c r="C8" s="11"/>
      <c r="D8" s="12"/>
      <c r="E8" s="12"/>
      <c r="F8" s="12"/>
      <c r="G8" s="12"/>
      <c r="H8" s="12"/>
      <c r="I8" s="10"/>
      <c r="J8" s="8"/>
      <c r="K8" s="8"/>
      <c r="L8" s="8"/>
      <c r="M8" s="8"/>
      <c r="N8" s="8"/>
      <c r="O8" s="8"/>
      <c r="P8" s="8"/>
      <c r="Q8" s="8"/>
      <c r="R8" s="8"/>
    </row>
    <row r="9" spans="1:22" ht="15.6" x14ac:dyDescent="0.25">
      <c r="A9" s="12"/>
      <c r="B9" s="12">
        <f>SUM(B5:B6)</f>
        <v>90</v>
      </c>
      <c r="C9" s="12">
        <f t="shared" ref="C9:F9" si="1">SUM(C5:C6)</f>
        <v>154</v>
      </c>
      <c r="D9" s="12">
        <f t="shared" si="1"/>
        <v>165</v>
      </c>
      <c r="E9" s="12">
        <f t="shared" si="1"/>
        <v>132</v>
      </c>
      <c r="F9" s="12">
        <f t="shared" si="1"/>
        <v>541</v>
      </c>
      <c r="G9" s="12">
        <f>SUM(G5:G6)</f>
        <v>198</v>
      </c>
      <c r="H9" s="12">
        <f>SUM(H5:H6)</f>
        <v>739</v>
      </c>
      <c r="I9" s="10"/>
      <c r="J9" s="8"/>
      <c r="K9" s="8"/>
      <c r="L9" s="8"/>
      <c r="M9" s="8"/>
      <c r="N9" s="8"/>
      <c r="O9" s="8"/>
      <c r="P9" s="8"/>
      <c r="Q9" s="8"/>
      <c r="R9" s="8"/>
    </row>
    <row r="10" spans="1:22" x14ac:dyDescent="0.25"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22" x14ac:dyDescent="0.25"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22" x14ac:dyDescent="0.25"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22" x14ac:dyDescent="0.25">
      <c r="E13" s="4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22" x14ac:dyDescent="0.25">
      <c r="F14" s="4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22" x14ac:dyDescent="0.25"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22" x14ac:dyDescent="0.25"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22" x14ac:dyDescent="0.25">
      <c r="G17" s="4"/>
      <c r="I17" s="8"/>
      <c r="J17" s="8"/>
      <c r="K17" s="8"/>
      <c r="L17" s="8"/>
      <c r="M17" s="8"/>
      <c r="N17" s="8"/>
      <c r="O17" s="8"/>
      <c r="P17" s="8"/>
      <c r="Q17" s="8"/>
      <c r="R17" s="8"/>
      <c r="V17" s="4"/>
    </row>
    <row r="18" spans="1:22" x14ac:dyDescent="0.25">
      <c r="I18" s="8"/>
      <c r="J18" s="8"/>
      <c r="K18" s="8"/>
      <c r="L18" s="8"/>
      <c r="M18" s="8"/>
      <c r="N18" s="8"/>
      <c r="O18" s="8"/>
      <c r="P18" s="8"/>
      <c r="Q18" s="8"/>
      <c r="R18" s="8"/>
      <c r="S18" s="3"/>
    </row>
    <row r="19" spans="1:22" x14ac:dyDescent="0.25"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22" x14ac:dyDescent="0.25">
      <c r="A20" s="5"/>
      <c r="C20" s="5"/>
      <c r="D20" s="5"/>
      <c r="E20" s="5"/>
      <c r="F20" s="5"/>
      <c r="G20" s="5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22" x14ac:dyDescent="0.25">
      <c r="A21" s="5"/>
      <c r="B21" s="5"/>
      <c r="C21" s="5"/>
      <c r="D21" s="5"/>
      <c r="E21" s="5"/>
      <c r="F21" s="5"/>
      <c r="G21" s="5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22" x14ac:dyDescent="0.25">
      <c r="A22" s="5"/>
      <c r="B22" s="5"/>
      <c r="C22" s="5"/>
      <c r="D22" s="5"/>
      <c r="E22" s="5"/>
      <c r="F22" s="5"/>
      <c r="G22" s="5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22" x14ac:dyDescent="0.25">
      <c r="A23" s="5"/>
      <c r="B23" s="5"/>
      <c r="C23" s="5"/>
      <c r="D23" s="5"/>
      <c r="E23" s="5"/>
      <c r="F23" s="5"/>
      <c r="G23" s="5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22" x14ac:dyDescent="0.25">
      <c r="A24" s="5"/>
      <c r="B24" s="5"/>
      <c r="C24" s="5"/>
      <c r="D24" s="5"/>
      <c r="E24" s="5"/>
      <c r="F24" s="5"/>
      <c r="G24" s="5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22" x14ac:dyDescent="0.25">
      <c r="A25" s="5"/>
      <c r="B25" s="5"/>
      <c r="C25" s="5"/>
      <c r="D25" s="5"/>
      <c r="E25" s="5"/>
      <c r="F25" s="5"/>
      <c r="G25" s="5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22" x14ac:dyDescent="0.25">
      <c r="A26" s="5"/>
      <c r="B26" s="5"/>
      <c r="C26" s="5"/>
      <c r="D26" s="5"/>
      <c r="E26" s="5"/>
      <c r="F26" s="5"/>
      <c r="G26" s="5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22" x14ac:dyDescent="0.25"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22" x14ac:dyDescent="0.25"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22" x14ac:dyDescent="0.25"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22" x14ac:dyDescent="0.25"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22" x14ac:dyDescent="0.25"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22" x14ac:dyDescent="0.25"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9:18" x14ac:dyDescent="0.25"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9:18" x14ac:dyDescent="0.25"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9:18" x14ac:dyDescent="0.25"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9:18" x14ac:dyDescent="0.25"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9:18" x14ac:dyDescent="0.25"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9:18" x14ac:dyDescent="0.25"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9:18" x14ac:dyDescent="0.25"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9:18" x14ac:dyDescent="0.25"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9:18" x14ac:dyDescent="0.25"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9:18" x14ac:dyDescent="0.25"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9:18" x14ac:dyDescent="0.25">
      <c r="I43" s="8"/>
      <c r="J43" s="8"/>
      <c r="K43" s="8"/>
      <c r="L43" s="8"/>
      <c r="M43" s="8"/>
      <c r="N43" s="8"/>
      <c r="O43" s="8"/>
      <c r="P43" s="8"/>
      <c r="Q43" s="8"/>
      <c r="R43" s="8"/>
    </row>
    <row r="44" spans="9:18" x14ac:dyDescent="0.25"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9:18" x14ac:dyDescent="0.25"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9:18" x14ac:dyDescent="0.25"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9:18" x14ac:dyDescent="0.25"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9:18" x14ac:dyDescent="0.25">
      <c r="I48" s="8"/>
      <c r="J48" s="8"/>
      <c r="K48" s="8"/>
      <c r="L48" s="8"/>
      <c r="M48" s="8"/>
      <c r="N48" s="8"/>
      <c r="O48" s="8"/>
      <c r="P48" s="8"/>
      <c r="Q48" s="8"/>
      <c r="R48" s="8"/>
    </row>
    <row r="49" spans="9:18" x14ac:dyDescent="0.25"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9:18" x14ac:dyDescent="0.25"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9:18" x14ac:dyDescent="0.25"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9:18" x14ac:dyDescent="0.25">
      <c r="I52" s="8"/>
      <c r="J52" s="8"/>
      <c r="K52" s="8"/>
      <c r="L52" s="8"/>
      <c r="M52" s="8"/>
      <c r="N52" s="8"/>
      <c r="O52" s="8"/>
      <c r="P52" s="8"/>
      <c r="Q52" s="8"/>
      <c r="R52" s="8"/>
    </row>
    <row r="53" spans="9:18" x14ac:dyDescent="0.25">
      <c r="I53" s="8"/>
      <c r="J53" s="8"/>
      <c r="K53" s="8"/>
      <c r="L53" s="8"/>
      <c r="M53" s="8"/>
      <c r="N53" s="8"/>
      <c r="O53" s="8"/>
      <c r="P53" s="8"/>
      <c r="Q53" s="8"/>
      <c r="R53" s="8"/>
    </row>
    <row r="54" spans="9:18" x14ac:dyDescent="0.25">
      <c r="I54" s="8"/>
      <c r="J54" s="8"/>
      <c r="K54" s="8"/>
      <c r="L54" s="8"/>
      <c r="M54" s="8"/>
      <c r="N54" s="8"/>
      <c r="O54" s="8"/>
      <c r="P54" s="8"/>
      <c r="Q54" s="8"/>
      <c r="R54" s="8"/>
    </row>
    <row r="55" spans="9:18" x14ac:dyDescent="0.25">
      <c r="I55" s="8"/>
      <c r="J55" s="8"/>
      <c r="K55" s="8"/>
      <c r="L55" s="8"/>
      <c r="M55" s="8"/>
      <c r="N55" s="8"/>
      <c r="O55" s="8"/>
      <c r="P55" s="8"/>
      <c r="Q55" s="8"/>
      <c r="R55" s="8"/>
    </row>
    <row r="56" spans="9:18" x14ac:dyDescent="0.25">
      <c r="I56" s="8"/>
      <c r="J56" s="8"/>
      <c r="K56" s="8"/>
      <c r="L56" s="8"/>
      <c r="M56" s="8"/>
      <c r="N56" s="8"/>
      <c r="O56" s="8"/>
      <c r="P56" s="8"/>
      <c r="Q56" s="8"/>
      <c r="R56" s="8"/>
    </row>
    <row r="57" spans="9:18" x14ac:dyDescent="0.25">
      <c r="I57" s="8"/>
      <c r="J57" s="8"/>
      <c r="K57" s="8"/>
      <c r="L57" s="8"/>
      <c r="M57" s="8"/>
      <c r="N57" s="8"/>
      <c r="O57" s="8"/>
      <c r="P57" s="8"/>
      <c r="Q57" s="8"/>
      <c r="R57" s="8"/>
    </row>
  </sheetData>
  <mergeCells count="3">
    <mergeCell ref="S1:V1"/>
    <mergeCell ref="A1:H1"/>
    <mergeCell ref="I1:R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G1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2018-05-27T12:38:07Z</dcterms:modified>
</cp:coreProperties>
</file>