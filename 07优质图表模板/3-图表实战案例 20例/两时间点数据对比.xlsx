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filterPrivacy="1"/>
  <bookViews>
    <workbookView xWindow="0" yWindow="0" windowWidth="22260" windowHeight="12645" activeTab="7" xr2:uid="{00000000-000D-0000-FFFF-FFFF00000000}"/>
  </bookViews>
  <sheets>
    <sheet name="图1" sheetId="9" r:id="rId1"/>
    <sheet name="图2" sheetId="4" r:id="rId2"/>
    <sheet name="图3" sheetId="1" r:id="rId3"/>
    <sheet name="图4" sheetId="5" r:id="rId4"/>
    <sheet name="图5" sheetId="2" r:id="rId5"/>
    <sheet name="图6" sheetId="3" r:id="rId6"/>
    <sheet name="图7" sheetId="7" r:id="rId7"/>
    <sheet name="图8" sheetId="8" r:id="rId8"/>
    <sheet name="图9" sheetId="10" r:id="rId9"/>
  </sheets>
  <externalReferences>
    <externalReference r:id="rId10"/>
    <externalReference r:id="rId11"/>
  </externalReferenc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9" l="1"/>
  <c r="K6" i="9"/>
  <c r="K7" i="9"/>
  <c r="K8" i="9"/>
  <c r="K9" i="9"/>
  <c r="K10" i="9"/>
  <c r="K11" i="9"/>
  <c r="K12" i="9"/>
  <c r="J6" i="9"/>
  <c r="J7" i="9"/>
  <c r="J9" i="9"/>
  <c r="J10" i="9"/>
  <c r="J11" i="9"/>
  <c r="J12" i="9"/>
  <c r="I6" i="9"/>
  <c r="I7" i="9"/>
  <c r="I8" i="9"/>
  <c r="I9" i="9"/>
  <c r="I10" i="9"/>
  <c r="I11" i="9"/>
  <c r="I12" i="9"/>
  <c r="G8" i="7" l="1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7" i="7"/>
  <c r="I17" i="4" l="1"/>
  <c r="I16" i="4"/>
  <c r="I15" i="4"/>
  <c r="I14" i="4"/>
  <c r="I13" i="4"/>
  <c r="I12" i="4"/>
  <c r="I11" i="4"/>
  <c r="I10" i="4"/>
  <c r="I9" i="4"/>
  <c r="I8" i="4"/>
  <c r="I7" i="4"/>
  <c r="I6" i="4"/>
  <c r="K8" i="3" l="1"/>
  <c r="K9" i="3"/>
  <c r="K10" i="3"/>
  <c r="K11" i="3"/>
  <c r="K12" i="3"/>
  <c r="K7" i="3"/>
  <c r="F8" i="3"/>
  <c r="F9" i="3"/>
  <c r="F10" i="3"/>
  <c r="F11" i="3"/>
  <c r="F12" i="3"/>
  <c r="F7" i="3"/>
  <c r="F8" i="2" l="1"/>
  <c r="F9" i="2"/>
  <c r="F10" i="2"/>
  <c r="F11" i="2"/>
  <c r="F7" i="2"/>
</calcChain>
</file>

<file path=xl/sharedStrings.xml><?xml version="1.0" encoding="utf-8"?>
<sst xmlns="http://schemas.openxmlformats.org/spreadsheetml/2006/main" count="237" uniqueCount="183">
  <si>
    <t>India</t>
    <phoneticPr fontId="2" type="noConversion"/>
  </si>
  <si>
    <t>China</t>
    <phoneticPr fontId="2" type="noConversion"/>
  </si>
  <si>
    <t>US</t>
    <phoneticPr fontId="2" type="noConversion"/>
  </si>
  <si>
    <t>EU28</t>
    <phoneticPr fontId="2" type="noConversion"/>
  </si>
  <si>
    <t>Brazil</t>
    <phoneticPr fontId="2" type="noConversion"/>
  </si>
  <si>
    <t>Russia</t>
    <phoneticPr fontId="2" type="noConversion"/>
  </si>
  <si>
    <t>Japan</t>
    <phoneticPr fontId="2" type="noConversion"/>
  </si>
  <si>
    <t>World</t>
    <phoneticPr fontId="2" type="noConversion"/>
  </si>
  <si>
    <t>Recharge:Real GDP growth at market exchange rates,%</t>
    <phoneticPr fontId="2" type="noConversion"/>
  </si>
  <si>
    <t>2017 forecast</t>
    <phoneticPr fontId="2" type="noConversion"/>
  </si>
  <si>
    <t>Electric dreams</t>
    <phoneticPr fontId="2" type="noConversion"/>
  </si>
  <si>
    <t>Manufacturing capacity</t>
    <phoneticPr fontId="2" type="noConversion"/>
  </si>
  <si>
    <t>Gigawatt-hours per year</t>
    <phoneticPr fontId="2" type="noConversion"/>
  </si>
  <si>
    <r>
      <t xml:space="preserve">Panasonic*
</t>
    </r>
    <r>
      <rPr>
        <i/>
        <sz val="11"/>
        <color theme="1"/>
        <rFont val="IBM Plex Mono"/>
        <family val="3"/>
      </rPr>
      <t>(Japan)</t>
    </r>
    <phoneticPr fontId="2" type="noConversion"/>
  </si>
  <si>
    <r>
      <t xml:space="preserve">CATL
</t>
    </r>
    <r>
      <rPr>
        <i/>
        <sz val="11"/>
        <color theme="1"/>
        <rFont val="IBM Plex Mono"/>
        <family val="3"/>
      </rPr>
      <t>(China)</t>
    </r>
    <phoneticPr fontId="2" type="noConversion"/>
  </si>
  <si>
    <r>
      <t xml:space="preserve">BYD
</t>
    </r>
    <r>
      <rPr>
        <i/>
        <sz val="11"/>
        <color theme="1"/>
        <rFont val="IBM Plex Mono"/>
        <family val="3"/>
      </rPr>
      <t>(China)</t>
    </r>
    <phoneticPr fontId="2" type="noConversion"/>
  </si>
  <si>
    <r>
      <t xml:space="preserve">LG Chem
</t>
    </r>
    <r>
      <rPr>
        <i/>
        <sz val="11"/>
        <color theme="1"/>
        <rFont val="IBM Plex Mono"/>
        <family val="3"/>
      </rPr>
      <t>(South Korea)</t>
    </r>
    <phoneticPr fontId="2" type="noConversion"/>
  </si>
  <si>
    <t>Samung SDI
(South Korea)</t>
    <phoneticPr fontId="2" type="noConversion"/>
  </si>
  <si>
    <t>2017</t>
    <phoneticPr fontId="2" type="noConversion"/>
  </si>
  <si>
    <t>2020</t>
    <phoneticPr fontId="2" type="noConversion"/>
  </si>
  <si>
    <t>helper1</t>
    <phoneticPr fontId="2" type="noConversion"/>
  </si>
  <si>
    <t>helper2</t>
  </si>
  <si>
    <t>helper3</t>
  </si>
  <si>
    <t>Young-aged spread</t>
    <phoneticPr fontId="2" type="noConversion"/>
  </si>
  <si>
    <t>Obesity rate by region,5- to 19-year-olds,% of age group</t>
    <phoneticPr fontId="2" type="noConversion"/>
  </si>
  <si>
    <t>Boys</t>
    <phoneticPr fontId="2" type="noConversion"/>
  </si>
  <si>
    <t>Europe</t>
    <phoneticPr fontId="2" type="noConversion"/>
  </si>
  <si>
    <t>Oceania</t>
    <phoneticPr fontId="2" type="noConversion"/>
  </si>
  <si>
    <t>World</t>
    <phoneticPr fontId="2" type="noConversion"/>
  </si>
  <si>
    <t>Asia</t>
    <phoneticPr fontId="2" type="noConversion"/>
  </si>
  <si>
    <t>Africa</t>
    <phoneticPr fontId="2" type="noConversion"/>
  </si>
  <si>
    <t>Girls</t>
    <phoneticPr fontId="2" type="noConversion"/>
  </si>
  <si>
    <t>1975</t>
    <phoneticPr fontId="2" type="noConversion"/>
  </si>
  <si>
    <t>2016</t>
    <phoneticPr fontId="2" type="noConversion"/>
  </si>
  <si>
    <t>helper1</t>
    <phoneticPr fontId="2" type="noConversion"/>
  </si>
  <si>
    <t>helper2</t>
    <phoneticPr fontId="2" type="noConversion"/>
  </si>
  <si>
    <t>helper3</t>
    <phoneticPr fontId="2" type="noConversion"/>
  </si>
  <si>
    <t>helper4</t>
    <phoneticPr fontId="2" type="noConversion"/>
  </si>
  <si>
    <t>helper5</t>
  </si>
  <si>
    <t>The 
Americas</t>
    <phoneticPr fontId="2" type="noConversion"/>
  </si>
  <si>
    <t xml:space="preserve"> Boys</t>
    <phoneticPr fontId="2" type="noConversion"/>
  </si>
  <si>
    <t xml:space="preserve">  Girls</t>
    <phoneticPr fontId="2" type="noConversion"/>
  </si>
  <si>
    <r>
      <t xml:space="preserve">  Sources: Risk Factor Collaboration; UN Population Division; WHO; </t>
    </r>
    <r>
      <rPr>
        <b/>
        <i/>
        <sz val="11"/>
        <color theme="1" tint="0.14999847407452621"/>
        <rFont val="ITC Officina Sans Std Book"/>
        <family val="2"/>
      </rPr>
      <t>The Economist</t>
    </r>
    <phoneticPr fontId="2" type="noConversion"/>
  </si>
  <si>
    <t xml:space="preserve"> Young-aged spread</t>
    <phoneticPr fontId="2" type="noConversion"/>
  </si>
  <si>
    <r>
      <t xml:space="preserve"> </t>
    </r>
    <r>
      <rPr>
        <b/>
        <sz val="6"/>
        <color theme="1" tint="0.14999847407452621"/>
        <rFont val="ITC Officina Sans Std Book"/>
        <family val="2"/>
      </rPr>
      <t xml:space="preserve"> </t>
    </r>
    <r>
      <rPr>
        <b/>
        <sz val="12"/>
        <color theme="1" tint="0.14999847407452621"/>
        <rFont val="ITC Officina Sans Std Book"/>
        <family val="2"/>
      </rPr>
      <t>Obesity rate by region,5- to 19-year-olds,% of age group</t>
    </r>
    <phoneticPr fontId="2" type="noConversion"/>
  </si>
  <si>
    <t xml:space="preserve"> </t>
    <phoneticPr fontId="16" type="noConversion"/>
  </si>
  <si>
    <t>helper1</t>
    <phoneticPr fontId="16" type="noConversion"/>
  </si>
  <si>
    <t>helper2</t>
    <phoneticPr fontId="16" type="noConversion"/>
  </si>
  <si>
    <t>Buzzfeed</t>
    <phoneticPr fontId="16" type="noConversion"/>
  </si>
  <si>
    <t>Netflix</t>
    <phoneticPr fontId="16" type="noConversion"/>
  </si>
  <si>
    <r>
      <rPr>
        <sz val="11"/>
        <color theme="1"/>
        <rFont val="等线"/>
        <family val="2"/>
      </rPr>
      <t>数字媒体正在吸引全世界的观众</t>
    </r>
    <phoneticPr fontId="16" type="noConversion"/>
  </si>
  <si>
    <r>
      <rPr>
        <sz val="11"/>
        <color theme="1"/>
        <rFont val="等线"/>
        <family val="2"/>
      </rPr>
      <t>来自国外的在线流量占总流量的份额</t>
    </r>
    <phoneticPr fontId="16" type="noConversion"/>
  </si>
  <si>
    <r>
      <rPr>
        <sz val="11"/>
        <color theme="1"/>
        <rFont val="等线"/>
        <family val="2"/>
      </rPr>
      <t>作图数据</t>
    </r>
    <phoneticPr fontId="16" type="noConversion"/>
  </si>
  <si>
    <r>
      <rPr>
        <sz val="11"/>
        <color theme="1"/>
        <rFont val="等线"/>
        <family val="2"/>
      </rPr>
      <t>列</t>
    </r>
    <r>
      <rPr>
        <sz val="11"/>
        <color theme="1"/>
        <rFont val="IBM Plex Mono"/>
        <family val="3"/>
      </rPr>
      <t>1</t>
    </r>
  </si>
  <si>
    <r>
      <t>2013</t>
    </r>
    <r>
      <rPr>
        <sz val="11"/>
        <color theme="1"/>
        <rFont val="等线"/>
        <family val="2"/>
      </rPr>
      <t>年</t>
    </r>
    <r>
      <rPr>
        <sz val="11"/>
        <color theme="1"/>
        <rFont val="IBM Plex Mono"/>
        <family val="3"/>
      </rPr>
      <t>10</t>
    </r>
    <r>
      <rPr>
        <sz val="11"/>
        <color theme="1"/>
        <rFont val="等线"/>
        <family val="2"/>
      </rPr>
      <t>月</t>
    </r>
  </si>
  <si>
    <r>
      <t>2015</t>
    </r>
    <r>
      <rPr>
        <sz val="11"/>
        <color theme="1"/>
        <rFont val="等线"/>
        <family val="2"/>
      </rPr>
      <t>年</t>
    </r>
    <r>
      <rPr>
        <sz val="11"/>
        <color theme="1"/>
        <rFont val="IBM Plex Mono"/>
        <family val="3"/>
      </rPr>
      <t>10</t>
    </r>
    <r>
      <rPr>
        <sz val="11"/>
        <color theme="1"/>
        <rFont val="等线"/>
        <family val="2"/>
      </rPr>
      <t>月</t>
    </r>
  </si>
  <si>
    <r>
      <rPr>
        <sz val="11"/>
        <color theme="1"/>
        <rFont val="等线"/>
        <family val="2"/>
      </rPr>
      <t>经济学人</t>
    </r>
    <phoneticPr fontId="16" type="noConversion"/>
  </si>
  <si>
    <r>
      <rPr>
        <sz val="11"/>
        <color theme="1"/>
        <rFont val="等线"/>
        <family val="2"/>
      </rPr>
      <t>金融时报</t>
    </r>
    <phoneticPr fontId="16" type="noConversion"/>
  </si>
  <si>
    <r>
      <rPr>
        <sz val="11"/>
        <color theme="1"/>
        <rFont val="等线"/>
        <family val="2"/>
      </rPr>
      <t>英国卫报</t>
    </r>
    <phoneticPr fontId="16" type="noConversion"/>
  </si>
  <si>
    <r>
      <rPr>
        <sz val="11"/>
        <color theme="1"/>
        <rFont val="等线"/>
        <family val="2"/>
      </rPr>
      <t>雅虎体育</t>
    </r>
    <phoneticPr fontId="16" type="noConversion"/>
  </si>
  <si>
    <r>
      <t>BBC</t>
    </r>
    <r>
      <rPr>
        <sz val="11"/>
        <color theme="1"/>
        <rFont val="等线"/>
        <family val="2"/>
      </rPr>
      <t>新闻</t>
    </r>
    <phoneticPr fontId="16" type="noConversion"/>
  </si>
  <si>
    <r>
      <rPr>
        <sz val="11"/>
        <color theme="1"/>
        <rFont val="等线"/>
        <family val="2"/>
      </rPr>
      <t>时尚杂志</t>
    </r>
    <phoneticPr fontId="16" type="noConversion"/>
  </si>
  <si>
    <r>
      <rPr>
        <sz val="11"/>
        <color theme="1"/>
        <rFont val="等线"/>
        <family val="2"/>
      </rPr>
      <t>泰晤士报</t>
    </r>
    <phoneticPr fontId="16" type="noConversion"/>
  </si>
  <si>
    <r>
      <rPr>
        <sz val="11"/>
        <color theme="1"/>
        <rFont val="等线"/>
        <family val="2"/>
      </rPr>
      <t>商业周刊</t>
    </r>
    <phoneticPr fontId="16" type="noConversion"/>
  </si>
  <si>
    <r>
      <rPr>
        <sz val="11"/>
        <color theme="1"/>
        <rFont val="等线"/>
        <family val="2"/>
      </rPr>
      <t>华尔街日报</t>
    </r>
    <phoneticPr fontId="16" type="noConversion"/>
  </si>
  <si>
    <r>
      <rPr>
        <sz val="11"/>
        <color theme="1"/>
        <rFont val="等线"/>
        <family val="2"/>
      </rPr>
      <t>纽约时报</t>
    </r>
    <phoneticPr fontId="16" type="noConversion"/>
  </si>
  <si>
    <t>2007</t>
  </si>
  <si>
    <t>2016</t>
  </si>
  <si>
    <t>一些非欧国家的银行增加了他们的对外投资</t>
    <phoneticPr fontId="16" type="noConversion"/>
  </si>
  <si>
    <t>对外投资占总资产的比，%</t>
    <phoneticPr fontId="16" type="noConversion"/>
  </si>
  <si>
    <t>作图数据</t>
    <phoneticPr fontId="16" type="noConversion"/>
  </si>
  <si>
    <t>国家</t>
    <phoneticPr fontId="16" type="noConversion"/>
  </si>
  <si>
    <t>加拿大</t>
    <phoneticPr fontId="16" type="noConversion"/>
  </si>
  <si>
    <t>日本</t>
    <phoneticPr fontId="16" type="noConversion"/>
  </si>
  <si>
    <t>澳大利亚</t>
    <phoneticPr fontId="16" type="noConversion"/>
  </si>
  <si>
    <t>俄罗斯</t>
    <phoneticPr fontId="16" type="noConversion"/>
  </si>
  <si>
    <t>印度</t>
    <phoneticPr fontId="16" type="noConversion"/>
  </si>
  <si>
    <t>中国</t>
    <phoneticPr fontId="16" type="noConversion"/>
  </si>
  <si>
    <t>巴西</t>
    <phoneticPr fontId="16" type="noConversion"/>
  </si>
  <si>
    <t>美国政府可支配开支</t>
    <phoneticPr fontId="18" type="noConversion"/>
  </si>
  <si>
    <t>国防开支</t>
    <phoneticPr fontId="18" type="noConversion"/>
  </si>
  <si>
    <t>非国防开支</t>
    <phoneticPr fontId="18" type="noConversion"/>
  </si>
  <si>
    <t>2017</t>
    <phoneticPr fontId="18" type="noConversion"/>
  </si>
  <si>
    <t>2018</t>
    <phoneticPr fontId="18" type="noConversion"/>
  </si>
  <si>
    <t>奥巴马预算</t>
    <phoneticPr fontId="18" type="noConversion"/>
  </si>
  <si>
    <t>特朗普提议</t>
    <phoneticPr fontId="18" type="noConversion"/>
  </si>
  <si>
    <t>预算控制目标</t>
    <phoneticPr fontId="18" type="noConversion"/>
  </si>
  <si>
    <r>
      <rPr>
        <sz val="12"/>
        <color theme="1" tint="0.14999847407452621"/>
        <rFont val="思源宋体 CN Heavy"/>
        <family val="1"/>
        <charset val="134"/>
      </rPr>
      <t xml:space="preserve"> 美国财政预算可自由分配开支</t>
    </r>
    <r>
      <rPr>
        <sz val="12"/>
        <color theme="1"/>
        <rFont val="思源宋体 CN Heavy"/>
        <family val="1"/>
        <charset val="134"/>
      </rPr>
      <t xml:space="preserve">
</t>
    </r>
    <r>
      <rPr>
        <sz val="10"/>
        <color theme="1" tint="0.249977111117893"/>
        <rFont val="思源宋体 CN Heavy"/>
        <family val="1"/>
        <charset val="134"/>
      </rPr>
      <t xml:space="preserve"> 十亿美元</t>
    </r>
    <phoneticPr fontId="18" type="noConversion"/>
  </si>
  <si>
    <t>Follow the leader</t>
    <phoneticPr fontId="2" type="noConversion"/>
  </si>
  <si>
    <t>Share of respondents saying that having a strong leader,who does not have to</t>
    <phoneticPr fontId="2" type="noConversion"/>
  </si>
  <si>
    <t>parliament and elections,is a good way to run their country,%</t>
    <phoneticPr fontId="2" type="noConversion"/>
  </si>
  <si>
    <t>Russia</t>
  </si>
  <si>
    <t>Romania</t>
  </si>
  <si>
    <t>India</t>
  </si>
  <si>
    <t>Ukraine</t>
  </si>
  <si>
    <t>Taiwan</t>
  </si>
  <si>
    <t>South Africa</t>
  </si>
  <si>
    <t>Mexico</t>
  </si>
  <si>
    <t>Philippines</t>
  </si>
  <si>
    <t>Turkey</t>
  </si>
  <si>
    <t>Columbia</t>
  </si>
  <si>
    <t>Argentina</t>
  </si>
  <si>
    <t>South Korea</t>
  </si>
  <si>
    <t>Spain</t>
  </si>
  <si>
    <t>Nigeria</t>
  </si>
  <si>
    <t>Pakistan</t>
  </si>
  <si>
    <t>Chile</t>
  </si>
  <si>
    <t>Japan</t>
  </si>
  <si>
    <t>United States</t>
  </si>
  <si>
    <t>Sweden</t>
  </si>
  <si>
    <t>Australia</t>
  </si>
  <si>
    <t>New Zealand</t>
  </si>
  <si>
    <t>Germany</t>
  </si>
  <si>
    <t>source: "The signs of deconsolidation" by R.S.Foa and Y.Mounk,Journal of Democracy,January 2017</t>
    <phoneticPr fontId="2" type="noConversion"/>
  </si>
  <si>
    <t>1995-97</t>
    <phoneticPr fontId="2" type="noConversion"/>
  </si>
  <si>
    <t>2010-14</t>
    <phoneticPr fontId="2" type="noConversion"/>
  </si>
  <si>
    <t>helper1</t>
    <phoneticPr fontId="2" type="noConversion"/>
  </si>
  <si>
    <t>正误差</t>
    <phoneticPr fontId="2" type="noConversion"/>
  </si>
  <si>
    <t>负误差</t>
    <phoneticPr fontId="2" type="noConversion"/>
  </si>
  <si>
    <t>x</t>
    <phoneticPr fontId="2" type="noConversion"/>
  </si>
  <si>
    <t>y</t>
    <phoneticPr fontId="2" type="noConversion"/>
  </si>
  <si>
    <t>label</t>
    <phoneticPr fontId="2" type="noConversion"/>
  </si>
  <si>
    <t>巨无霸指数</t>
    <phoneticPr fontId="2" type="noConversion"/>
  </si>
  <si>
    <t>各国货币被低/高估的幅度</t>
    <phoneticPr fontId="2" type="noConversion"/>
  </si>
  <si>
    <t>巨无霸价格*，美元</t>
    <phoneticPr fontId="2" type="noConversion"/>
  </si>
  <si>
    <t>瑞士</t>
    <phoneticPr fontId="2" type="noConversion"/>
  </si>
  <si>
    <t>挪威</t>
    <phoneticPr fontId="2" type="noConversion"/>
  </si>
  <si>
    <t>瑞典</t>
    <phoneticPr fontId="2" type="noConversion"/>
  </si>
  <si>
    <t>巴西</t>
    <phoneticPr fontId="2" type="noConversion"/>
  </si>
  <si>
    <t>加拿大</t>
    <phoneticPr fontId="2" type="noConversion"/>
  </si>
  <si>
    <t>澳大利亚</t>
    <phoneticPr fontId="2" type="noConversion"/>
  </si>
  <si>
    <r>
      <t>美国</t>
    </r>
    <r>
      <rPr>
        <sz val="9"/>
        <color theme="1"/>
        <rFont val="思源宋体 CN ExtraLight"/>
        <family val="1"/>
        <charset val="134"/>
      </rPr>
      <t>ƚ</t>
    </r>
    <phoneticPr fontId="2" type="noConversion"/>
  </si>
  <si>
    <r>
      <t>欧元区</t>
    </r>
    <r>
      <rPr>
        <sz val="9"/>
        <color theme="1"/>
        <rFont val="思源宋体 CN ExtraLight"/>
        <family val="1"/>
        <charset val="134"/>
      </rPr>
      <t>ǂ</t>
    </r>
    <phoneticPr fontId="2" type="noConversion"/>
  </si>
  <si>
    <t>阿根廷</t>
    <phoneticPr fontId="2" type="noConversion"/>
  </si>
  <si>
    <t>英国</t>
    <phoneticPr fontId="2" type="noConversion"/>
  </si>
  <si>
    <t>日本</t>
    <phoneticPr fontId="2" type="noConversion"/>
  </si>
  <si>
    <t>土耳其</t>
    <phoneticPr fontId="2" type="noConversion"/>
  </si>
  <si>
    <r>
      <t>中国</t>
    </r>
    <r>
      <rPr>
        <sz val="9"/>
        <color theme="1"/>
        <rFont val="思源宋体 CN ExtraLight"/>
        <family val="1"/>
        <charset val="134"/>
      </rPr>
      <t>Ø</t>
    </r>
    <phoneticPr fontId="2" type="noConversion"/>
  </si>
  <si>
    <t>墨西哥</t>
    <phoneticPr fontId="2" type="noConversion"/>
  </si>
  <si>
    <t>俄罗斯</t>
    <phoneticPr fontId="2" type="noConversion"/>
  </si>
  <si>
    <t>台湾</t>
    <phoneticPr fontId="2" type="noConversion"/>
  </si>
  <si>
    <t>南非</t>
    <phoneticPr fontId="2" type="noConversion"/>
  </si>
  <si>
    <t>埃及</t>
    <phoneticPr fontId="2" type="noConversion"/>
  </si>
  <si>
    <t>资料来源：麦当劳；《经济学人》</t>
    <phoneticPr fontId="2" type="noConversion"/>
  </si>
  <si>
    <t>*按2017年7月12日市场汇率</t>
    <phoneticPr fontId="2" type="noConversion"/>
  </si>
  <si>
    <t>ƚ四城市平均值 ǂ成员国加权平均值</t>
    <phoneticPr fontId="2" type="noConversion"/>
  </si>
  <si>
    <t>Ø五城市平均值</t>
    <phoneticPr fontId="2" type="noConversion"/>
  </si>
  <si>
    <t>helper1</t>
    <phoneticPr fontId="2" type="noConversion"/>
  </si>
  <si>
    <t>helper2</t>
    <phoneticPr fontId="2" type="noConversion"/>
  </si>
  <si>
    <t>helper3</t>
    <phoneticPr fontId="2" type="noConversion"/>
  </si>
  <si>
    <t>label</t>
    <phoneticPr fontId="2" type="noConversion"/>
  </si>
  <si>
    <t>x</t>
    <phoneticPr fontId="2" type="noConversion"/>
  </si>
  <si>
    <t>y</t>
    <phoneticPr fontId="2" type="noConversion"/>
  </si>
  <si>
    <t>ƚ四城市平均值  ǂ成员国加权平均值</t>
    <phoneticPr fontId="2" type="noConversion"/>
  </si>
  <si>
    <r>
      <t xml:space="preserve">    </t>
    </r>
    <r>
      <rPr>
        <sz val="10"/>
        <color theme="1"/>
        <rFont val="思源黑体 CN Bold"/>
        <family val="2"/>
        <charset val="134"/>
      </rPr>
      <t>资料来源：麦当劳；《经济学人》</t>
    </r>
    <phoneticPr fontId="2" type="noConversion"/>
  </si>
  <si>
    <t>The changing use of American leisure time</t>
    <phoneticPr fontId="2" type="noConversion"/>
  </si>
  <si>
    <t>Weekends and holidays,2006 v 2015*</t>
    <phoneticPr fontId="2" type="noConversion"/>
  </si>
  <si>
    <t>Changing in time spent,minutes per day</t>
    <phoneticPr fontId="2" type="noConversion"/>
  </si>
  <si>
    <t>Age group</t>
    <phoneticPr fontId="2" type="noConversion"/>
  </si>
  <si>
    <t>15-24</t>
    <phoneticPr fontId="2" type="noConversion"/>
  </si>
  <si>
    <t>25-44</t>
    <phoneticPr fontId="2" type="noConversion"/>
  </si>
  <si>
    <t>45-64</t>
    <phoneticPr fontId="2" type="noConversion"/>
  </si>
  <si>
    <t>65+</t>
    <phoneticPr fontId="2" type="noConversion"/>
  </si>
  <si>
    <t>Watching TV</t>
    <phoneticPr fontId="2" type="noConversion"/>
  </si>
  <si>
    <t>Computers
(including phones)</t>
    <phoneticPr fontId="2" type="noConversion"/>
  </si>
  <si>
    <t>Sport</t>
    <phoneticPr fontId="2" type="noConversion"/>
  </si>
  <si>
    <t>Socialising</t>
    <phoneticPr fontId="2" type="noConversion"/>
  </si>
  <si>
    <t>Thinking</t>
    <phoneticPr fontId="2" type="noConversion"/>
  </si>
  <si>
    <t>Reading</t>
    <phoneticPr fontId="2" type="noConversion"/>
  </si>
  <si>
    <t>Total time spent per day,2015,hours</t>
    <phoneticPr fontId="2" type="noConversion"/>
  </si>
  <si>
    <t>helper1</t>
    <phoneticPr fontId="2" type="noConversion"/>
  </si>
  <si>
    <t>helper4</t>
  </si>
  <si>
    <t>helper6</t>
  </si>
  <si>
    <t>label</t>
    <phoneticPr fontId="2" type="noConversion"/>
  </si>
  <si>
    <t>x</t>
    <phoneticPr fontId="2" type="noConversion"/>
  </si>
  <si>
    <t>y</t>
    <phoneticPr fontId="2" type="noConversion"/>
  </si>
  <si>
    <t>Watching TV</t>
  </si>
  <si>
    <t>Sport</t>
  </si>
  <si>
    <t>Socialising</t>
  </si>
  <si>
    <t>Thinking</t>
  </si>
  <si>
    <t>Reading</t>
  </si>
  <si>
    <t>Computers
(including phones)</t>
    <phoneticPr fontId="2" type="noConversion"/>
  </si>
  <si>
    <t>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</si>
</sst>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_ "/>
    <numFmt numFmtId="178" formatCode="0.0_);[Red]\(0.0\)"/>
    <numFmt numFmtId="179" formatCode="0.00_ "/>
  </numFmts>
  <fonts count="27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000000"/>
      <name val="Lucida Sans Unicode"/>
      <family val="2"/>
    </font>
    <font>
      <sz val="11"/>
      <color theme="1"/>
      <name val="IBM Plex Mono"/>
      <family val="3"/>
    </font>
    <font>
      <sz val="10"/>
      <color theme="1"/>
      <name val="IBM Plex Mono"/>
      <family val="3"/>
    </font>
    <font>
      <sz val="9"/>
      <color theme="1"/>
      <name val="IBM Plex Mono"/>
      <family val="3"/>
    </font>
    <font>
      <i/>
      <sz val="11"/>
      <color theme="1"/>
      <name val="IBM Plex Mono"/>
      <family val="3"/>
    </font>
    <font>
      <b/>
      <sz val="11"/>
      <color theme="1"/>
      <name val="IBM Plex Mono"/>
      <family val="3"/>
    </font>
    <font>
      <b/>
      <sz val="14"/>
      <color theme="1"/>
      <name val="ITC Officina Sans Std Book"/>
      <family val="2"/>
    </font>
    <font>
      <b/>
      <sz val="11"/>
      <color theme="1" tint="0.14999847407452621"/>
      <name val="ITC Officina Sans Std Book"/>
      <family val="2"/>
    </font>
    <font>
      <b/>
      <i/>
      <sz val="11"/>
      <color theme="1" tint="0.14999847407452621"/>
      <name val="ITC Officina Sans Std Book"/>
      <family val="2"/>
    </font>
    <font>
      <b/>
      <sz val="12"/>
      <color theme="1"/>
      <name val="ITC Officina Sans Std Book"/>
      <family val="2"/>
    </font>
    <font>
      <b/>
      <sz val="18"/>
      <color theme="1"/>
      <name val="ITC Officina Sans Std Book"/>
      <family val="2"/>
    </font>
    <font>
      <b/>
      <sz val="12"/>
      <color theme="1" tint="0.14999847407452621"/>
      <name val="ITC Officina Sans Std Book"/>
      <family val="2"/>
    </font>
    <font>
      <b/>
      <sz val="6"/>
      <color theme="1" tint="0.14999847407452621"/>
      <name val="ITC Officina Sans Std Book"/>
      <family val="2"/>
    </font>
    <font>
      <sz val="9"/>
      <name val="微软雅黑"/>
      <family val="2"/>
      <charset val="134"/>
    </font>
    <font>
      <sz val="11"/>
      <color theme="1"/>
      <name val="等线"/>
      <family val="2"/>
    </font>
    <font>
      <sz val="9"/>
      <name val="等线"/>
      <family val="2"/>
      <charset val="134"/>
      <scheme val="minor"/>
    </font>
    <font>
      <sz val="12"/>
      <color theme="1"/>
      <name val="思源宋体 CN Heavy"/>
      <family val="1"/>
      <charset val="134"/>
    </font>
    <font>
      <sz val="12"/>
      <color theme="1" tint="0.14999847407452621"/>
      <name val="思源宋体 CN Heavy"/>
      <family val="1"/>
      <charset val="134"/>
    </font>
    <font>
      <sz val="10"/>
      <color theme="1" tint="0.249977111117893"/>
      <name val="思源宋体 CN Heavy"/>
      <family val="1"/>
      <charset val="134"/>
    </font>
    <font>
      <sz val="9"/>
      <color rgb="FF2E3033"/>
      <name val="IBM Plex Mono"/>
      <family val="3"/>
    </font>
    <font>
      <sz val="10"/>
      <color theme="1"/>
      <name val="思源宋体 CN ExtraLight"/>
      <family val="1"/>
      <charset val="134"/>
    </font>
    <font>
      <sz val="10"/>
      <color theme="1"/>
      <name val="思源黑体 CN Medium"/>
      <family val="2"/>
      <charset val="134"/>
    </font>
    <font>
      <sz val="9"/>
      <color theme="1"/>
      <name val="思源宋体 CN ExtraLight"/>
      <family val="1"/>
      <charset val="134"/>
    </font>
    <font>
      <sz val="10"/>
      <color theme="1"/>
      <name val="思源黑体 CN Bold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9E6EC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medium">
        <color theme="1" tint="0.2499465926084170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24994659260841701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/>
      <right/>
      <top style="medium">
        <color auto="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57" fontId="4" fillId="0" borderId="0" xfId="0" applyNumberFormat="1" applyFont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quotePrefix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2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57" fontId="23" fillId="0" borderId="0" xfId="0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0" fontId="23" fillId="0" borderId="20" xfId="0" applyFont="1" applyBorder="1" applyAlignment="1">
      <alignment vertical="center"/>
    </xf>
    <xf numFmtId="177" fontId="23" fillId="0" borderId="20" xfId="0" applyNumberFormat="1" applyFont="1" applyBorder="1" applyAlignment="1">
      <alignment horizontal="right" vertical="center"/>
    </xf>
    <xf numFmtId="176" fontId="23" fillId="0" borderId="20" xfId="0" applyNumberFormat="1" applyFont="1" applyBorder="1" applyAlignment="1">
      <alignment horizontal="right" vertical="center"/>
    </xf>
    <xf numFmtId="0" fontId="23" fillId="0" borderId="20" xfId="0" applyFont="1" applyBorder="1" applyAlignment="1">
      <alignment horizontal="right" vertical="center"/>
    </xf>
    <xf numFmtId="0" fontId="23" fillId="0" borderId="2" xfId="0" applyFont="1" applyBorder="1" applyAlignment="1">
      <alignment vertical="center"/>
    </xf>
    <xf numFmtId="177" fontId="23" fillId="0" borderId="2" xfId="0" applyNumberFormat="1" applyFont="1" applyBorder="1" applyAlignment="1">
      <alignment horizontal="right" vertical="center"/>
    </xf>
    <xf numFmtId="176" fontId="23" fillId="0" borderId="2" xfId="0" applyNumberFormat="1" applyFont="1" applyBorder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0" fontId="23" fillId="0" borderId="21" xfId="0" applyFont="1" applyBorder="1" applyAlignment="1">
      <alignment vertical="center"/>
    </xf>
    <xf numFmtId="177" fontId="23" fillId="0" borderId="21" xfId="0" applyNumberFormat="1" applyFont="1" applyBorder="1" applyAlignment="1">
      <alignment horizontal="right" vertical="center"/>
    </xf>
    <xf numFmtId="176" fontId="23" fillId="0" borderId="21" xfId="0" applyNumberFormat="1" applyFont="1" applyBorder="1" applyAlignment="1">
      <alignment horizontal="right" vertical="center"/>
    </xf>
    <xf numFmtId="0" fontId="23" fillId="0" borderId="21" xfId="0" applyFont="1" applyBorder="1" applyAlignment="1">
      <alignment horizontal="right" vertical="center"/>
    </xf>
    <xf numFmtId="0" fontId="23" fillId="0" borderId="2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23" fillId="3" borderId="25" xfId="0" applyFont="1" applyFill="1" applyBorder="1" applyAlignment="1">
      <alignment vertical="center"/>
    </xf>
    <xf numFmtId="0" fontId="23" fillId="3" borderId="0" xfId="0" applyFont="1" applyFill="1" applyBorder="1" applyAlignment="1">
      <alignment vertical="center"/>
    </xf>
    <xf numFmtId="0" fontId="24" fillId="3" borderId="0" xfId="0" applyFont="1" applyFill="1" applyBorder="1" applyAlignment="1">
      <alignment horizontal="right" vertical="center" indent="3"/>
    </xf>
    <xf numFmtId="0" fontId="24" fillId="3" borderId="0" xfId="0" applyFont="1" applyFill="1" applyBorder="1" applyAlignment="1">
      <alignment horizontal="right" vertical="center"/>
    </xf>
    <xf numFmtId="0" fontId="23" fillId="3" borderId="26" xfId="0" applyFont="1" applyFill="1" applyBorder="1" applyAlignment="1">
      <alignment vertical="center"/>
    </xf>
    <xf numFmtId="0" fontId="23" fillId="3" borderId="27" xfId="0" applyFont="1" applyFill="1" applyBorder="1" applyAlignment="1">
      <alignment vertical="top"/>
    </xf>
    <xf numFmtId="0" fontId="23" fillId="3" borderId="28" xfId="0" applyFont="1" applyFill="1" applyBorder="1" applyAlignment="1">
      <alignment vertical="center"/>
    </xf>
    <xf numFmtId="0" fontId="23" fillId="3" borderId="29" xfId="0" applyFont="1" applyFill="1" applyBorder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30" xfId="0" applyFont="1" applyBorder="1" applyAlignment="1">
      <alignment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0" fontId="5" fillId="0" borderId="31" xfId="0" applyFont="1" applyBorder="1" applyAlignment="1">
      <alignment vertical="center"/>
    </xf>
    <xf numFmtId="176" fontId="5" fillId="0" borderId="31" xfId="0" applyNumberFormat="1" applyFont="1" applyBorder="1" applyAlignment="1">
      <alignment horizontal="right" vertical="center"/>
    </xf>
    <xf numFmtId="0" fontId="5" fillId="0" borderId="30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178" fontId="5" fillId="0" borderId="30" xfId="0" applyNumberFormat="1" applyFont="1" applyBorder="1" applyAlignment="1">
      <alignment horizontal="right" vertical="center"/>
    </xf>
    <xf numFmtId="178" fontId="5" fillId="0" borderId="2" xfId="0" applyNumberFormat="1" applyFont="1" applyBorder="1" applyAlignment="1">
      <alignment horizontal="right" vertical="center"/>
    </xf>
    <xf numFmtId="178" fontId="5" fillId="0" borderId="31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179" fontId="5" fillId="0" borderId="3" xfId="0" applyNumberFormat="1" applyFont="1" applyBorder="1" applyAlignment="1">
      <alignment horizontal="center" vertical="center"/>
    </xf>
    <xf numFmtId="0" fontId="19" fillId="2" borderId="12" xfId="0" applyFont="1" applyFill="1" applyBorder="1" applyAlignment="1">
      <alignment horizontal="left" vertical="center" wrapText="1"/>
    </xf>
    <xf numFmtId="0" fontId="19" fillId="2" borderId="13" xfId="0" applyFont="1" applyFill="1" applyBorder="1" applyAlignment="1">
      <alignment horizontal="left" vertical="center" wrapText="1"/>
    </xf>
    <xf numFmtId="0" fontId="19" fillId="2" borderId="14" xfId="0" applyFont="1" applyFill="1" applyBorder="1" applyAlignment="1">
      <alignment horizontal="left" vertical="center" wrapText="1"/>
    </xf>
  </cellXfs>
  <cellStyles count="1">
    <cellStyle name="常规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Mono"/>
        <family val="3"/>
        <scheme val="none"/>
      </font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6E2DF"/>
      <color rgb="FFD9E6EC"/>
      <color rgb="FFBEC8CA"/>
      <color rgb="FF49CEFB"/>
      <color rgb="FF194754"/>
      <color rgb="FFE06D26"/>
      <color rgb="FF6ED0F6"/>
      <color rgb="FFF15B40"/>
      <color rgb="FF02536E"/>
      <color rgb="FF68C2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</a:rPr>
              <a:t>一些非欧国家的银行增加了他们的对外投资</a:t>
            </a:r>
            <a:endParaRPr lang="en-US" altLang="zh-CN" sz="1200">
              <a:solidFill>
                <a:schemeClr val="tx1">
                  <a:lumMod val="85000"/>
                  <a:lumOff val="1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</a:endParaRPr>
          </a:p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  <a:cs typeface="+mn-cs"/>
              </a:defRPr>
            </a:pPr>
            <a:r>
              <a:rPr lang="en-US" altLang="zh-CN" sz="1000">
                <a:solidFill>
                  <a:schemeClr val="tx1">
                    <a:lumMod val="75000"/>
                    <a:lumOff val="2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</a:rPr>
              <a:t>%</a:t>
            </a:r>
            <a:r>
              <a:rPr lang="zh-CN" altLang="en-US" sz="1000">
                <a:solidFill>
                  <a:schemeClr val="tx1">
                    <a:lumMod val="75000"/>
                    <a:lumOff val="25000"/>
                  </a:schemeClr>
                </a:solidFill>
                <a:latin typeface="思源黑体 CN Regular" panose="020B0500000000000000" pitchFamily="34" charset="-122"/>
                <a:ea typeface="思源黑体 CN Regular" panose="020B0500000000000000" pitchFamily="34" charset="-122"/>
              </a:rPr>
              <a:t>对外投资占总资产的比</a:t>
            </a:r>
            <a:endParaRPr lang="zh-CN" sz="900">
              <a:solidFill>
                <a:schemeClr val="tx1">
                  <a:lumMod val="75000"/>
                  <a:lumOff val="2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</a:endParaRPr>
          </a:p>
        </c:rich>
      </c:tx>
      <c:layout>
        <c:manualLayout>
          <c:xMode val="edge"/>
          <c:yMode val="edge"/>
          <c:x val="1.6666666666666666E-2"/>
          <c:y val="1.68776339265881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11111111111114"/>
          <c:y val="0.12848953612077538"/>
          <c:w val="0.81043066491688553"/>
          <c:h val="0.783656705463251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[1]图6!$G$5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98DBF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[1]图6!$F$6:$F$12</c:f>
              <c:strCache>
                <c:ptCount val="7"/>
                <c:pt idx="0">
                  <c:v>加拿大</c:v>
                </c:pt>
                <c:pt idx="1">
                  <c:v>日本</c:v>
                </c:pt>
                <c:pt idx="2">
                  <c:v>澳大利亚</c:v>
                </c:pt>
                <c:pt idx="3">
                  <c:v>俄罗斯</c:v>
                </c:pt>
                <c:pt idx="4">
                  <c:v>印度</c:v>
                </c:pt>
                <c:pt idx="5">
                  <c:v>中国</c:v>
                </c:pt>
                <c:pt idx="6">
                  <c:v>巴西</c:v>
                </c:pt>
              </c:strCache>
            </c:strRef>
          </c:cat>
          <c:val>
            <c:numRef>
              <c:f>[1]图6!$G$6:$G$12</c:f>
              <c:numCache>
                <c:formatCode>General</c:formatCode>
                <c:ptCount val="7"/>
                <c:pt idx="0">
                  <c:v>38</c:v>
                </c:pt>
                <c:pt idx="1">
                  <c:v>17</c:v>
                </c:pt>
                <c:pt idx="2">
                  <c:v>29</c:v>
                </c:pt>
                <c:pt idx="3">
                  <c:v>7</c:v>
                </c:pt>
                <c:pt idx="4">
                  <c:v>9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5-4043-9FE2-CB4EB3775501}"/>
            </c:ext>
          </c:extLst>
        </c:ser>
        <c:ser>
          <c:idx val="1"/>
          <c:order val="1"/>
          <c:tx>
            <c:strRef>
              <c:f>[1]图6!$H$5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0AA8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[1]图6!$F$6:$F$12</c:f>
              <c:strCache>
                <c:ptCount val="7"/>
                <c:pt idx="0">
                  <c:v>加拿大</c:v>
                </c:pt>
                <c:pt idx="1">
                  <c:v>日本</c:v>
                </c:pt>
                <c:pt idx="2">
                  <c:v>澳大利亚</c:v>
                </c:pt>
                <c:pt idx="3">
                  <c:v>俄罗斯</c:v>
                </c:pt>
                <c:pt idx="4">
                  <c:v>印度</c:v>
                </c:pt>
                <c:pt idx="5">
                  <c:v>中国</c:v>
                </c:pt>
                <c:pt idx="6">
                  <c:v>巴西</c:v>
                </c:pt>
              </c:strCache>
            </c:strRef>
          </c:cat>
          <c:val>
            <c:numRef>
              <c:f>[1]图6!$H$6:$H$12</c:f>
              <c:numCache>
                <c:formatCode>General</c:formatCode>
                <c:ptCount val="7"/>
                <c:pt idx="0">
                  <c:v>50</c:v>
                </c:pt>
                <c:pt idx="1">
                  <c:v>25</c:v>
                </c:pt>
                <c:pt idx="2">
                  <c:v>20</c:v>
                </c:pt>
                <c:pt idx="3">
                  <c:v>18</c:v>
                </c:pt>
                <c:pt idx="4">
                  <c:v>13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5-4043-9FE2-CB4EB3775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759112"/>
        <c:axId val="651762064"/>
      </c:barChart>
      <c:scatterChart>
        <c:scatterStyle val="lineMarker"/>
        <c:varyColors val="0"/>
        <c:ser>
          <c:idx val="2"/>
          <c:order val="2"/>
          <c:tx>
            <c:strRef>
              <c:f>图1!$M$4</c:f>
              <c:strCache>
                <c:ptCount val="1"/>
                <c:pt idx="0">
                  <c:v>helper1</c:v>
                </c:pt>
              </c:strCache>
            </c:strRef>
          </c:tx>
          <c:spPr>
            <a:ln w="19050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6350">
                <a:noFill/>
              </a:ln>
            </c:spPr>
          </c:marker>
          <c:xVal>
            <c:numRef>
              <c:f>图1!$M$6:$M$12</c:f>
              <c:numCache>
                <c:formatCode>General</c:formatCode>
                <c:ptCount val="7"/>
                <c:pt idx="0">
                  <c:v>38</c:v>
                </c:pt>
                <c:pt idx="1">
                  <c:v>17</c:v>
                </c:pt>
                <c:pt idx="2">
                  <c:v>29</c:v>
                </c:pt>
                <c:pt idx="3">
                  <c:v>7</c:v>
                </c:pt>
                <c:pt idx="4">
                  <c:v>9</c:v>
                </c:pt>
                <c:pt idx="5">
                  <c:v>2</c:v>
                </c:pt>
                <c:pt idx="6">
                  <c:v>2</c:v>
                </c:pt>
              </c:numCache>
            </c:numRef>
          </c:xVal>
          <c:yVal>
            <c:numRef>
              <c:f>图1!$N$6:$N$12</c:f>
              <c:numCache>
                <c:formatCode>General</c:formatCode>
                <c:ptCount val="7"/>
                <c:pt idx="0">
                  <c:v>17.25</c:v>
                </c:pt>
                <c:pt idx="1">
                  <c:v>14.45</c:v>
                </c:pt>
                <c:pt idx="2">
                  <c:v>11.6</c:v>
                </c:pt>
                <c:pt idx="3">
                  <c:v>8.6999999999999993</c:v>
                </c:pt>
                <c:pt idx="4">
                  <c:v>5.85</c:v>
                </c:pt>
                <c:pt idx="5">
                  <c:v>3</c:v>
                </c:pt>
                <c:pt idx="6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94-4856-985F-E964AD3D3997}"/>
            </c:ext>
          </c:extLst>
        </c:ser>
        <c:ser>
          <c:idx val="3"/>
          <c:order val="3"/>
          <c:tx>
            <c:strRef>
              <c:f>图1!$P$4</c:f>
              <c:strCache>
                <c:ptCount val="1"/>
                <c:pt idx="0">
                  <c:v>helper2</c:v>
                </c:pt>
              </c:strCache>
            </c:strRef>
          </c:tx>
          <c:spPr>
            <a:ln w="19050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6350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3D0738D-DBEE-4778-805C-A01B27161B4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894-4856-985F-E964AD3D39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A0BFF3-3D3B-4388-B707-48EF3E978C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894-4856-985F-E964AD3D3997}"/>
                </c:ext>
              </c:extLst>
            </c:dLbl>
            <c:dLbl>
              <c:idx val="2"/>
              <c:layout>
                <c:manualLayout>
                  <c:x val="0.11194029850746269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50" b="0" i="1">
                        <a:solidFill>
                          <a:srgbClr val="FF0000"/>
                        </a:solidFill>
                        <a:latin typeface="ITC Officina Sans Std Book" panose="020B0506040203020204" pitchFamily="34" charset="0"/>
                      </a:defRPr>
                    </a:pPr>
                    <a:fld id="{4DF5B5F7-C00F-47A9-B30D-86CE6DE4CD4C}" type="CELLRANGE">
                      <a:rPr lang="en-US" altLang="zh-CN"/>
                      <a:pPr>
                        <a:defRPr sz="1050" b="0" i="1">
                          <a:solidFill>
                            <a:srgbClr val="FF0000"/>
                          </a:solidFill>
                          <a:latin typeface="ITC Officina Sans Std Book" panose="020B0506040203020204" pitchFamily="34" charset="0"/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894-4856-985F-E964AD3D399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A23BCB1-9ACB-415C-BD13-68D8435092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894-4856-985F-E964AD3D39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8E1672A-593F-45D6-B9E2-A55FC2CD17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894-4856-985F-E964AD3D39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A1DAFEC-5AF9-429D-89D2-A154CA71EFD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894-4856-985F-E964AD3D399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6FE1E51-722C-43A3-A195-409A6AA403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894-4856-985F-E964AD3D39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0" i="1">
                    <a:solidFill>
                      <a:srgbClr val="00B050"/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图1!$I$6:$I$12</c:f>
                <c:numCache>
                  <c:formatCode>General</c:formatCode>
                  <c:ptCount val="7"/>
                  <c:pt idx="0">
                    <c:v>12</c:v>
                  </c:pt>
                  <c:pt idx="1">
                    <c:v>8</c:v>
                  </c:pt>
                  <c:pt idx="2">
                    <c:v>#N/A</c:v>
                  </c:pt>
                  <c:pt idx="3">
                    <c:v>11</c:v>
                  </c:pt>
                  <c:pt idx="4">
                    <c:v>4</c:v>
                  </c:pt>
                  <c:pt idx="5">
                    <c:v>7</c:v>
                  </c:pt>
                  <c:pt idx="6">
                    <c:v>6</c:v>
                  </c:pt>
                </c:numCache>
              </c:numRef>
            </c:minus>
            <c:spPr>
              <a:ln w="41275">
                <a:solidFill>
                  <a:srgbClr val="00B050"/>
                </a:solidFill>
                <a:headEnd type="triangle"/>
              </a:ln>
            </c:spPr>
          </c:errBars>
          <c:xVal>
            <c:numRef>
              <c:f>图1!$P$6:$P$12</c:f>
              <c:numCache>
                <c:formatCode>General</c:formatCode>
                <c:ptCount val="7"/>
                <c:pt idx="0">
                  <c:v>50</c:v>
                </c:pt>
                <c:pt idx="1">
                  <c:v>25</c:v>
                </c:pt>
                <c:pt idx="2">
                  <c:v>20</c:v>
                </c:pt>
                <c:pt idx="3">
                  <c:v>18</c:v>
                </c:pt>
                <c:pt idx="4">
                  <c:v>13</c:v>
                </c:pt>
                <c:pt idx="5">
                  <c:v>9</c:v>
                </c:pt>
                <c:pt idx="6">
                  <c:v>8</c:v>
                </c:pt>
              </c:numCache>
            </c:numRef>
          </c:xVal>
          <c:yVal>
            <c:numRef>
              <c:f>图1!$Q$6:$Q$12</c:f>
              <c:numCache>
                <c:formatCode>General</c:formatCode>
                <c:ptCount val="7"/>
                <c:pt idx="0">
                  <c:v>17.25</c:v>
                </c:pt>
                <c:pt idx="1">
                  <c:v>14.45</c:v>
                </c:pt>
                <c:pt idx="2">
                  <c:v>11.6</c:v>
                </c:pt>
                <c:pt idx="3">
                  <c:v>8.6999999999999993</c:v>
                </c:pt>
                <c:pt idx="4">
                  <c:v>5.85</c:v>
                </c:pt>
                <c:pt idx="5">
                  <c:v>3</c:v>
                </c:pt>
                <c:pt idx="6">
                  <c:v>0.15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图1!$K$6:$K$12</c15:f>
                <c15:dlblRangeCache>
                  <c:ptCount val="7"/>
                  <c:pt idx="0">
                    <c:v>12</c:v>
                  </c:pt>
                  <c:pt idx="1">
                    <c:v>8</c:v>
                  </c:pt>
                  <c:pt idx="2">
                    <c:v>9</c:v>
                  </c:pt>
                  <c:pt idx="3">
                    <c:v>11</c:v>
                  </c:pt>
                  <c:pt idx="4">
                    <c:v>4</c:v>
                  </c:pt>
                  <c:pt idx="5">
                    <c:v>7</c:v>
                  </c:pt>
                  <c:pt idx="6">
                    <c:v>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B894-4856-985F-E964AD3D3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61880"/>
        <c:axId val="567959912"/>
      </c:scatterChart>
      <c:catAx>
        <c:axId val="651759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endParaRPr lang="zh-CN"/>
          </a:p>
        </c:txPr>
        <c:crossAx val="651762064"/>
        <c:crosses val="autoZero"/>
        <c:auto val="1"/>
        <c:lblAlgn val="ctr"/>
        <c:lblOffset val="100"/>
        <c:noMultiLvlLbl val="0"/>
      </c:catAx>
      <c:valAx>
        <c:axId val="65176206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51759112"/>
        <c:crosses val="autoZero"/>
        <c:crossBetween val="between"/>
      </c:valAx>
      <c:valAx>
        <c:axId val="567959912"/>
        <c:scaling>
          <c:orientation val="minMax"/>
          <c:max val="2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567961880"/>
        <c:crosses val="max"/>
        <c:crossBetween val="midCat"/>
      </c:valAx>
      <c:valAx>
        <c:axId val="567961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7959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3615896893485333"/>
          <c:y val="6.7825671121388265E-2"/>
          <c:w val="0.19154307204136797"/>
          <c:h val="4.3704042239901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  <a:cs typeface="+mn-cs"/>
              </a:defRPr>
            </a:pPr>
            <a:r>
              <a:rPr lang="zh-CN" altLang="en-US" sz="1200">
                <a:solidFill>
                  <a:schemeClr val="tx1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rPr>
              <a:t>数字媒体正在吸引全世界的观众</a:t>
            </a:r>
            <a:endParaRPr lang="en-US" altLang="zh-CN" sz="1200">
              <a:solidFill>
                <a:schemeClr val="tx1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endParaRPr>
          </a:p>
          <a:p>
            <a:pPr algn="l">
              <a:defRPr>
                <a:solidFill>
                  <a:schemeClr val="tx1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defRPr>
            </a:pPr>
            <a:r>
              <a:rPr lang="zh-CN" altLang="en-US" sz="1050">
                <a:solidFill>
                  <a:schemeClr val="tx1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rPr>
              <a:t>来自国外的在线流量占总流量的份额</a:t>
            </a:r>
          </a:p>
        </c:rich>
      </c:tx>
      <c:layout>
        <c:manualLayout>
          <c:xMode val="edge"/>
          <c:yMode val="edge"/>
          <c:x val="1.6402116402116401E-2"/>
          <c:y val="2.526315231094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455555555555557"/>
          <c:y val="0.17446811841688115"/>
          <c:w val="0.80488888888888888"/>
          <c:h val="0.7566096245776063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[1]图15!$G$5</c:f>
              <c:strCache>
                <c:ptCount val="1"/>
                <c:pt idx="0">
                  <c:v>helper1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76800976800976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6B-472B-92FC-D3C0C1CB6E98}"/>
                </c:ext>
              </c:extLst>
            </c:dLbl>
            <c:dLbl>
              <c:idx val="1"/>
              <c:layout>
                <c:manualLayout>
                  <c:x val="-9.76800976800976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6B-472B-92FC-D3C0C1CB6E98}"/>
                </c:ext>
              </c:extLst>
            </c:dLbl>
            <c:dLbl>
              <c:idx val="2"/>
              <c:layout>
                <c:manualLayout>
                  <c:x val="-9.76800976800976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6B-472B-92FC-D3C0C1CB6E98}"/>
                </c:ext>
              </c:extLst>
            </c:dLbl>
            <c:dLbl>
              <c:idx val="3"/>
              <c:layout>
                <c:manualLayout>
                  <c:x val="-9.76800976800976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6B-472B-92FC-D3C0C1CB6E98}"/>
                </c:ext>
              </c:extLst>
            </c:dLbl>
            <c:dLbl>
              <c:idx val="4"/>
              <c:layout>
                <c:manualLayout>
                  <c:x val="-9.747243133069905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6B-472B-92FC-D3C0C1CB6E98}"/>
                </c:ext>
              </c:extLst>
            </c:dLbl>
            <c:dLbl>
              <c:idx val="5"/>
              <c:layout>
                <c:manualLayout>
                  <c:x val="-9.76800976800976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6B-472B-92FC-D3C0C1CB6E98}"/>
                </c:ext>
              </c:extLst>
            </c:dLbl>
            <c:dLbl>
              <c:idx val="6"/>
              <c:layout>
                <c:manualLayout>
                  <c:x val="-9.3559074346475923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6B-472B-92FC-D3C0C1CB6E98}"/>
                </c:ext>
              </c:extLst>
            </c:dLbl>
            <c:dLbl>
              <c:idx val="7"/>
              <c:layout>
                <c:manualLayout>
                  <c:x val="-9.76800976800976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6B-472B-92FC-D3C0C1CB6E98}"/>
                </c:ext>
              </c:extLst>
            </c:dLbl>
            <c:dLbl>
              <c:idx val="8"/>
              <c:layout>
                <c:manualLayout>
                  <c:x val="-0.1056104525395864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6B-472B-92FC-D3C0C1CB6E98}"/>
                </c:ext>
              </c:extLst>
            </c:dLbl>
            <c:dLbl>
              <c:idx val="9"/>
              <c:layout>
                <c:manualLayout>
                  <c:x val="-9.76800976800976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6B-472B-92FC-D3C0C1CB6E98}"/>
                </c:ext>
              </c:extLst>
            </c:dLbl>
            <c:dLbl>
              <c:idx val="10"/>
              <c:layout>
                <c:manualLayout>
                  <c:x val="-8.669108669108668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6B-472B-92FC-D3C0C1CB6E98}"/>
                </c:ext>
              </c:extLst>
            </c:dLbl>
            <c:dLbl>
              <c:idx val="11"/>
              <c:layout>
                <c:manualLayout>
                  <c:x val="-9.76800976800976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6B-472B-92FC-D3C0C1CB6E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900" b="0" i="0" u="none" strike="noStrike" kern="1200" baseline="0">
                    <a:solidFill>
                      <a:schemeClr val="tx1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[1]图15!$F$6:$F$17</c:f>
              <c:strCache>
                <c:ptCount val="12"/>
                <c:pt idx="0">
                  <c:v>经济学人</c:v>
                </c:pt>
                <c:pt idx="1">
                  <c:v>金融时报</c:v>
                </c:pt>
                <c:pt idx="2">
                  <c:v>英国卫报</c:v>
                </c:pt>
                <c:pt idx="3">
                  <c:v>雅虎体育</c:v>
                </c:pt>
                <c:pt idx="4">
                  <c:v>BBC新闻</c:v>
                </c:pt>
                <c:pt idx="5">
                  <c:v>时尚杂志</c:v>
                </c:pt>
                <c:pt idx="6">
                  <c:v>Buzzfeed</c:v>
                </c:pt>
                <c:pt idx="7">
                  <c:v>泰晤士报</c:v>
                </c:pt>
                <c:pt idx="8">
                  <c:v>Netflix</c:v>
                </c:pt>
                <c:pt idx="9">
                  <c:v>商业周刊</c:v>
                </c:pt>
                <c:pt idx="10">
                  <c:v>华尔街日报</c:v>
                </c:pt>
                <c:pt idx="11">
                  <c:v>纽约时报</c:v>
                </c:pt>
              </c:strCache>
            </c:strRef>
          </c:cat>
          <c:val>
            <c:numRef>
              <c:f>[1]图15!$G$6:$G$17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6B-472B-92FC-D3C0C1CB6E98}"/>
            </c:ext>
          </c:extLst>
        </c:ser>
        <c:ser>
          <c:idx val="1"/>
          <c:order val="1"/>
          <c:tx>
            <c:strRef>
              <c:f>[1]图15!$H$5</c:f>
              <c:strCache>
                <c:ptCount val="1"/>
                <c:pt idx="0">
                  <c:v>2013年10月</c:v>
                </c:pt>
              </c:strCache>
            </c:strRef>
          </c:tx>
          <c:spPr>
            <a:solidFill>
              <a:srgbClr val="98DBF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[1]图15!$F$6:$F$17</c:f>
              <c:strCache>
                <c:ptCount val="12"/>
                <c:pt idx="0">
                  <c:v>经济学人</c:v>
                </c:pt>
                <c:pt idx="1">
                  <c:v>金融时报</c:v>
                </c:pt>
                <c:pt idx="2">
                  <c:v>英国卫报</c:v>
                </c:pt>
                <c:pt idx="3">
                  <c:v>雅虎体育</c:v>
                </c:pt>
                <c:pt idx="4">
                  <c:v>BBC新闻</c:v>
                </c:pt>
                <c:pt idx="5">
                  <c:v>时尚杂志</c:v>
                </c:pt>
                <c:pt idx="6">
                  <c:v>Buzzfeed</c:v>
                </c:pt>
                <c:pt idx="7">
                  <c:v>泰晤士报</c:v>
                </c:pt>
                <c:pt idx="8">
                  <c:v>Netflix</c:v>
                </c:pt>
                <c:pt idx="9">
                  <c:v>商业周刊</c:v>
                </c:pt>
                <c:pt idx="10">
                  <c:v>华尔街日报</c:v>
                </c:pt>
                <c:pt idx="11">
                  <c:v>纽约时报</c:v>
                </c:pt>
              </c:strCache>
            </c:strRef>
          </c:cat>
          <c:val>
            <c:numRef>
              <c:f>[1]图15!$H$6:$H$17</c:f>
              <c:numCache>
                <c:formatCode>General</c:formatCode>
                <c:ptCount val="12"/>
                <c:pt idx="0">
                  <c:v>91</c:v>
                </c:pt>
                <c:pt idx="1">
                  <c:v>77</c:v>
                </c:pt>
                <c:pt idx="2">
                  <c:v>73</c:v>
                </c:pt>
                <c:pt idx="3">
                  <c:v>27</c:v>
                </c:pt>
                <c:pt idx="4">
                  <c:v>40</c:v>
                </c:pt>
                <c:pt idx="5">
                  <c:v>27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24</c:v>
                </c:pt>
                <c:pt idx="10">
                  <c:v>21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A6B-472B-92FC-D3C0C1CB6E98}"/>
            </c:ext>
          </c:extLst>
        </c:ser>
        <c:ser>
          <c:idx val="2"/>
          <c:order val="2"/>
          <c:tx>
            <c:strRef>
              <c:f>[1]图15!$I$5</c:f>
              <c:strCache>
                <c:ptCount val="1"/>
                <c:pt idx="0">
                  <c:v>2015年10月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A6B-472B-92FC-D3C0C1CB6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A6B-472B-92FC-D3C0C1CB6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A6B-472B-92FC-D3C0C1CB6E9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A6B-472B-92FC-D3C0C1CB6E98}"/>
              </c:ext>
            </c:extLst>
          </c:dPt>
          <c:cat>
            <c:strRef>
              <c:f>[1]图15!$F$6:$F$17</c:f>
              <c:strCache>
                <c:ptCount val="12"/>
                <c:pt idx="0">
                  <c:v>经济学人</c:v>
                </c:pt>
                <c:pt idx="1">
                  <c:v>金融时报</c:v>
                </c:pt>
                <c:pt idx="2">
                  <c:v>英国卫报</c:v>
                </c:pt>
                <c:pt idx="3">
                  <c:v>雅虎体育</c:v>
                </c:pt>
                <c:pt idx="4">
                  <c:v>BBC新闻</c:v>
                </c:pt>
                <c:pt idx="5">
                  <c:v>时尚杂志</c:v>
                </c:pt>
                <c:pt idx="6">
                  <c:v>Buzzfeed</c:v>
                </c:pt>
                <c:pt idx="7">
                  <c:v>泰晤士报</c:v>
                </c:pt>
                <c:pt idx="8">
                  <c:v>Netflix</c:v>
                </c:pt>
                <c:pt idx="9">
                  <c:v>商业周刊</c:v>
                </c:pt>
                <c:pt idx="10">
                  <c:v>华尔街日报</c:v>
                </c:pt>
                <c:pt idx="11">
                  <c:v>纽约时报</c:v>
                </c:pt>
              </c:strCache>
            </c:strRef>
          </c:cat>
          <c:val>
            <c:numRef>
              <c:f>[1]图15!$I$6:$I$17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34</c:v>
                </c:pt>
                <c:pt idx="4">
                  <c:v>20</c:v>
                </c:pt>
                <c:pt idx="5">
                  <c:v>29</c:v>
                </c:pt>
                <c:pt idx="6">
                  <c:v>21</c:v>
                </c:pt>
                <c:pt idx="7">
                  <c:v>17</c:v>
                </c:pt>
                <c:pt idx="8">
                  <c:v>19</c:v>
                </c:pt>
                <c:pt idx="9">
                  <c:v>15</c:v>
                </c:pt>
                <c:pt idx="10">
                  <c:v>12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A6B-472B-92FC-D3C0C1CB6E98}"/>
            </c:ext>
          </c:extLst>
        </c:ser>
        <c:ser>
          <c:idx val="3"/>
          <c:order val="3"/>
          <c:tx>
            <c:strRef>
              <c:f>[1]图15!$J$5</c:f>
              <c:strCache>
                <c:ptCount val="1"/>
                <c:pt idx="0">
                  <c:v>helper2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53FD1C4-FCAF-47B1-A69C-1FDD23C69CF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BA6B-472B-92FC-D3C0C1CB6E9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E92D2C4-D22F-4479-BF27-4104E457D0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A6B-472B-92FC-D3C0C1CB6E9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6A6AC78-F9D9-4304-85D9-C7CBEBD86D0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A6B-472B-92FC-D3C0C1CB6E9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531814-25CB-425D-B04D-4361BC9F9B9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A6B-472B-92FC-D3C0C1CB6E9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6CF4441-BB0F-4F2A-BAE5-9F1D362B85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A6B-472B-92FC-D3C0C1CB6E9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FA9CC4-A429-4C5B-A358-9BA88FCBD8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A6B-472B-92FC-D3C0C1CB6E9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6572FCD-9920-41AC-9CE5-3B75CF8E8C7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A6B-472B-92FC-D3C0C1CB6E9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D523EB1-59B3-456C-B1CF-0D84D6A79B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A6B-472B-92FC-D3C0C1CB6E9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3585BB4-C2A4-4204-BC29-C574D307B78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A6B-472B-92FC-D3C0C1CB6E9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A728907-BCE8-493A-9D9D-38A80B73EA7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A6B-472B-92FC-D3C0C1CB6E9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80424F3-7A77-4301-95D1-4746C4F197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A6B-472B-92FC-D3C0C1CB6E9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8B26B38-41A7-4771-8BF2-2BA2DB35E2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BA6B-472B-92FC-D3C0C1CB6E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[1]图15!$F$6:$F$17</c:f>
              <c:strCache>
                <c:ptCount val="12"/>
                <c:pt idx="0">
                  <c:v>经济学人</c:v>
                </c:pt>
                <c:pt idx="1">
                  <c:v>金融时报</c:v>
                </c:pt>
                <c:pt idx="2">
                  <c:v>英国卫报</c:v>
                </c:pt>
                <c:pt idx="3">
                  <c:v>雅虎体育</c:v>
                </c:pt>
                <c:pt idx="4">
                  <c:v>BBC新闻</c:v>
                </c:pt>
                <c:pt idx="5">
                  <c:v>时尚杂志</c:v>
                </c:pt>
                <c:pt idx="6">
                  <c:v>Buzzfeed</c:v>
                </c:pt>
                <c:pt idx="7">
                  <c:v>泰晤士报</c:v>
                </c:pt>
                <c:pt idx="8">
                  <c:v>Netflix</c:v>
                </c:pt>
                <c:pt idx="9">
                  <c:v>商业周刊</c:v>
                </c:pt>
                <c:pt idx="10">
                  <c:v>华尔街日报</c:v>
                </c:pt>
                <c:pt idx="11">
                  <c:v>纽约时报</c:v>
                </c:pt>
              </c:strCache>
            </c:strRef>
          </c:cat>
          <c:val>
            <c:numRef>
              <c:f>[1]图15!$J$6:$J$17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[1]图15!$D$6:$D$17</c15:f>
                <c15:dlblRangeCache>
                  <c:ptCount val="12"/>
                  <c:pt idx="0">
                    <c:v>92</c:v>
                  </c:pt>
                  <c:pt idx="1">
                    <c:v>78</c:v>
                  </c:pt>
                  <c:pt idx="2">
                    <c:v>75</c:v>
                  </c:pt>
                  <c:pt idx="3">
                    <c:v>61</c:v>
                  </c:pt>
                  <c:pt idx="4">
                    <c:v>60</c:v>
                  </c:pt>
                  <c:pt idx="5">
                    <c:v>56</c:v>
                  </c:pt>
                  <c:pt idx="6">
                    <c:v>50</c:v>
                  </c:pt>
                  <c:pt idx="7">
                    <c:v>41</c:v>
                  </c:pt>
                  <c:pt idx="8">
                    <c:v>41</c:v>
                  </c:pt>
                  <c:pt idx="9">
                    <c:v>39</c:v>
                  </c:pt>
                  <c:pt idx="10">
                    <c:v>33</c:v>
                  </c:pt>
                  <c:pt idx="11">
                    <c:v>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BA6B-472B-92FC-D3C0C1CB6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837232"/>
        <c:axId val="753839856"/>
      </c:barChart>
      <c:catAx>
        <c:axId val="753837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839856"/>
        <c:crosses val="autoZero"/>
        <c:auto val="1"/>
        <c:lblAlgn val="ctr"/>
        <c:lblOffset val="100"/>
        <c:noMultiLvlLbl val="0"/>
      </c:catAx>
      <c:valAx>
        <c:axId val="75383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83723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5141644794400702"/>
          <c:y val="0.12197372632159661"/>
          <c:w val="0.37765966754155733"/>
          <c:h val="4.3825491073244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1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100"/>
              <a:t>Recharge:Real GDP growth at market exchange rates</a:t>
            </a:r>
          </a:p>
          <a:p>
            <a:pPr algn="l">
              <a:defRPr sz="1100"/>
            </a:pPr>
            <a:r>
              <a:rPr lang="en-US" altLang="zh-CN" sz="1100"/>
              <a:t>(%)</a:t>
            </a:r>
            <a:endParaRPr lang="zh-CN" sz="1100"/>
          </a:p>
        </c:rich>
      </c:tx>
      <c:layout>
        <c:manualLayout>
          <c:xMode val="edge"/>
          <c:yMode val="edge"/>
          <c:x val="2.7696571884371839E-2"/>
          <c:y val="3.5087709604169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1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9701393437874602E-2"/>
          <c:y val="0.23370544055954229"/>
          <c:w val="0.82083356728116985"/>
          <c:h val="0.585787930435714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图3!$C$4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00799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8.3002248093033564E-17"/>
                  <c:y val="4.95786573895132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63-4986-920B-C8D71E0A1021}"/>
                </c:ext>
              </c:extLst>
            </c:dLbl>
            <c:dLbl>
              <c:idx val="6"/>
              <c:layout>
                <c:manualLayout>
                  <c:x val="8.3002248093033564E-17"/>
                  <c:y val="1.40350838416676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63-4986-920B-C8D71E0A10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图3!$B$5:$B$12</c:f>
              <c:strCache>
                <c:ptCount val="8"/>
                <c:pt idx="0">
                  <c:v>India</c:v>
                </c:pt>
                <c:pt idx="1">
                  <c:v>China</c:v>
                </c:pt>
                <c:pt idx="2">
                  <c:v>US</c:v>
                </c:pt>
                <c:pt idx="3">
                  <c:v>EU28</c:v>
                </c:pt>
                <c:pt idx="4">
                  <c:v>Brazil</c:v>
                </c:pt>
                <c:pt idx="5">
                  <c:v>Russia</c:v>
                </c:pt>
                <c:pt idx="6">
                  <c:v>Japan</c:v>
                </c:pt>
                <c:pt idx="7">
                  <c:v>World</c:v>
                </c:pt>
              </c:strCache>
            </c:strRef>
          </c:cat>
          <c:val>
            <c:numRef>
              <c:f>图3!$C$5:$C$12</c:f>
              <c:numCache>
                <c:formatCode>General</c:formatCode>
                <c:ptCount val="8"/>
                <c:pt idx="0">
                  <c:v>7.3</c:v>
                </c:pt>
                <c:pt idx="1">
                  <c:v>6.7</c:v>
                </c:pt>
                <c:pt idx="2">
                  <c:v>1.6</c:v>
                </c:pt>
                <c:pt idx="3">
                  <c:v>1.8</c:v>
                </c:pt>
                <c:pt idx="4">
                  <c:v>-3.3</c:v>
                </c:pt>
                <c:pt idx="5">
                  <c:v>-0.8</c:v>
                </c:pt>
                <c:pt idx="6">
                  <c:v>0.5</c:v>
                </c:pt>
                <c:pt idx="7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3-4986-920B-C8D71E0A1021}"/>
            </c:ext>
          </c:extLst>
        </c:ser>
        <c:ser>
          <c:idx val="1"/>
          <c:order val="1"/>
          <c:tx>
            <c:strRef>
              <c:f>图3!$D$4</c:f>
              <c:strCache>
                <c:ptCount val="1"/>
                <c:pt idx="0">
                  <c:v>2017 forecast</c:v>
                </c:pt>
              </c:strCache>
            </c:strRef>
          </c:tx>
          <c:spPr>
            <a:solidFill>
              <a:srgbClr val="68C2C7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"/>
                  <c:y val="1.25089066144752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63-4986-920B-C8D71E0A10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图3!$B$5:$B$12</c:f>
              <c:strCache>
                <c:ptCount val="8"/>
                <c:pt idx="0">
                  <c:v>India</c:v>
                </c:pt>
                <c:pt idx="1">
                  <c:v>China</c:v>
                </c:pt>
                <c:pt idx="2">
                  <c:v>US</c:v>
                </c:pt>
                <c:pt idx="3">
                  <c:v>EU28</c:v>
                </c:pt>
                <c:pt idx="4">
                  <c:v>Brazil</c:v>
                </c:pt>
                <c:pt idx="5">
                  <c:v>Russia</c:v>
                </c:pt>
                <c:pt idx="6">
                  <c:v>Japan</c:v>
                </c:pt>
                <c:pt idx="7">
                  <c:v>World</c:v>
                </c:pt>
              </c:strCache>
            </c:strRef>
          </c:cat>
          <c:val>
            <c:numRef>
              <c:f>图3!$D$5:$D$12</c:f>
              <c:numCache>
                <c:formatCode>General</c:formatCode>
                <c:ptCount val="8"/>
                <c:pt idx="0">
                  <c:v>7.3</c:v>
                </c:pt>
                <c:pt idx="1">
                  <c:v>6.2</c:v>
                </c:pt>
                <c:pt idx="2">
                  <c:v>2.2999999999999998</c:v>
                </c:pt>
                <c:pt idx="3">
                  <c:v>1.3</c:v>
                </c:pt>
                <c:pt idx="4">
                  <c:v>1.1000000000000001</c:v>
                </c:pt>
                <c:pt idx="5">
                  <c:v>0.7</c:v>
                </c:pt>
                <c:pt idx="6">
                  <c:v>0.4</c:v>
                </c:pt>
                <c:pt idx="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3-4986-920B-C8D71E0A1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6166168"/>
        <c:axId val="116166496"/>
      </c:barChart>
      <c:barChart>
        <c:barDir val="col"/>
        <c:grouping val="clustered"/>
        <c:varyColors val="0"/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F963-4986-920B-C8D71E0A1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32215448"/>
        <c:axId val="634430856"/>
      </c:barChart>
      <c:catAx>
        <c:axId val="11616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116166496"/>
        <c:crosses val="autoZero"/>
        <c:auto val="1"/>
        <c:lblAlgn val="ctr"/>
        <c:lblOffset val="100"/>
        <c:noMultiLvlLbl val="0"/>
      </c:catAx>
      <c:valAx>
        <c:axId val="116166496"/>
        <c:scaling>
          <c:orientation val="minMax"/>
        </c:scaling>
        <c:delete val="0"/>
        <c:axPos val="l"/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116166168"/>
        <c:crosses val="autoZero"/>
        <c:crossBetween val="between"/>
      </c:valAx>
      <c:valAx>
        <c:axId val="634430856"/>
        <c:scaling>
          <c:orientation val="minMax"/>
          <c:max val="8"/>
          <c:min val="-4"/>
        </c:scaling>
        <c:delete val="0"/>
        <c:axPos val="r"/>
        <c:numFmt formatCode="#,##0.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32215448"/>
        <c:crosses val="max"/>
        <c:crossBetween val="between"/>
      </c:valAx>
      <c:catAx>
        <c:axId val="632215448"/>
        <c:scaling>
          <c:orientation val="minMax"/>
        </c:scaling>
        <c:delete val="1"/>
        <c:axPos val="b"/>
        <c:majorTickMark val="out"/>
        <c:minorTickMark val="none"/>
        <c:tickLblPos val="nextTo"/>
        <c:crossAx val="634430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70240908341465802"/>
          <c:y val="0.11917554381114967"/>
          <c:w val="0.27469486517920405"/>
          <c:h val="6.3830898237077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EDEAD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r>
              <a:rPr lang="zh-CN" altLang="en-US" sz="1200"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国防开支</a:t>
            </a:r>
            <a:endParaRPr lang="zh-CN" sz="1200"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layout>
        <c:manualLayout>
          <c:xMode val="edge"/>
          <c:yMode val="edge"/>
          <c:x val="2.7669818784613647E-2"/>
          <c:y val="0.1444788441692466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9271178059264313E-2"/>
          <c:y val="0.18390609149316459"/>
          <c:w val="0.77750978496109036"/>
          <c:h val="0.64027660629108663"/>
        </c:manualLayout>
      </c:layout>
      <c:lineChart>
        <c:grouping val="standard"/>
        <c:varyColors val="0"/>
        <c:ser>
          <c:idx val="0"/>
          <c:order val="0"/>
          <c:tx>
            <c:strRef>
              <c:f>[2]图8!$B$5</c:f>
              <c:strCache>
                <c:ptCount val="1"/>
                <c:pt idx="0">
                  <c:v>奥巴马预算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[2]图8!$C$4:$D$4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[2]图8!$C$5:$D$5</c:f>
              <c:numCache>
                <c:formatCode>General</c:formatCode>
                <c:ptCount val="2"/>
                <c:pt idx="0">
                  <c:v>560</c:v>
                </c:pt>
                <c:pt idx="1">
                  <c:v>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D-42A5-8FA5-5A7072B33178}"/>
            </c:ext>
          </c:extLst>
        </c:ser>
        <c:ser>
          <c:idx val="1"/>
          <c:order val="1"/>
          <c:tx>
            <c:strRef>
              <c:f>[2]图8!$B$6</c:f>
              <c:strCache>
                <c:ptCount val="1"/>
                <c:pt idx="0">
                  <c:v>特朗普提议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[2]图8!$C$4:$D$4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[2]图8!$C$6:$D$6</c:f>
              <c:numCache>
                <c:formatCode>General</c:formatCode>
                <c:ptCount val="2"/>
                <c:pt idx="0">
                  <c:v>560</c:v>
                </c:pt>
                <c:pt idx="1">
                  <c:v>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D-42A5-8FA5-5A7072B33178}"/>
            </c:ext>
          </c:extLst>
        </c:ser>
        <c:ser>
          <c:idx val="2"/>
          <c:order val="2"/>
          <c:tx>
            <c:strRef>
              <c:f>[2]图8!$B$7</c:f>
              <c:strCache>
                <c:ptCount val="1"/>
                <c:pt idx="0">
                  <c:v>预算控制目标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6D-42A5-8FA5-5A7072B33178}"/>
              </c:ext>
            </c:extLst>
          </c:dPt>
          <c:dLbls>
            <c:dLbl>
              <c:idx val="1"/>
              <c:layout>
                <c:manualLayout>
                  <c:x val="-0.20154608032486512"/>
                  <c:y val="4.44894078642646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5283018867924529"/>
                      <c:h val="6.83386558104385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96D-42A5-8FA5-5A7072B331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[2]图8!$C$4:$D$4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[2]图8!$C$7:$D$7</c:f>
              <c:numCache>
                <c:formatCode>General</c:formatCode>
                <c:ptCount val="2"/>
                <c:pt idx="0">
                  <c:v>560</c:v>
                </c:pt>
                <c:pt idx="1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6D-42A5-8FA5-5A7072B33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133840"/>
        <c:axId val="784130560"/>
      </c:lineChart>
      <c:catAx>
        <c:axId val="7841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84130560"/>
        <c:crosses val="autoZero"/>
        <c:auto val="1"/>
        <c:lblAlgn val="ctr"/>
        <c:lblOffset val="300"/>
        <c:noMultiLvlLbl val="0"/>
      </c:catAx>
      <c:valAx>
        <c:axId val="784130560"/>
        <c:scaling>
          <c:orientation val="minMax"/>
          <c:max val="620"/>
          <c:min val="450"/>
        </c:scaling>
        <c:delete val="0"/>
        <c:axPos val="r"/>
        <c:majorGridlines>
          <c:spPr>
            <a:ln w="158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84133840"/>
        <c:crosses val="max"/>
        <c:crossBetween val="midCat"/>
        <c:majorUnit val="50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44622641509433963"/>
          <c:y val="0"/>
          <c:w val="0.54779874213836477"/>
          <c:h val="0.13395025312238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r>
              <a:rPr lang="zh-CN" altLang="en-US" sz="1200"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非国防开支</a:t>
            </a:r>
            <a:endParaRPr lang="zh-CN" sz="1200"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layout>
        <c:manualLayout>
          <c:xMode val="edge"/>
          <c:yMode val="edge"/>
          <c:x val="0.5755913388783096"/>
          <c:y val="0.148606811145510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7874396135265714E-2"/>
          <c:y val="0.18390609149316459"/>
          <c:w val="0.80845829053976948"/>
          <c:h val="0.638844169246646"/>
        </c:manualLayout>
      </c:layout>
      <c:lineChart>
        <c:grouping val="standard"/>
        <c:varyColors val="0"/>
        <c:ser>
          <c:idx val="0"/>
          <c:order val="0"/>
          <c:tx>
            <c:strRef>
              <c:f>[2]图8!$F$5</c:f>
              <c:strCache>
                <c:ptCount val="1"/>
                <c:pt idx="0">
                  <c:v>奥巴马预算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[2]图8!$G$4:$H$4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[2]图8!$G$5:$H$5</c:f>
              <c:numCache>
                <c:formatCode>General</c:formatCode>
                <c:ptCount val="2"/>
                <c:pt idx="0">
                  <c:v>520</c:v>
                </c:pt>
                <c:pt idx="1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9-4A39-BEA3-D5F19CBE0CA0}"/>
            </c:ext>
          </c:extLst>
        </c:ser>
        <c:ser>
          <c:idx val="1"/>
          <c:order val="1"/>
          <c:tx>
            <c:strRef>
              <c:f>[2]图8!$F$6</c:f>
              <c:strCache>
                <c:ptCount val="1"/>
                <c:pt idx="0">
                  <c:v>特朗普提议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[2]图8!$G$4:$H$4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[2]图8!$G$6:$H$6</c:f>
              <c:numCache>
                <c:formatCode>General</c:formatCode>
                <c:ptCount val="2"/>
                <c:pt idx="0">
                  <c:v>520</c:v>
                </c:pt>
                <c:pt idx="1">
                  <c:v>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89-4A39-BEA3-D5F19CBE0CA0}"/>
            </c:ext>
          </c:extLst>
        </c:ser>
        <c:ser>
          <c:idx val="2"/>
          <c:order val="2"/>
          <c:tx>
            <c:strRef>
              <c:f>[2]图8!$F$7</c:f>
              <c:strCache>
                <c:ptCount val="1"/>
                <c:pt idx="0">
                  <c:v>预算控制目标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[2]图8!$G$4:$H$4</c:f>
              <c:strCache>
                <c:ptCount val="2"/>
                <c:pt idx="0">
                  <c:v>2017</c:v>
                </c:pt>
                <c:pt idx="1">
                  <c:v>2018</c:v>
                </c:pt>
              </c:strCache>
            </c:strRef>
          </c:cat>
          <c:val>
            <c:numRef>
              <c:f>[2]图8!$G$7:$H$7</c:f>
              <c:numCache>
                <c:formatCode>General</c:formatCode>
                <c:ptCount val="2"/>
                <c:pt idx="0">
                  <c:v>520</c:v>
                </c:pt>
                <c:pt idx="1">
                  <c:v>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89-4A39-BEA3-D5F19CBE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093664"/>
        <c:axId val="777311312"/>
      </c:lineChart>
      <c:catAx>
        <c:axId val="62409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77311312"/>
        <c:crosses val="autoZero"/>
        <c:auto val="1"/>
        <c:lblAlgn val="ctr"/>
        <c:lblOffset val="300"/>
        <c:noMultiLvlLbl val="0"/>
      </c:catAx>
      <c:valAx>
        <c:axId val="777311312"/>
        <c:scaling>
          <c:orientation val="minMax"/>
          <c:max val="620"/>
          <c:min val="450"/>
        </c:scaling>
        <c:delete val="0"/>
        <c:axPos val="r"/>
        <c:majorGridlines>
          <c:spPr>
            <a:ln w="158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093664"/>
        <c:crosses val="max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600" b="1"/>
              <a:t>Electric dreams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200"/>
              <a:t>Manufacturing capacity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200"/>
              <a:t>Gigawatt-hours per year</a:t>
            </a:r>
            <a:endParaRPr lang="zh-CN" sz="1200"/>
          </a:p>
        </c:rich>
      </c:tx>
      <c:layout>
        <c:manualLayout>
          <c:xMode val="edge"/>
          <c:yMode val="edge"/>
          <c:x val="1.6908212560386472E-2"/>
          <c:y val="3.076923076923077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37045912739168"/>
          <c:y val="0.25562971936200285"/>
          <c:w val="0.79804499980980637"/>
          <c:h val="0.65039026852412685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图5!$E$6</c:f>
              <c:strCache>
                <c:ptCount val="1"/>
                <c:pt idx="0">
                  <c:v>helper1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图5!$B$7:$B$11</c:f>
              <c:strCache>
                <c:ptCount val="5"/>
                <c:pt idx="0">
                  <c:v>Panasonic*
(Japan)</c:v>
                </c:pt>
                <c:pt idx="1">
                  <c:v>CATL
(China)</c:v>
                </c:pt>
                <c:pt idx="2">
                  <c:v>BYD
(China)</c:v>
                </c:pt>
                <c:pt idx="3">
                  <c:v>LG Chem
(South Korea)</c:v>
                </c:pt>
                <c:pt idx="4">
                  <c:v>Samung SDI
(South Korea)</c:v>
                </c:pt>
              </c:strCache>
            </c:strRef>
          </c:cat>
          <c:val>
            <c:numRef>
              <c:f>图5!$E$7:$E$11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0-4976-8865-A29B82F45C51}"/>
            </c:ext>
          </c:extLst>
        </c:ser>
        <c:ser>
          <c:idx val="0"/>
          <c:order val="1"/>
          <c:tx>
            <c:strRef>
              <c:f>图5!$C$6</c:f>
              <c:strCache>
                <c:ptCount val="1"/>
                <c:pt idx="0">
                  <c:v>2017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7117710829624558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50-4976-8865-A29B82F45C51}"/>
                </c:ext>
              </c:extLst>
            </c:dLbl>
            <c:dLbl>
              <c:idx val="1"/>
              <c:layout>
                <c:manualLayout>
                  <c:x val="-0.12240937274145079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50-4976-8865-A29B82F45C51}"/>
                </c:ext>
              </c:extLst>
            </c:dLbl>
            <c:dLbl>
              <c:idx val="2"/>
              <c:layout>
                <c:manualLayout>
                  <c:x val="-0.17365514093347026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50-4976-8865-A29B82F45C51}"/>
                </c:ext>
              </c:extLst>
            </c:dLbl>
            <c:dLbl>
              <c:idx val="3"/>
              <c:layout>
                <c:manualLayout>
                  <c:x val="-0.1595104416295789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50-4976-8865-A29B82F45C51}"/>
                </c:ext>
              </c:extLst>
            </c:dLbl>
            <c:dLbl>
              <c:idx val="4"/>
              <c:layout>
                <c:manualLayout>
                  <c:x val="-0.1375480238883183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50-4976-8865-A29B82F45C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1000" b="0" i="0" u="none" strike="noStrike" kern="1200" baseline="0">
                    <a:solidFill>
                      <a:schemeClr val="tx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图5!$B$7:$B$11</c:f>
              <c:strCache>
                <c:ptCount val="5"/>
                <c:pt idx="0">
                  <c:v>Panasonic*
(Japan)</c:v>
                </c:pt>
                <c:pt idx="1">
                  <c:v>CATL
(China)</c:v>
                </c:pt>
                <c:pt idx="2">
                  <c:v>BYD
(China)</c:v>
                </c:pt>
                <c:pt idx="3">
                  <c:v>LG Chem
(South Korea)</c:v>
                </c:pt>
                <c:pt idx="4">
                  <c:v>Samung SDI
(South Korea)</c:v>
                </c:pt>
              </c:strCache>
            </c:strRef>
          </c:cat>
          <c:val>
            <c:numRef>
              <c:f>图5!$C$7:$C$11</c:f>
              <c:numCache>
                <c:formatCode>General</c:formatCode>
                <c:ptCount val="5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0-4976-8865-A29B82F45C51}"/>
            </c:ext>
          </c:extLst>
        </c:ser>
        <c:ser>
          <c:idx val="1"/>
          <c:order val="2"/>
          <c:tx>
            <c:strRef>
              <c:f>图5!$D$6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6ED0F6"/>
            </a:solidFill>
            <a:ln>
              <a:noFill/>
            </a:ln>
            <a:effectLst/>
          </c:spPr>
          <c:invertIfNegative val="0"/>
          <c:cat>
            <c:strRef>
              <c:f>图5!$B$7:$B$11</c:f>
              <c:strCache>
                <c:ptCount val="5"/>
                <c:pt idx="0">
                  <c:v>Panasonic*
(Japan)</c:v>
                </c:pt>
                <c:pt idx="1">
                  <c:v>CATL
(China)</c:v>
                </c:pt>
                <c:pt idx="2">
                  <c:v>BYD
(China)</c:v>
                </c:pt>
                <c:pt idx="3">
                  <c:v>LG Chem
(South Korea)</c:v>
                </c:pt>
                <c:pt idx="4">
                  <c:v>Samung SDI
(South Korea)</c:v>
                </c:pt>
              </c:strCache>
            </c:strRef>
          </c:cat>
          <c:val>
            <c:numRef>
              <c:f>图5!$F$7:$F$11</c:f>
              <c:numCache>
                <c:formatCode>General</c:formatCode>
                <c:ptCount val="5"/>
                <c:pt idx="0">
                  <c:v>39</c:v>
                </c:pt>
                <c:pt idx="1">
                  <c:v>42</c:v>
                </c:pt>
                <c:pt idx="2">
                  <c:v>14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0-4976-8865-A29B82F45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42012952"/>
        <c:axId val="624687816"/>
      </c:barChart>
      <c:scatterChart>
        <c:scatterStyle val="lineMarker"/>
        <c:varyColors val="0"/>
        <c:ser>
          <c:idx val="3"/>
          <c:order val="3"/>
          <c:tx>
            <c:v>2017 </c:v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图5!$C$7:$C$11</c:f>
                <c:numCache>
                  <c:formatCode>General</c:formatCode>
                  <c:ptCount val="5"/>
                  <c:pt idx="0">
                    <c:v>12</c:v>
                  </c:pt>
                  <c:pt idx="1">
                    <c:v>3</c:v>
                  </c:pt>
                  <c:pt idx="2">
                    <c:v>10</c:v>
                  </c:pt>
                  <c:pt idx="3">
                    <c:v>12</c:v>
                  </c:pt>
                  <c:pt idx="4">
                    <c:v>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75000"/>
                    <a:lumOff val="25000"/>
                  </a:schemeClr>
                </a:solidFill>
                <a:round/>
              </a:ln>
              <a:effectLst/>
            </c:spPr>
          </c:errBars>
          <c:xVal>
            <c:numRef>
              <c:f>图5!$C$7:$C$11</c:f>
              <c:numCache>
                <c:formatCode>General</c:formatCode>
                <c:ptCount val="5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12</c:v>
                </c:pt>
                <c:pt idx="4">
                  <c:v>9</c:v>
                </c:pt>
              </c:numCache>
            </c:numRef>
          </c:xVal>
          <c:yVal>
            <c:numRef>
              <c:f>图5!$G$7:$G$11</c:f>
              <c:numCache>
                <c:formatCode>General</c:formatCode>
                <c:ptCount val="5"/>
                <c:pt idx="0">
                  <c:v>4.4800000000000004</c:v>
                </c:pt>
                <c:pt idx="1">
                  <c:v>3.49</c:v>
                </c:pt>
                <c:pt idx="2">
                  <c:v>2.48</c:v>
                </c:pt>
                <c:pt idx="3">
                  <c:v>1.48</c:v>
                </c:pt>
                <c:pt idx="4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50-4976-8865-A29B82F45C51}"/>
            </c:ext>
          </c:extLst>
        </c:ser>
        <c:ser>
          <c:idx val="4"/>
          <c:order val="4"/>
          <c:tx>
            <c:v>2020 </c:v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xVal>
            <c:numRef>
              <c:f>图5!$D$7:$D$11</c:f>
              <c:numCache>
                <c:formatCode>General</c:formatCode>
                <c:ptCount val="5"/>
                <c:pt idx="0">
                  <c:v>51</c:v>
                </c:pt>
                <c:pt idx="1">
                  <c:v>45</c:v>
                </c:pt>
                <c:pt idx="2">
                  <c:v>24</c:v>
                </c:pt>
                <c:pt idx="3">
                  <c:v>17</c:v>
                </c:pt>
                <c:pt idx="4">
                  <c:v>16</c:v>
                </c:pt>
              </c:numCache>
            </c:numRef>
          </c:xVal>
          <c:yVal>
            <c:numRef>
              <c:f>图5!$G$7:$G$11</c:f>
              <c:numCache>
                <c:formatCode>General</c:formatCode>
                <c:ptCount val="5"/>
                <c:pt idx="0">
                  <c:v>4.4800000000000004</c:v>
                </c:pt>
                <c:pt idx="1">
                  <c:v>3.49</c:v>
                </c:pt>
                <c:pt idx="2">
                  <c:v>2.48</c:v>
                </c:pt>
                <c:pt idx="3">
                  <c:v>1.48</c:v>
                </c:pt>
                <c:pt idx="4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50-4976-8865-A29B82F45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285768"/>
        <c:axId val="766590080"/>
      </c:scatterChart>
      <c:catAx>
        <c:axId val="742012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687816"/>
        <c:crosses val="autoZero"/>
        <c:auto val="1"/>
        <c:lblAlgn val="ctr"/>
        <c:lblOffset val="100"/>
        <c:noMultiLvlLbl val="0"/>
      </c:catAx>
      <c:valAx>
        <c:axId val="624687816"/>
        <c:scaling>
          <c:orientation val="minMax"/>
          <c:max val="55"/>
          <c:min val="0"/>
        </c:scaling>
        <c:delete val="0"/>
        <c:axPos val="t"/>
        <c:majorGridlines>
          <c:spPr>
            <a:ln w="158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42012952"/>
        <c:crosses val="autoZero"/>
        <c:crossBetween val="between"/>
      </c:valAx>
      <c:valAx>
        <c:axId val="766590080"/>
        <c:scaling>
          <c:orientation val="minMax"/>
          <c:max val="5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69285768"/>
        <c:crosses val="max"/>
        <c:crossBetween val="midCat"/>
      </c:valAx>
      <c:valAx>
        <c:axId val="769285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659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2610502491536388"/>
          <c:y val="0.12811548556430447"/>
          <c:w val="0.21373635360797291"/>
          <c:h val="4.8610758606630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39066291879813"/>
          <c:y val="0.11731264474293654"/>
          <c:w val="0.76630852407307193"/>
          <c:h val="0.82321012814574646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图6!$E$6</c:f>
              <c:strCache>
                <c:ptCount val="1"/>
                <c:pt idx="0">
                  <c:v>helper1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4332507151809446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537-47E6-B8E3-B86E6E1C5F28}"/>
                </c:ext>
              </c:extLst>
            </c:dLbl>
            <c:dLbl>
              <c:idx val="1"/>
              <c:layout>
                <c:manualLayout>
                  <c:x val="-8.7394718058529622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537-47E6-B8E3-B86E6E1C5F28}"/>
                </c:ext>
              </c:extLst>
            </c:dLbl>
            <c:dLbl>
              <c:idx val="2"/>
              <c:layout>
                <c:manualLayout>
                  <c:x val="-8.099209226255711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537-47E6-B8E3-B86E6E1C5F28}"/>
                </c:ext>
              </c:extLst>
            </c:dLbl>
            <c:dLbl>
              <c:idx val="3"/>
              <c:layout>
                <c:manualLayout>
                  <c:x val="-8.8622412562455385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1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537-47E6-B8E3-B86E6E1C5F28}"/>
                </c:ext>
              </c:extLst>
            </c:dLbl>
            <c:dLbl>
              <c:idx val="4"/>
              <c:layout>
                <c:manualLayout>
                  <c:x val="-0.103204797473121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537-47E6-B8E3-B86E6E1C5F28}"/>
                </c:ext>
              </c:extLst>
            </c:dLbl>
            <c:dLbl>
              <c:idx val="5"/>
              <c:layout>
                <c:manualLayout>
                  <c:x val="-9.3197547308727743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537-47E6-B8E3-B86E6E1C5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图6!$B$7:$B$12</c:f>
              <c:strCache>
                <c:ptCount val="6"/>
                <c:pt idx="0">
                  <c:v>The 
Americas</c:v>
                </c:pt>
                <c:pt idx="1">
                  <c:v>Europe</c:v>
                </c:pt>
                <c:pt idx="2">
                  <c:v>Oceania</c:v>
                </c:pt>
                <c:pt idx="3">
                  <c:v>World</c:v>
                </c:pt>
                <c:pt idx="4">
                  <c:v>Asia</c:v>
                </c:pt>
                <c:pt idx="5">
                  <c:v>Africa</c:v>
                </c:pt>
              </c:strCache>
            </c:strRef>
          </c:cat>
          <c:val>
            <c:numRef>
              <c:f>图6!$E$7:$E$12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7-47E6-B8E3-B86E6E1C5F28}"/>
            </c:ext>
          </c:extLst>
        </c:ser>
        <c:ser>
          <c:idx val="0"/>
          <c:order val="1"/>
          <c:tx>
            <c:strRef>
              <c:f>图6!$C$6</c:f>
              <c:strCache>
                <c:ptCount val="1"/>
                <c:pt idx="0">
                  <c:v>1975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图6!$B$7:$B$12</c:f>
              <c:strCache>
                <c:ptCount val="6"/>
                <c:pt idx="0">
                  <c:v>The 
Americas</c:v>
                </c:pt>
                <c:pt idx="1">
                  <c:v>Europe</c:v>
                </c:pt>
                <c:pt idx="2">
                  <c:v>Oceania</c:v>
                </c:pt>
                <c:pt idx="3">
                  <c:v>World</c:v>
                </c:pt>
                <c:pt idx="4">
                  <c:v>Asia</c:v>
                </c:pt>
                <c:pt idx="5">
                  <c:v>Africa</c:v>
                </c:pt>
              </c:strCache>
            </c:strRef>
          </c:cat>
          <c:val>
            <c:numRef>
              <c:f>图6!$C$7:$C$12</c:f>
              <c:numCache>
                <c:formatCode>General</c:formatCode>
                <c:ptCount val="6"/>
                <c:pt idx="0">
                  <c:v>3.8</c:v>
                </c:pt>
                <c:pt idx="1">
                  <c:v>2</c:v>
                </c:pt>
                <c:pt idx="2">
                  <c:v>0.6</c:v>
                </c:pt>
                <c:pt idx="3">
                  <c:v>0.8</c:v>
                </c:pt>
                <c:pt idx="4">
                  <c:v>0.2</c:v>
                </c:pt>
                <c:pt idx="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7-47E6-B8E3-B86E6E1C5F28}"/>
            </c:ext>
          </c:extLst>
        </c:ser>
        <c:ser>
          <c:idx val="1"/>
          <c:order val="2"/>
          <c:tx>
            <c:strRef>
              <c:f>图6!$F$6</c:f>
              <c:strCache>
                <c:ptCount val="1"/>
                <c:pt idx="0">
                  <c:v>helper2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89000"/>
                  </a:schemeClr>
                </a:gs>
                <a:gs pos="32000">
                  <a:schemeClr val="accent1">
                    <a:lumMod val="89000"/>
                  </a:schemeClr>
                </a:gs>
                <a:gs pos="67000">
                  <a:schemeClr val="accent1">
                    <a:lumMod val="75000"/>
                  </a:schemeClr>
                </a:gs>
                <a:gs pos="97000">
                  <a:schemeClr val="accent1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537-47E6-B8E3-B86E6E1C5F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537-47E6-B8E3-B86E6E1C5F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537-47E6-B8E3-B86E6E1C5F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537-47E6-B8E3-B86E6E1C5F2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537-47E6-B8E3-B86E6E1C5F2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537-47E6-B8E3-B86E6E1C5F28}"/>
              </c:ext>
            </c:extLst>
          </c:dPt>
          <c:cat>
            <c:strRef>
              <c:f>图6!$B$7:$B$12</c:f>
              <c:strCache>
                <c:ptCount val="6"/>
                <c:pt idx="0">
                  <c:v>The 
Americas</c:v>
                </c:pt>
                <c:pt idx="1">
                  <c:v>Europe</c:v>
                </c:pt>
                <c:pt idx="2">
                  <c:v>Oceania</c:v>
                </c:pt>
                <c:pt idx="3">
                  <c:v>World</c:v>
                </c:pt>
                <c:pt idx="4">
                  <c:v>Asia</c:v>
                </c:pt>
                <c:pt idx="5">
                  <c:v>Africa</c:v>
                </c:pt>
              </c:strCache>
            </c:strRef>
          </c:cat>
          <c:val>
            <c:numRef>
              <c:f>图6!$F$7:$F$12</c:f>
              <c:numCache>
                <c:formatCode>General</c:formatCode>
                <c:ptCount val="6"/>
                <c:pt idx="0">
                  <c:v>12.399999999999999</c:v>
                </c:pt>
                <c:pt idx="1">
                  <c:v>9</c:v>
                </c:pt>
                <c:pt idx="2">
                  <c:v>9.4</c:v>
                </c:pt>
                <c:pt idx="3">
                  <c:v>7.2</c:v>
                </c:pt>
                <c:pt idx="4">
                  <c:v>6.8</c:v>
                </c:pt>
                <c:pt idx="5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7-47E6-B8E3-B86E6E1C5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669365480"/>
        <c:axId val="669365808"/>
      </c:barChart>
      <c:scatterChart>
        <c:scatterStyle val="lineMarker"/>
        <c:varyColors val="0"/>
        <c:ser>
          <c:idx val="3"/>
          <c:order val="3"/>
          <c:tx>
            <c:v>boys1975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2537-47E6-B8E3-B86E6E1C5F28}"/>
              </c:ext>
            </c:extLst>
          </c:dPt>
          <c:dPt>
            <c:idx val="1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2537-47E6-B8E3-B86E6E1C5F28}"/>
              </c:ext>
            </c:extLst>
          </c:dPt>
          <c:dPt>
            <c:idx val="2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2537-47E6-B8E3-B86E6E1C5F28}"/>
              </c:ext>
            </c:extLst>
          </c:dPt>
          <c:dPt>
            <c:idx val="3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2537-47E6-B8E3-B86E6E1C5F28}"/>
              </c:ext>
            </c:extLst>
          </c:dPt>
          <c:dPt>
            <c:idx val="4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2537-47E6-B8E3-B86E6E1C5F28}"/>
              </c:ext>
            </c:extLst>
          </c:dPt>
          <c:dPt>
            <c:idx val="5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2537-47E6-B8E3-B86E6E1C5F28}"/>
              </c:ext>
            </c:extLst>
          </c:dPt>
          <c:xVal>
            <c:numRef>
              <c:f>图6!$C$7:$C$12</c:f>
              <c:numCache>
                <c:formatCode>General</c:formatCode>
                <c:ptCount val="6"/>
                <c:pt idx="0">
                  <c:v>3.8</c:v>
                </c:pt>
                <c:pt idx="1">
                  <c:v>2</c:v>
                </c:pt>
                <c:pt idx="2">
                  <c:v>0.6</c:v>
                </c:pt>
                <c:pt idx="3">
                  <c:v>0.8</c:v>
                </c:pt>
                <c:pt idx="4">
                  <c:v>0.2</c:v>
                </c:pt>
                <c:pt idx="5">
                  <c:v>0.3</c:v>
                </c:pt>
              </c:numCache>
            </c:numRef>
          </c:xVal>
          <c:yVal>
            <c:numRef>
              <c:f>图6!$L$7:$L$12</c:f>
              <c:numCache>
                <c:formatCode>General</c:formatCode>
                <c:ptCount val="6"/>
                <c:pt idx="0">
                  <c:v>5.5</c:v>
                </c:pt>
                <c:pt idx="1">
                  <c:v>4.5</c:v>
                </c:pt>
                <c:pt idx="2">
                  <c:v>3.5</c:v>
                </c:pt>
                <c:pt idx="3">
                  <c:v>2.5</c:v>
                </c:pt>
                <c:pt idx="4">
                  <c:v>1.5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37-47E6-B8E3-B86E6E1C5F28}"/>
            </c:ext>
          </c:extLst>
        </c:ser>
        <c:ser>
          <c:idx val="4"/>
          <c:order val="4"/>
          <c:tx>
            <c:v>boys2016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1"/>
              <c:spPr>
                <a:solidFill>
                  <a:schemeClr val="accent1"/>
                </a:solidFill>
                <a:ln w="2540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537-47E6-B8E3-B86E6E1C5F28}"/>
              </c:ext>
            </c:extLst>
          </c:dPt>
          <c:dPt>
            <c:idx val="1"/>
            <c:marker>
              <c:symbol val="circle"/>
              <c:size val="11"/>
              <c:spPr>
                <a:solidFill>
                  <a:schemeClr val="accent2"/>
                </a:solidFill>
                <a:ln w="254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537-47E6-B8E3-B86E6E1C5F28}"/>
              </c:ext>
            </c:extLst>
          </c:dPt>
          <c:dPt>
            <c:idx val="2"/>
            <c:marker>
              <c:symbol val="circle"/>
              <c:size val="11"/>
              <c:spPr>
                <a:solidFill>
                  <a:schemeClr val="accent3"/>
                </a:solidFill>
                <a:ln w="2540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537-47E6-B8E3-B86E6E1C5F28}"/>
              </c:ext>
            </c:extLst>
          </c:dPt>
          <c:dPt>
            <c:idx val="3"/>
            <c:marker>
              <c:symbol val="circle"/>
              <c:size val="11"/>
              <c:spPr>
                <a:solidFill>
                  <a:schemeClr val="accent4"/>
                </a:solidFill>
                <a:ln w="254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2537-47E6-B8E3-B86E6E1C5F28}"/>
              </c:ext>
            </c:extLst>
          </c:dPt>
          <c:dPt>
            <c:idx val="4"/>
            <c:marker>
              <c:symbol val="circle"/>
              <c:size val="11"/>
              <c:spPr>
                <a:solidFill>
                  <a:schemeClr val="accent5"/>
                </a:solidFill>
                <a:ln w="25400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2537-47E6-B8E3-B86E6E1C5F28}"/>
              </c:ext>
            </c:extLst>
          </c:dPt>
          <c:dPt>
            <c:idx val="5"/>
            <c:marker>
              <c:symbol val="circle"/>
              <c:size val="11"/>
              <c:spPr>
                <a:solidFill>
                  <a:schemeClr val="accent6"/>
                </a:solidFill>
                <a:ln w="25400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2537-47E6-B8E3-B86E6E1C5F28}"/>
              </c:ext>
            </c:extLst>
          </c:dPt>
          <c:xVal>
            <c:numRef>
              <c:f>图6!$D$7:$D$12</c:f>
              <c:numCache>
                <c:formatCode>General</c:formatCode>
                <c:ptCount val="6"/>
                <c:pt idx="0">
                  <c:v>16.2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xVal>
          <c:yVal>
            <c:numRef>
              <c:f>图6!$L$7:$L$12</c:f>
              <c:numCache>
                <c:formatCode>General</c:formatCode>
                <c:ptCount val="6"/>
                <c:pt idx="0">
                  <c:v>5.5</c:v>
                </c:pt>
                <c:pt idx="1">
                  <c:v>4.5</c:v>
                </c:pt>
                <c:pt idx="2">
                  <c:v>3.5</c:v>
                </c:pt>
                <c:pt idx="3">
                  <c:v>2.5</c:v>
                </c:pt>
                <c:pt idx="4">
                  <c:v>1.5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37-47E6-B8E3-B86E6E1C5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910176"/>
        <c:axId val="725909848"/>
      </c:scatterChart>
      <c:catAx>
        <c:axId val="669365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69365808"/>
        <c:crosses val="autoZero"/>
        <c:auto val="1"/>
        <c:lblAlgn val="ctr"/>
        <c:lblOffset val="100"/>
        <c:noMultiLvlLbl val="0"/>
      </c:catAx>
      <c:valAx>
        <c:axId val="669365808"/>
        <c:scaling>
          <c:orientation val="minMax"/>
          <c:max val="17"/>
          <c:min val="0"/>
        </c:scaling>
        <c:delete val="0"/>
        <c:axPos val="t"/>
        <c:majorGridlines>
          <c:spPr>
            <a:ln w="158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69365480"/>
        <c:crosses val="autoZero"/>
        <c:crossBetween val="between"/>
        <c:majorUnit val="4"/>
      </c:valAx>
      <c:valAx>
        <c:axId val="725909848"/>
        <c:scaling>
          <c:orientation val="minMax"/>
          <c:max val="6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25910176"/>
        <c:crosses val="max"/>
        <c:crossBetween val="midCat"/>
      </c:valAx>
      <c:valAx>
        <c:axId val="725910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909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94162212592804"/>
          <c:y val="0.11731264474293654"/>
          <c:w val="0.74061249838416876"/>
          <c:h val="0.82321012814574646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图6!$J$6</c:f>
              <c:strCache>
                <c:ptCount val="1"/>
                <c:pt idx="0">
                  <c:v>helper3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146312813682015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52-4DA4-98EB-4E0E1636613A}"/>
                </c:ext>
              </c:extLst>
            </c:dLbl>
            <c:dLbl>
              <c:idx val="1"/>
              <c:layout>
                <c:manualLayout>
                  <c:x val="-0.10452533904354033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52-4DA4-98EB-4E0E1636613A}"/>
                </c:ext>
              </c:extLst>
            </c:dLbl>
            <c:dLbl>
              <c:idx val="2"/>
              <c:layout>
                <c:manualLayout>
                  <c:x val="-9.812271324756782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52-4DA4-98EB-4E0E1636613A}"/>
                </c:ext>
              </c:extLst>
            </c:dLbl>
            <c:dLbl>
              <c:idx val="3"/>
              <c:layout>
                <c:manualLayout>
                  <c:x val="-0.1057530335474661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1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52-4DA4-98EB-4E0E1636613A}"/>
                </c:ext>
              </c:extLst>
            </c:dLbl>
            <c:dLbl>
              <c:idx val="4"/>
              <c:layout>
                <c:manualLayout>
                  <c:x val="-0.1203354184581317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52-4DA4-98EB-4E0E1636613A}"/>
                </c:ext>
              </c:extLst>
            </c:dLbl>
            <c:dLbl>
              <c:idx val="5"/>
              <c:layout>
                <c:manualLayout>
                  <c:x val="-0.11032816829373844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52-4DA4-98EB-4E0E163661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图6!$B$7:$B$12</c:f>
              <c:strCache>
                <c:ptCount val="6"/>
                <c:pt idx="0">
                  <c:v>The 
Americas</c:v>
                </c:pt>
                <c:pt idx="1">
                  <c:v>Europe</c:v>
                </c:pt>
                <c:pt idx="2">
                  <c:v>Oceania</c:v>
                </c:pt>
                <c:pt idx="3">
                  <c:v>World</c:v>
                </c:pt>
                <c:pt idx="4">
                  <c:v>Asia</c:v>
                </c:pt>
                <c:pt idx="5">
                  <c:v>Africa</c:v>
                </c:pt>
              </c:strCache>
            </c:strRef>
          </c:cat>
          <c:val>
            <c:numRef>
              <c:f>图6!$J$7:$J$12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52-4DA4-98EB-4E0E1636613A}"/>
            </c:ext>
          </c:extLst>
        </c:ser>
        <c:ser>
          <c:idx val="0"/>
          <c:order val="1"/>
          <c:tx>
            <c:strRef>
              <c:f>图6!$H$6</c:f>
              <c:strCache>
                <c:ptCount val="1"/>
                <c:pt idx="0">
                  <c:v>1975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图6!$B$7:$B$12</c:f>
              <c:strCache>
                <c:ptCount val="6"/>
                <c:pt idx="0">
                  <c:v>The 
Americas</c:v>
                </c:pt>
                <c:pt idx="1">
                  <c:v>Europe</c:v>
                </c:pt>
                <c:pt idx="2">
                  <c:v>Oceania</c:v>
                </c:pt>
                <c:pt idx="3">
                  <c:v>World</c:v>
                </c:pt>
                <c:pt idx="4">
                  <c:v>Asia</c:v>
                </c:pt>
                <c:pt idx="5">
                  <c:v>Africa</c:v>
                </c:pt>
              </c:strCache>
            </c:strRef>
          </c:cat>
          <c:val>
            <c:numRef>
              <c:f>图6!$H$7:$H$12</c:f>
              <c:numCache>
                <c:formatCode>General</c:formatCode>
                <c:ptCount val="6"/>
                <c:pt idx="0">
                  <c:v>3</c:v>
                </c:pt>
                <c:pt idx="1">
                  <c:v>1.8</c:v>
                </c:pt>
                <c:pt idx="2">
                  <c:v>0.4</c:v>
                </c:pt>
                <c:pt idx="3">
                  <c:v>0.3</c:v>
                </c:pt>
                <c:pt idx="4">
                  <c:v>0.1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52-4DA4-98EB-4E0E1636613A}"/>
            </c:ext>
          </c:extLst>
        </c:ser>
        <c:ser>
          <c:idx val="1"/>
          <c:order val="2"/>
          <c:tx>
            <c:strRef>
              <c:f>图6!$K$6</c:f>
              <c:strCache>
                <c:ptCount val="1"/>
                <c:pt idx="0">
                  <c:v>helper4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C52-4DA4-98EB-4E0E1636613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C52-4DA4-98EB-4E0E1636613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C52-4DA4-98EB-4E0E1636613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C52-4DA4-98EB-4E0E1636613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C52-4DA4-98EB-4E0E1636613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C52-4DA4-98EB-4E0E1636613A}"/>
              </c:ext>
            </c:extLst>
          </c:dPt>
          <c:cat>
            <c:strRef>
              <c:f>图6!$B$7:$B$12</c:f>
              <c:strCache>
                <c:ptCount val="6"/>
                <c:pt idx="0">
                  <c:v>The 
Americas</c:v>
                </c:pt>
                <c:pt idx="1">
                  <c:v>Europe</c:v>
                </c:pt>
                <c:pt idx="2">
                  <c:v>Oceania</c:v>
                </c:pt>
                <c:pt idx="3">
                  <c:v>World</c:v>
                </c:pt>
                <c:pt idx="4">
                  <c:v>Asia</c:v>
                </c:pt>
                <c:pt idx="5">
                  <c:v>Africa</c:v>
                </c:pt>
              </c:strCache>
            </c:strRef>
          </c:cat>
          <c:val>
            <c:numRef>
              <c:f>图6!$K$7:$K$12</c:f>
              <c:numCache>
                <c:formatCode>General</c:formatCode>
                <c:ptCount val="6"/>
                <c:pt idx="0">
                  <c:v>10</c:v>
                </c:pt>
                <c:pt idx="1">
                  <c:v>5.7</c:v>
                </c:pt>
                <c:pt idx="2">
                  <c:v>10.1</c:v>
                </c:pt>
                <c:pt idx="3">
                  <c:v>5.5</c:v>
                </c:pt>
                <c:pt idx="4">
                  <c:v>3.6999999999999997</c:v>
                </c:pt>
                <c:pt idx="5">
                  <c:v>5.3999999999999995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C52-4DA4-98EB-4E0E16366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669365480"/>
        <c:axId val="669365808"/>
      </c:barChart>
      <c:scatterChart>
        <c:scatterStyle val="lineMarker"/>
        <c:varyColors val="0"/>
        <c:ser>
          <c:idx val="3"/>
          <c:order val="3"/>
          <c:tx>
            <c:v>girls1975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DC52-4DA4-98EB-4E0E1636613A}"/>
              </c:ext>
            </c:extLst>
          </c:dPt>
          <c:dPt>
            <c:idx val="1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C52-4DA4-98EB-4E0E1636613A}"/>
              </c:ext>
            </c:extLst>
          </c:dPt>
          <c:dPt>
            <c:idx val="2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C52-4DA4-98EB-4E0E1636613A}"/>
              </c:ext>
            </c:extLst>
          </c:dPt>
          <c:dPt>
            <c:idx val="3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DC52-4DA4-98EB-4E0E1636613A}"/>
              </c:ext>
            </c:extLst>
          </c:dPt>
          <c:dPt>
            <c:idx val="4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DC52-4DA4-98EB-4E0E1636613A}"/>
              </c:ext>
            </c:extLst>
          </c:dPt>
          <c:dPt>
            <c:idx val="5"/>
            <c:marker>
              <c:symbol val="circle"/>
              <c:size val="11"/>
              <c:spPr>
                <a:solidFill>
                  <a:schemeClr val="bg1"/>
                </a:solidFill>
                <a:ln w="25400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C52-4DA4-98EB-4E0E1636613A}"/>
              </c:ext>
            </c:extLst>
          </c:dPt>
          <c:xVal>
            <c:numRef>
              <c:f>图6!$H$7:$H$12</c:f>
              <c:numCache>
                <c:formatCode>General</c:formatCode>
                <c:ptCount val="6"/>
                <c:pt idx="0">
                  <c:v>3</c:v>
                </c:pt>
                <c:pt idx="1">
                  <c:v>1.8</c:v>
                </c:pt>
                <c:pt idx="2">
                  <c:v>0.4</c:v>
                </c:pt>
                <c:pt idx="3">
                  <c:v>0.3</c:v>
                </c:pt>
                <c:pt idx="4">
                  <c:v>0.1</c:v>
                </c:pt>
                <c:pt idx="5">
                  <c:v>0.2</c:v>
                </c:pt>
              </c:numCache>
            </c:numRef>
          </c:xVal>
          <c:yVal>
            <c:numRef>
              <c:f>图6!$L$7:$L$12</c:f>
              <c:numCache>
                <c:formatCode>General</c:formatCode>
                <c:ptCount val="6"/>
                <c:pt idx="0">
                  <c:v>5.5</c:v>
                </c:pt>
                <c:pt idx="1">
                  <c:v>4.5</c:v>
                </c:pt>
                <c:pt idx="2">
                  <c:v>3.5</c:v>
                </c:pt>
                <c:pt idx="3">
                  <c:v>2.5</c:v>
                </c:pt>
                <c:pt idx="4">
                  <c:v>1.5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C52-4DA4-98EB-4E0E1636613A}"/>
            </c:ext>
          </c:extLst>
        </c:ser>
        <c:ser>
          <c:idx val="4"/>
          <c:order val="4"/>
          <c:tx>
            <c:v>girls2016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1"/>
              <c:spPr>
                <a:solidFill>
                  <a:schemeClr val="accent1"/>
                </a:solidFill>
                <a:ln w="2540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DC52-4DA4-98EB-4E0E1636613A}"/>
              </c:ext>
            </c:extLst>
          </c:dPt>
          <c:dPt>
            <c:idx val="1"/>
            <c:marker>
              <c:symbol val="circle"/>
              <c:size val="11"/>
              <c:spPr>
                <a:solidFill>
                  <a:schemeClr val="accent2"/>
                </a:solidFill>
                <a:ln w="254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DC52-4DA4-98EB-4E0E1636613A}"/>
              </c:ext>
            </c:extLst>
          </c:dPt>
          <c:dPt>
            <c:idx val="2"/>
            <c:marker>
              <c:symbol val="circle"/>
              <c:size val="11"/>
              <c:spPr>
                <a:solidFill>
                  <a:schemeClr val="accent3"/>
                </a:solidFill>
                <a:ln w="2540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DC52-4DA4-98EB-4E0E1636613A}"/>
              </c:ext>
            </c:extLst>
          </c:dPt>
          <c:dPt>
            <c:idx val="3"/>
            <c:marker>
              <c:symbol val="circle"/>
              <c:size val="11"/>
              <c:spPr>
                <a:solidFill>
                  <a:schemeClr val="accent4"/>
                </a:solidFill>
                <a:ln w="254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DC52-4DA4-98EB-4E0E1636613A}"/>
              </c:ext>
            </c:extLst>
          </c:dPt>
          <c:dPt>
            <c:idx val="4"/>
            <c:marker>
              <c:symbol val="circle"/>
              <c:size val="11"/>
              <c:spPr>
                <a:solidFill>
                  <a:schemeClr val="accent5"/>
                </a:solidFill>
                <a:ln w="25400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C52-4DA4-98EB-4E0E1636613A}"/>
              </c:ext>
            </c:extLst>
          </c:dPt>
          <c:dPt>
            <c:idx val="5"/>
            <c:marker>
              <c:symbol val="circle"/>
              <c:size val="11"/>
              <c:spPr>
                <a:solidFill>
                  <a:schemeClr val="accent6"/>
                </a:solidFill>
                <a:ln w="25400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DC52-4DA4-98EB-4E0E1636613A}"/>
              </c:ext>
            </c:extLst>
          </c:dPt>
          <c:xVal>
            <c:numRef>
              <c:f>图6!$I$7:$I$12</c:f>
              <c:numCache>
                <c:formatCode>General</c:formatCode>
                <c:ptCount val="6"/>
                <c:pt idx="0">
                  <c:v>13</c:v>
                </c:pt>
                <c:pt idx="1">
                  <c:v>7.5</c:v>
                </c:pt>
                <c:pt idx="2">
                  <c:v>10.5</c:v>
                </c:pt>
                <c:pt idx="3">
                  <c:v>5.8</c:v>
                </c:pt>
                <c:pt idx="4">
                  <c:v>3.8</c:v>
                </c:pt>
                <c:pt idx="5">
                  <c:v>5.6</c:v>
                </c:pt>
              </c:numCache>
            </c:numRef>
          </c:xVal>
          <c:yVal>
            <c:numRef>
              <c:f>图6!$L$7:$L$12</c:f>
              <c:numCache>
                <c:formatCode>General</c:formatCode>
                <c:ptCount val="6"/>
                <c:pt idx="0">
                  <c:v>5.5</c:v>
                </c:pt>
                <c:pt idx="1">
                  <c:v>4.5</c:v>
                </c:pt>
                <c:pt idx="2">
                  <c:v>3.5</c:v>
                </c:pt>
                <c:pt idx="3">
                  <c:v>2.5</c:v>
                </c:pt>
                <c:pt idx="4">
                  <c:v>1.5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C52-4DA4-98EB-4E0E16366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910176"/>
        <c:axId val="725909848"/>
      </c:scatterChart>
      <c:catAx>
        <c:axId val="669365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69365808"/>
        <c:crosses val="autoZero"/>
        <c:auto val="1"/>
        <c:lblAlgn val="ctr"/>
        <c:lblOffset val="100"/>
        <c:noMultiLvlLbl val="0"/>
      </c:catAx>
      <c:valAx>
        <c:axId val="669365808"/>
        <c:scaling>
          <c:orientation val="minMax"/>
          <c:max val="17"/>
          <c:min val="0"/>
        </c:scaling>
        <c:delete val="0"/>
        <c:axPos val="t"/>
        <c:majorGridlines>
          <c:spPr>
            <a:ln w="158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69365480"/>
        <c:crosses val="autoZero"/>
        <c:crossBetween val="between"/>
        <c:majorUnit val="4"/>
      </c:valAx>
      <c:valAx>
        <c:axId val="725909848"/>
        <c:scaling>
          <c:orientation val="minMax"/>
          <c:max val="6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25910176"/>
        <c:crosses val="max"/>
        <c:crossBetween val="midCat"/>
      </c:valAx>
      <c:valAx>
        <c:axId val="725910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909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400" b="1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Follow the leader</a:t>
            </a:r>
          </a:p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05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Share of respondents saying that having a strong leader,who does not have to</a:t>
            </a:r>
          </a:p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05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parliament and elections,is a good way to run their country,%</a:t>
            </a:r>
            <a:endParaRPr lang="zh-CN" altLang="en-US" sz="105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endParaRPr>
          </a:p>
        </c:rich>
      </c:tx>
      <c:layout>
        <c:manualLayout>
          <c:xMode val="edge"/>
          <c:yMode val="edge"/>
          <c:x val="9.6251266464032429E-3"/>
          <c:y val="2.01409869083585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691275856713807"/>
          <c:y val="0.16377397689337173"/>
          <c:w val="0.81709451212215489"/>
          <c:h val="0.762064689043778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图7!$E$6</c:f>
              <c:strCache>
                <c:ptCount val="1"/>
                <c:pt idx="0">
                  <c:v>helper1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2158054711246201"/>
                  <c:y val="-1.4097897883610452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71-42E6-AE73-7D8EC8F8E26E}"/>
                </c:ext>
              </c:extLst>
            </c:dLbl>
            <c:dLbl>
              <c:idx val="1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71-42E6-AE73-7D8EC8F8E26E}"/>
                </c:ext>
              </c:extLst>
            </c:dLbl>
            <c:dLbl>
              <c:idx val="2"/>
              <c:layout>
                <c:manualLayout>
                  <c:x val="-0.12158054711246201"/>
                  <c:y val="-1.409789788361043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71-42E6-AE73-7D8EC8F8E26E}"/>
                </c:ext>
              </c:extLst>
            </c:dLbl>
            <c:dLbl>
              <c:idx val="3"/>
              <c:layout>
                <c:manualLayout>
                  <c:x val="-0.12158054711246201"/>
                  <c:y val="-1.409789788361043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71-42E6-AE73-7D8EC8F8E26E}"/>
                </c:ext>
              </c:extLst>
            </c:dLbl>
            <c:dLbl>
              <c:idx val="4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71-42E6-AE73-7D8EC8F8E26E}"/>
                </c:ext>
              </c:extLst>
            </c:dLbl>
            <c:dLbl>
              <c:idx val="5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371-42E6-AE73-7D8EC8F8E26E}"/>
                </c:ext>
              </c:extLst>
            </c:dLbl>
            <c:dLbl>
              <c:idx val="6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71-42E6-AE73-7D8EC8F8E26E}"/>
                </c:ext>
              </c:extLst>
            </c:dLbl>
            <c:dLbl>
              <c:idx val="7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371-42E6-AE73-7D8EC8F8E26E}"/>
                </c:ext>
              </c:extLst>
            </c:dLbl>
            <c:dLbl>
              <c:idx val="8"/>
              <c:layout>
                <c:manualLayout>
                  <c:x val="-0.12158054711246201"/>
                  <c:y val="-1.4097897883610397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371-42E6-AE73-7D8EC8F8E26E}"/>
                </c:ext>
              </c:extLst>
            </c:dLbl>
            <c:dLbl>
              <c:idx val="9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371-42E6-AE73-7D8EC8F8E26E}"/>
                </c:ext>
              </c:extLst>
            </c:dLbl>
            <c:dLbl>
              <c:idx val="10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371-42E6-AE73-7D8EC8F8E26E}"/>
                </c:ext>
              </c:extLst>
            </c:dLbl>
            <c:dLbl>
              <c:idx val="11"/>
              <c:layout>
                <c:manualLayout>
                  <c:x val="-0.12158054711246201"/>
                  <c:y val="-1.4097897883610397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371-42E6-AE73-7D8EC8F8E26E}"/>
                </c:ext>
              </c:extLst>
            </c:dLbl>
            <c:dLbl>
              <c:idx val="12"/>
              <c:layout>
                <c:manualLayout>
                  <c:x val="-0.12158054711246201"/>
                  <c:y val="-1.4097897883610544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371-42E6-AE73-7D8EC8F8E26E}"/>
                </c:ext>
              </c:extLst>
            </c:dLbl>
            <c:dLbl>
              <c:idx val="13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371-42E6-AE73-7D8EC8F8E26E}"/>
                </c:ext>
              </c:extLst>
            </c:dLbl>
            <c:dLbl>
              <c:idx val="14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371-42E6-AE73-7D8EC8F8E26E}"/>
                </c:ext>
              </c:extLst>
            </c:dLbl>
            <c:dLbl>
              <c:idx val="15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371-42E6-AE73-7D8EC8F8E26E}"/>
                </c:ext>
              </c:extLst>
            </c:dLbl>
            <c:dLbl>
              <c:idx val="16"/>
              <c:layout>
                <c:manualLayout>
                  <c:x val="-0.12158054711246201"/>
                  <c:y val="-1.4097897883610322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371-42E6-AE73-7D8EC8F8E26E}"/>
                </c:ext>
              </c:extLst>
            </c:dLbl>
            <c:dLbl>
              <c:idx val="17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371-42E6-AE73-7D8EC8F8E26E}"/>
                </c:ext>
              </c:extLst>
            </c:dLbl>
            <c:dLbl>
              <c:idx val="18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371-42E6-AE73-7D8EC8F8E26E}"/>
                </c:ext>
              </c:extLst>
            </c:dLbl>
            <c:dLbl>
              <c:idx val="19"/>
              <c:layout>
                <c:manualLayout>
                  <c:x val="-0.12158054711246201"/>
                  <c:y val="-1.4097897883610322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371-42E6-AE73-7D8EC8F8E26E}"/>
                </c:ext>
              </c:extLst>
            </c:dLbl>
            <c:dLbl>
              <c:idx val="20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371-42E6-AE73-7D8EC8F8E26E}"/>
                </c:ext>
              </c:extLst>
            </c:dLbl>
            <c:dLbl>
              <c:idx val="21"/>
              <c:layout>
                <c:manualLayout>
                  <c:x val="-0.12158054711246201"/>
                  <c:y val="-1.409789788361046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371-42E6-AE73-7D8EC8F8E2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图7!$B$7:$B$28</c:f>
              <c:strCache>
                <c:ptCount val="22"/>
                <c:pt idx="0">
                  <c:v>Russia</c:v>
                </c:pt>
                <c:pt idx="1">
                  <c:v>Romania</c:v>
                </c:pt>
                <c:pt idx="2">
                  <c:v>India</c:v>
                </c:pt>
                <c:pt idx="3">
                  <c:v>Ukraine</c:v>
                </c:pt>
                <c:pt idx="4">
                  <c:v>Taiwan</c:v>
                </c:pt>
                <c:pt idx="5">
                  <c:v>South Africa</c:v>
                </c:pt>
                <c:pt idx="6">
                  <c:v>Mexico</c:v>
                </c:pt>
                <c:pt idx="7">
                  <c:v>Philippines</c:v>
                </c:pt>
                <c:pt idx="8">
                  <c:v>Turkey</c:v>
                </c:pt>
                <c:pt idx="9">
                  <c:v>Columbia</c:v>
                </c:pt>
                <c:pt idx="10">
                  <c:v>Argentina</c:v>
                </c:pt>
                <c:pt idx="11">
                  <c:v>South Korea</c:v>
                </c:pt>
                <c:pt idx="12">
                  <c:v>Spain</c:v>
                </c:pt>
                <c:pt idx="13">
                  <c:v>Nigeria</c:v>
                </c:pt>
                <c:pt idx="14">
                  <c:v>Pakistan</c:v>
                </c:pt>
                <c:pt idx="15">
                  <c:v>Chile</c:v>
                </c:pt>
                <c:pt idx="16">
                  <c:v>Japan</c:v>
                </c:pt>
                <c:pt idx="17">
                  <c:v>United States</c:v>
                </c:pt>
                <c:pt idx="18">
                  <c:v>Sweden</c:v>
                </c:pt>
                <c:pt idx="19">
                  <c:v>Australia</c:v>
                </c:pt>
                <c:pt idx="20">
                  <c:v>New Zealand</c:v>
                </c:pt>
                <c:pt idx="21">
                  <c:v>Germany</c:v>
                </c:pt>
              </c:strCache>
            </c:strRef>
          </c:cat>
          <c:val>
            <c:numRef>
              <c:f>图7!$E$7:$E$28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1-42E6-AE73-7D8EC8F8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31892480"/>
        <c:axId val="731892808"/>
      </c:barChart>
      <c:scatterChart>
        <c:scatterStyle val="lineMarker"/>
        <c:varyColors val="0"/>
        <c:ser>
          <c:idx val="1"/>
          <c:order val="1"/>
          <c:tx>
            <c:strRef>
              <c:f>图7!$C$6</c:f>
              <c:strCache>
                <c:ptCount val="1"/>
                <c:pt idx="0">
                  <c:v>1995-97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xVal>
            <c:numRef>
              <c:f>图7!$C$7:$C$28</c:f>
              <c:numCache>
                <c:formatCode>General</c:formatCode>
                <c:ptCount val="22"/>
                <c:pt idx="0">
                  <c:v>50</c:v>
                </c:pt>
                <c:pt idx="1">
                  <c:v>46</c:v>
                </c:pt>
                <c:pt idx="2">
                  <c:v>68</c:v>
                </c:pt>
                <c:pt idx="3">
                  <c:v>56</c:v>
                </c:pt>
                <c:pt idx="4">
                  <c:v>41</c:v>
                </c:pt>
                <c:pt idx="5">
                  <c:v>37</c:v>
                </c:pt>
                <c:pt idx="6">
                  <c:v>44</c:v>
                </c:pt>
                <c:pt idx="7">
                  <c:v>66</c:v>
                </c:pt>
                <c:pt idx="8">
                  <c:v>38</c:v>
                </c:pt>
                <c:pt idx="9">
                  <c:v>52</c:v>
                </c:pt>
                <c:pt idx="10">
                  <c:v>30</c:v>
                </c:pt>
                <c:pt idx="11">
                  <c:v>32</c:v>
                </c:pt>
                <c:pt idx="12">
                  <c:v>28</c:v>
                </c:pt>
                <c:pt idx="13">
                  <c:v>36</c:v>
                </c:pt>
                <c:pt idx="14">
                  <c:v>62</c:v>
                </c:pt>
                <c:pt idx="15">
                  <c:v>36</c:v>
                </c:pt>
                <c:pt idx="16">
                  <c:v>33</c:v>
                </c:pt>
                <c:pt idx="17">
                  <c:v>24</c:v>
                </c:pt>
                <c:pt idx="18">
                  <c:v>27</c:v>
                </c:pt>
                <c:pt idx="19">
                  <c:v>25</c:v>
                </c:pt>
                <c:pt idx="20">
                  <c:v>19</c:v>
                </c:pt>
                <c:pt idx="21">
                  <c:v>14</c:v>
                </c:pt>
              </c:numCache>
            </c:numRef>
          </c:xVal>
          <c:yVal>
            <c:numRef>
              <c:f>图7!$F$7:$F$28</c:f>
              <c:numCache>
                <c:formatCode>General</c:formatCode>
                <c:ptCount val="22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15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1-42E6-AE73-7D8EC8F8E26E}"/>
            </c:ext>
          </c:extLst>
        </c:ser>
        <c:ser>
          <c:idx val="2"/>
          <c:order val="2"/>
          <c:tx>
            <c:strRef>
              <c:f>图7!$D$6</c:f>
              <c:strCache>
                <c:ptCount val="1"/>
                <c:pt idx="0">
                  <c:v>2010-14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errBars>
            <c:errDir val="x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图7!$G$7:$G$28</c:f>
                <c:numCache>
                  <c:formatCode>General</c:formatCode>
                  <c:ptCount val="22"/>
                  <c:pt idx="0">
                    <c:v>27</c:v>
                  </c:pt>
                  <c:pt idx="1">
                    <c:v>29</c:v>
                  </c:pt>
                  <c:pt idx="2">
                    <c:v>4</c:v>
                  </c:pt>
                  <c:pt idx="3">
                    <c:v>15</c:v>
                  </c:pt>
                  <c:pt idx="4">
                    <c:v>26</c:v>
                  </c:pt>
                  <c:pt idx="5">
                    <c:v>24</c:v>
                  </c:pt>
                  <c:pt idx="6">
                    <c:v>14</c:v>
                  </c:pt>
                  <c:pt idx="7">
                    <c:v>-8</c:v>
                  </c:pt>
                  <c:pt idx="8">
                    <c:v>19</c:v>
                  </c:pt>
                  <c:pt idx="9">
                    <c:v>3</c:v>
                  </c:pt>
                  <c:pt idx="10">
                    <c:v>18</c:v>
                  </c:pt>
                  <c:pt idx="11">
                    <c:v>16</c:v>
                  </c:pt>
                  <c:pt idx="12">
                    <c:v>18</c:v>
                  </c:pt>
                  <c:pt idx="13">
                    <c:v>9</c:v>
                  </c:pt>
                  <c:pt idx="14">
                    <c:v>-17</c:v>
                  </c:pt>
                  <c:pt idx="15">
                    <c:v>2</c:v>
                  </c:pt>
                  <c:pt idx="16">
                    <c:v>4</c:v>
                  </c:pt>
                  <c:pt idx="17">
                    <c:v>7</c:v>
                  </c:pt>
                  <c:pt idx="18">
                    <c:v>-3</c:v>
                  </c:pt>
                  <c:pt idx="19">
                    <c:v>-2</c:v>
                  </c:pt>
                  <c:pt idx="20">
                    <c:v>3</c:v>
                  </c:pt>
                  <c:pt idx="21">
                    <c:v>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图7!$D$7:$D$28</c:f>
              <c:numCache>
                <c:formatCode>General</c:formatCode>
                <c:ptCount val="22"/>
                <c:pt idx="0">
                  <c:v>77</c:v>
                </c:pt>
                <c:pt idx="1">
                  <c:v>75</c:v>
                </c:pt>
                <c:pt idx="2">
                  <c:v>72</c:v>
                </c:pt>
                <c:pt idx="3">
                  <c:v>71</c:v>
                </c:pt>
                <c:pt idx="4">
                  <c:v>67</c:v>
                </c:pt>
                <c:pt idx="5">
                  <c:v>61</c:v>
                </c:pt>
                <c:pt idx="6">
                  <c:v>58</c:v>
                </c:pt>
                <c:pt idx="7">
                  <c:v>58</c:v>
                </c:pt>
                <c:pt idx="8">
                  <c:v>57</c:v>
                </c:pt>
                <c:pt idx="9">
                  <c:v>55</c:v>
                </c:pt>
                <c:pt idx="10">
                  <c:v>48</c:v>
                </c:pt>
                <c:pt idx="11">
                  <c:v>48</c:v>
                </c:pt>
                <c:pt idx="12">
                  <c:v>46</c:v>
                </c:pt>
                <c:pt idx="13">
                  <c:v>45</c:v>
                </c:pt>
                <c:pt idx="14">
                  <c:v>45</c:v>
                </c:pt>
                <c:pt idx="15">
                  <c:v>38</c:v>
                </c:pt>
                <c:pt idx="16">
                  <c:v>37</c:v>
                </c:pt>
                <c:pt idx="17">
                  <c:v>31</c:v>
                </c:pt>
                <c:pt idx="18">
                  <c:v>24</c:v>
                </c:pt>
                <c:pt idx="19">
                  <c:v>23</c:v>
                </c:pt>
                <c:pt idx="20">
                  <c:v>22</c:v>
                </c:pt>
                <c:pt idx="21">
                  <c:v>20</c:v>
                </c:pt>
              </c:numCache>
            </c:numRef>
          </c:xVal>
          <c:yVal>
            <c:numRef>
              <c:f>图7!$F$7:$F$28</c:f>
              <c:numCache>
                <c:formatCode>General</c:formatCode>
                <c:ptCount val="22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15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71-42E6-AE73-7D8EC8F8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08952"/>
        <c:axId val="546908624"/>
      </c:scatterChart>
      <c:catAx>
        <c:axId val="731892480"/>
        <c:scaling>
          <c:orientation val="maxMin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31892808"/>
        <c:crosses val="autoZero"/>
        <c:auto val="1"/>
        <c:lblAlgn val="ctr"/>
        <c:lblOffset val="100"/>
        <c:noMultiLvlLbl val="0"/>
      </c:catAx>
      <c:valAx>
        <c:axId val="731892808"/>
        <c:scaling>
          <c:orientation val="minMax"/>
          <c:max val="100"/>
        </c:scaling>
        <c:delete val="0"/>
        <c:axPos val="t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31892480"/>
        <c:crosses val="autoZero"/>
        <c:crossBetween val="between"/>
        <c:majorUnit val="20"/>
      </c:valAx>
      <c:valAx>
        <c:axId val="546908624"/>
        <c:scaling>
          <c:orientation val="minMax"/>
          <c:max val="2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46908952"/>
        <c:crosses val="max"/>
        <c:crossBetween val="midCat"/>
      </c:valAx>
      <c:valAx>
        <c:axId val="546908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690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74599350613088278"/>
          <c:y val="6.4451158106747231E-2"/>
          <c:w val="0.22506250548468676"/>
          <c:h val="3.6640102766610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/>
                </a:solidFill>
                <a:latin typeface="思源宋体 CN" panose="02020400000000000000" pitchFamily="18" charset="-122"/>
                <a:ea typeface="思源宋体 CN" panose="02020400000000000000" pitchFamily="18" charset="-122"/>
                <a:cs typeface="+mn-cs"/>
              </a:defRPr>
            </a:pPr>
            <a:r>
              <a:rPr lang="zh-CN" altLang="en-US" sz="1400">
                <a:latin typeface="思源宋体 CN" panose="02020400000000000000" pitchFamily="18" charset="-122"/>
                <a:ea typeface="思源宋体 CN" panose="02020400000000000000" pitchFamily="18" charset="-122"/>
              </a:rPr>
              <a:t>巨无霸指数</a:t>
            </a:r>
            <a:endParaRPr lang="en-US" altLang="zh-CN" sz="1400">
              <a:latin typeface="思源宋体 CN" panose="02020400000000000000" pitchFamily="18" charset="-122"/>
              <a:ea typeface="思源宋体 CN" panose="02020400000000000000" pitchFamily="18" charset="-122"/>
            </a:endParaRPr>
          </a:p>
          <a:p>
            <a:pPr algn="l">
              <a:defRPr sz="1200" b="0" i="0" u="none" strike="noStrike" kern="1200" spc="0" baseline="0">
                <a:solidFill>
                  <a:schemeClr val="tx1"/>
                </a:solidFill>
                <a:latin typeface="思源宋体 CN" panose="02020400000000000000" pitchFamily="18" charset="-122"/>
                <a:ea typeface="思源宋体 CN" panose="02020400000000000000" pitchFamily="18" charset="-122"/>
                <a:cs typeface="+mn-cs"/>
              </a:defRPr>
            </a:pPr>
            <a:r>
              <a:rPr lang="zh-CN" altLang="en-US" sz="1050">
                <a:latin typeface="思源宋体 CN" panose="02020400000000000000" pitchFamily="18" charset="-122"/>
                <a:ea typeface="思源宋体 CN" panose="02020400000000000000" pitchFamily="18" charset="-122"/>
              </a:rPr>
              <a:t>各国货币被低</a:t>
            </a:r>
            <a:r>
              <a:rPr lang="en-US" altLang="zh-CN" sz="1050">
                <a:latin typeface="思源宋体 CN" panose="02020400000000000000" pitchFamily="18" charset="-122"/>
                <a:ea typeface="思源宋体 CN" panose="02020400000000000000" pitchFamily="18" charset="-122"/>
              </a:rPr>
              <a:t>/</a:t>
            </a:r>
            <a:r>
              <a:rPr lang="zh-CN" altLang="en-US" sz="1050">
                <a:latin typeface="思源宋体 CN" panose="02020400000000000000" pitchFamily="18" charset="-122"/>
                <a:ea typeface="思源宋体 CN" panose="02020400000000000000" pitchFamily="18" charset="-122"/>
              </a:rPr>
              <a:t>高估的幅度</a:t>
            </a:r>
          </a:p>
        </c:rich>
      </c:tx>
      <c:layout>
        <c:manualLayout>
          <c:xMode val="edge"/>
          <c:yMode val="edge"/>
          <c:x val="2.0342500014050705E-2"/>
          <c:y val="1.94805194805194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74552434677008"/>
          <c:y val="0.23015458294985855"/>
          <c:w val="0.76404592894838896"/>
          <c:h val="0.73387462930770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图8!$F$5</c:f>
              <c:strCache>
                <c:ptCount val="1"/>
                <c:pt idx="0">
                  <c:v>helper1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59351276742581094"/>
                  <c:y val="-1.948000818079556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B47-B3C1-96E48934595B}"/>
                </c:ext>
              </c:extLst>
            </c:dLbl>
            <c:dLbl>
              <c:idx val="1"/>
              <c:layout>
                <c:manualLayout>
                  <c:x val="-0.59351276742581094"/>
                  <c:y val="-1.9480008180795542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B47-B3C1-96E48934595B}"/>
                </c:ext>
              </c:extLst>
            </c:dLbl>
            <c:dLbl>
              <c:idx val="2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B47-B3C1-96E48934595B}"/>
                </c:ext>
              </c:extLst>
            </c:dLbl>
            <c:dLbl>
              <c:idx val="3"/>
              <c:layout>
                <c:manualLayout>
                  <c:x val="-0.59351276742581094"/>
                  <c:y val="-1.9480008180795622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B47-B3C1-96E48934595B}"/>
                </c:ext>
              </c:extLst>
            </c:dLbl>
            <c:dLbl>
              <c:idx val="4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B47-B3C1-96E48934595B}"/>
                </c:ext>
              </c:extLst>
            </c:dLbl>
            <c:dLbl>
              <c:idx val="5"/>
              <c:layout>
                <c:manualLayout>
                  <c:x val="-0.59351276742581094"/>
                  <c:y val="-1.9480008180795504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B47-B3C1-96E48934595B}"/>
                </c:ext>
              </c:extLst>
            </c:dLbl>
            <c:dLbl>
              <c:idx val="6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B47-B3C1-96E48934595B}"/>
                </c:ext>
              </c:extLst>
            </c:dLbl>
            <c:dLbl>
              <c:idx val="7"/>
              <c:layout>
                <c:manualLayout>
                  <c:x val="-0.59351276742581094"/>
                  <c:y val="-1.9480008180795504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B47-B3C1-96E48934595B}"/>
                </c:ext>
              </c:extLst>
            </c:dLbl>
            <c:dLbl>
              <c:idx val="8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3AB-4B47-B3C1-96E48934595B}"/>
                </c:ext>
              </c:extLst>
            </c:dLbl>
            <c:dLbl>
              <c:idx val="9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3AB-4B47-B3C1-96E48934595B}"/>
                </c:ext>
              </c:extLst>
            </c:dLbl>
            <c:dLbl>
              <c:idx val="10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3AB-4B47-B3C1-96E48934595B}"/>
                </c:ext>
              </c:extLst>
            </c:dLbl>
            <c:dLbl>
              <c:idx val="11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3AB-4B47-B3C1-96E48934595B}"/>
                </c:ext>
              </c:extLst>
            </c:dLbl>
            <c:dLbl>
              <c:idx val="12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3AB-4B47-B3C1-96E48934595B}"/>
                </c:ext>
              </c:extLst>
            </c:dLbl>
            <c:dLbl>
              <c:idx val="13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3AB-4B47-B3C1-96E48934595B}"/>
                </c:ext>
              </c:extLst>
            </c:dLbl>
            <c:dLbl>
              <c:idx val="14"/>
              <c:layout>
                <c:manualLayout>
                  <c:x val="-0.59351276742581094"/>
                  <c:y val="-1.948000818079558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3AB-4B47-B3C1-96E48934595B}"/>
                </c:ext>
              </c:extLst>
            </c:dLbl>
            <c:dLbl>
              <c:idx val="15"/>
              <c:layout>
                <c:manualLayout>
                  <c:x val="-0.59351276742581094"/>
                  <c:y val="-1.9480008180795424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3AB-4B47-B3C1-96E48934595B}"/>
                </c:ext>
              </c:extLst>
            </c:dLbl>
            <c:dLbl>
              <c:idx val="16"/>
              <c:layout>
                <c:manualLayout>
                  <c:x val="-0.59351276742581094"/>
                  <c:y val="-1.9480008180795424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3AB-4B47-B3C1-96E48934595B}"/>
                </c:ext>
              </c:extLst>
            </c:dLbl>
            <c:dLbl>
              <c:idx val="17"/>
              <c:layout>
                <c:manualLayout>
                  <c:x val="-0.59351276742581094"/>
                  <c:y val="-1.9480008180795424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3AB-4B47-B3C1-96E4893459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思源宋体 CN" panose="02020400000000000000" pitchFamily="18" charset="-122"/>
                    <a:ea typeface="思源宋体 CN" panose="02020400000000000000" pitchFamily="18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图8!$B$6:$B$23</c:f>
              <c:strCache>
                <c:ptCount val="18"/>
                <c:pt idx="0">
                  <c:v>瑞士</c:v>
                </c:pt>
                <c:pt idx="1">
                  <c:v>挪威</c:v>
                </c:pt>
                <c:pt idx="2">
                  <c:v>瑞典</c:v>
                </c:pt>
                <c:pt idx="3">
                  <c:v>美国ƚ</c:v>
                </c:pt>
                <c:pt idx="4">
                  <c:v>巴西</c:v>
                </c:pt>
                <c:pt idx="5">
                  <c:v>加拿大</c:v>
                </c:pt>
                <c:pt idx="6">
                  <c:v>澳大利亚</c:v>
                </c:pt>
                <c:pt idx="7">
                  <c:v>欧元区ǂ</c:v>
                </c:pt>
                <c:pt idx="8">
                  <c:v>阿根廷</c:v>
                </c:pt>
                <c:pt idx="9">
                  <c:v>英国</c:v>
                </c:pt>
                <c:pt idx="10">
                  <c:v>日本</c:v>
                </c:pt>
                <c:pt idx="11">
                  <c:v>土耳其</c:v>
                </c:pt>
                <c:pt idx="12">
                  <c:v>中国Ø</c:v>
                </c:pt>
                <c:pt idx="13">
                  <c:v>墨西哥</c:v>
                </c:pt>
                <c:pt idx="14">
                  <c:v>俄罗斯</c:v>
                </c:pt>
                <c:pt idx="15">
                  <c:v>台湾</c:v>
                </c:pt>
                <c:pt idx="16">
                  <c:v>南非</c:v>
                </c:pt>
                <c:pt idx="17">
                  <c:v>埃及</c:v>
                </c:pt>
              </c:strCache>
            </c:strRef>
          </c:cat>
          <c:val>
            <c:numRef>
              <c:f>图8!$F$6:$F$23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B-4B47-B3C1-96E489345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30210624"/>
        <c:axId val="830210952"/>
      </c:barChart>
      <c:scatterChart>
        <c:scatterStyle val="lineMarker"/>
        <c:varyColors val="0"/>
        <c:ser>
          <c:idx val="1"/>
          <c:order val="1"/>
          <c:tx>
            <c:strRef>
              <c:f>图8!$C$5</c:f>
              <c:strCache>
                <c:ptCount val="1"/>
                <c:pt idx="0">
                  <c:v>2017年1月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xVal>
            <c:numRef>
              <c:f>图8!$C$6:$C$23</c:f>
              <c:numCache>
                <c:formatCode>0.0_ </c:formatCode>
                <c:ptCount val="18"/>
                <c:pt idx="0">
                  <c:v>23</c:v>
                </c:pt>
                <c:pt idx="1">
                  <c:v>11.5</c:v>
                </c:pt>
                <c:pt idx="2">
                  <c:v>4.3</c:v>
                </c:pt>
                <c:pt idx="3">
                  <c:v>0</c:v>
                </c:pt>
                <c:pt idx="4">
                  <c:v>0.3</c:v>
                </c:pt>
                <c:pt idx="5">
                  <c:v>-11</c:v>
                </c:pt>
                <c:pt idx="6">
                  <c:v>-18.5</c:v>
                </c:pt>
                <c:pt idx="7">
                  <c:v>-19.8</c:v>
                </c:pt>
                <c:pt idx="8">
                  <c:v>-32</c:v>
                </c:pt>
                <c:pt idx="9">
                  <c:v>-25</c:v>
                </c:pt>
                <c:pt idx="10">
                  <c:v>-34.799999999999997</c:v>
                </c:pt>
                <c:pt idx="11">
                  <c:v>-45</c:v>
                </c:pt>
                <c:pt idx="12">
                  <c:v>-43.2</c:v>
                </c:pt>
                <c:pt idx="13">
                  <c:v>-58</c:v>
                </c:pt>
                <c:pt idx="14">
                  <c:v>-57.8</c:v>
                </c:pt>
                <c:pt idx="15">
                  <c:v>-59.1</c:v>
                </c:pt>
                <c:pt idx="16">
                  <c:v>-62</c:v>
                </c:pt>
                <c:pt idx="17">
                  <c:v>-70</c:v>
                </c:pt>
              </c:numCache>
            </c:numRef>
          </c:xVal>
          <c:yVal>
            <c:numRef>
              <c:f>图8!$G$6:$G$23</c:f>
              <c:numCache>
                <c:formatCode>General</c:formatCode>
                <c:ptCount val="18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B-4B47-B3C1-96E48934595B}"/>
            </c:ext>
          </c:extLst>
        </c:ser>
        <c:ser>
          <c:idx val="2"/>
          <c:order val="2"/>
          <c:tx>
            <c:strRef>
              <c:f>图8!$D$5</c:f>
              <c:strCache>
                <c:ptCount val="1"/>
                <c:pt idx="0">
                  <c:v>2017年7月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Pt>
            <c:idx val="3"/>
            <c:marker>
              <c:spPr>
                <a:blipFill>
                  <a:blip xmlns:r="http://schemas.openxmlformats.org/officeDocument/2006/relationships" r:embed="rId3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AB-4B47-B3C1-96E48934595B}"/>
              </c:ext>
            </c:extLst>
          </c:dPt>
          <c:xVal>
            <c:numRef>
              <c:f>图8!$D$6:$D$23</c:f>
              <c:numCache>
                <c:formatCode>0.0_ </c:formatCode>
                <c:ptCount val="18"/>
                <c:pt idx="0">
                  <c:v>27</c:v>
                </c:pt>
                <c:pt idx="1">
                  <c:v>11</c:v>
                </c:pt>
                <c:pt idx="2">
                  <c:v>9.8113207547169896</c:v>
                </c:pt>
                <c:pt idx="3">
                  <c:v>0</c:v>
                </c:pt>
                <c:pt idx="4">
                  <c:v>-3.8</c:v>
                </c:pt>
                <c:pt idx="5">
                  <c:v>-12.075471698113201</c:v>
                </c:pt>
                <c:pt idx="6">
                  <c:v>-16.5</c:v>
                </c:pt>
                <c:pt idx="7">
                  <c:v>-18.5</c:v>
                </c:pt>
                <c:pt idx="8">
                  <c:v>-22.075471698113208</c:v>
                </c:pt>
                <c:pt idx="9">
                  <c:v>-22.452830188679236</c:v>
                </c:pt>
                <c:pt idx="10">
                  <c:v>-36.60377358490566</c:v>
                </c:pt>
                <c:pt idx="11">
                  <c:v>-43.20754716981132</c:v>
                </c:pt>
                <c:pt idx="12">
                  <c:v>-44.905660377358494</c:v>
                </c:pt>
                <c:pt idx="13">
                  <c:v>-48.113207547169814</c:v>
                </c:pt>
                <c:pt idx="14">
                  <c:v>-56.981132075471699</c:v>
                </c:pt>
                <c:pt idx="15">
                  <c:v>-57.358490566037737</c:v>
                </c:pt>
                <c:pt idx="16">
                  <c:v>-57.358490566037737</c:v>
                </c:pt>
                <c:pt idx="17">
                  <c:v>-66.981132075471692</c:v>
                </c:pt>
              </c:numCache>
            </c:numRef>
          </c:xVal>
          <c:yVal>
            <c:numRef>
              <c:f>图8!$G$6:$G$23</c:f>
              <c:numCache>
                <c:formatCode>General</c:formatCode>
                <c:ptCount val="18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AB-4B47-B3C1-96E48934595B}"/>
            </c:ext>
          </c:extLst>
        </c:ser>
        <c:ser>
          <c:idx val="3"/>
          <c:order val="3"/>
          <c:tx>
            <c:strRef>
              <c:f>图8!$H$5</c:f>
              <c:strCache>
                <c:ptCount val="1"/>
                <c:pt idx="0">
                  <c:v>helper3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376C2FC-6E19-4C86-B023-BC8D725961D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3AB-4B47-B3C1-96E48934595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DE6858-85F9-43BD-9A0D-60F226E7A3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3AB-4B47-B3C1-96E48934595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0F1C24-4B61-427D-B16F-E3FB99CDD1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3AB-4B47-B3C1-96E4893459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1E080BA-CCBA-4253-B4F0-E7CBA36F3F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3AB-4B47-B3C1-96E48934595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F8C78D6-68E3-4382-9D36-0A0348F840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3AB-4B47-B3C1-96E48934595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0A09EA-E6B6-47E4-A50B-27F681D9E6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3AB-4B47-B3C1-96E48934595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5461E2E-E265-4FCE-8FCA-4C1399243A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3AB-4B47-B3C1-96E48934595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D60273B-D649-408F-AF62-3F820C6F22C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3AB-4B47-B3C1-96E48934595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ED8F77-1392-4FF3-87E8-1940BA7803E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3AB-4B47-B3C1-96E48934595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8C524C3-153A-4367-8719-97F6E8E9BE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3AB-4B47-B3C1-96E48934595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1299CAE-766B-444C-8AB5-B6391DC18FE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3AB-4B47-B3C1-96E48934595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7161926-FFA5-4CAC-8B9D-74EAD0B6A4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3AB-4B47-B3C1-96E48934595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690644B-EDB5-4353-A6C9-EBA4550CCB7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3AB-4B47-B3C1-96E48934595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18EE736-5653-41EC-875A-8F16208FEA8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3AB-4B47-B3C1-96E48934595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812B5AA-ADC6-4286-B7F1-470DB31496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3AB-4B47-B3C1-96E48934595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C1FF7BE-5E10-4CE1-8B18-39A11466C6A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3AB-4B47-B3C1-96E48934595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5D1B8F9-7F19-47EE-AE4C-B1DB9016A0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3AB-4B47-B3C1-96E48934595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324AF20-8C53-4C88-BF01-74768F4FA6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3AB-4B47-B3C1-96E48934595B}"/>
                </c:ext>
              </c:extLst>
            </c:dLbl>
            <c:spPr>
              <a:solidFill>
                <a:schemeClr val="bg1"/>
              </a:solidFill>
              <a:ln w="12700">
                <a:solidFill>
                  <a:schemeClr val="accent4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图8!$H$6:$H$23</c:f>
              <c:numCache>
                <c:formatCode>General</c:formatCode>
                <c:ptCount val="18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</c:numCache>
            </c:numRef>
          </c:xVal>
          <c:yVal>
            <c:numRef>
              <c:f>图8!$G$6:$G$23</c:f>
              <c:numCache>
                <c:formatCode>General</c:formatCode>
                <c:ptCount val="18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图8!$E$6:$E$23</c15:f>
                <c15:dlblRangeCache>
                  <c:ptCount val="18"/>
                  <c:pt idx="0">
                    <c:v>6.74 </c:v>
                  </c:pt>
                  <c:pt idx="1">
                    <c:v>5.91 </c:v>
                  </c:pt>
                  <c:pt idx="2">
                    <c:v>5.82 </c:v>
                  </c:pt>
                  <c:pt idx="3">
                    <c:v>5.30 </c:v>
                  </c:pt>
                  <c:pt idx="4">
                    <c:v>5.10 </c:v>
                  </c:pt>
                  <c:pt idx="5">
                    <c:v>4.66 </c:v>
                  </c:pt>
                  <c:pt idx="6">
                    <c:v>4.53 </c:v>
                  </c:pt>
                  <c:pt idx="7">
                    <c:v>4.47 </c:v>
                  </c:pt>
                  <c:pt idx="8">
                    <c:v>4.13 </c:v>
                  </c:pt>
                  <c:pt idx="9">
                    <c:v>4.11 </c:v>
                  </c:pt>
                  <c:pt idx="10">
                    <c:v>3.36 </c:v>
                  </c:pt>
                  <c:pt idx="11">
                    <c:v>3.01 </c:v>
                  </c:pt>
                  <c:pt idx="12">
                    <c:v>2.92 </c:v>
                  </c:pt>
                  <c:pt idx="13">
                    <c:v>2.75 </c:v>
                  </c:pt>
                  <c:pt idx="14">
                    <c:v>2.28 </c:v>
                  </c:pt>
                  <c:pt idx="15">
                    <c:v>2.26 </c:v>
                  </c:pt>
                  <c:pt idx="16">
                    <c:v>2.26 </c:v>
                  </c:pt>
                  <c:pt idx="17">
                    <c:v>1.75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A3AB-4B47-B3C1-96E48934595B}"/>
            </c:ext>
          </c:extLst>
        </c:ser>
        <c:ser>
          <c:idx val="4"/>
          <c:order val="4"/>
          <c:tx>
            <c:strRef>
              <c:f>图8!$F$25</c:f>
              <c:strCache>
                <c:ptCount val="1"/>
                <c:pt idx="0">
                  <c:v>label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1420413990007242E-2"/>
                  <c:y val="-6.135000170433242E-2"/>
                </c:manualLayout>
              </c:layout>
              <c:tx>
                <c:strRef>
                  <c:f>图8!$E$5</c:f>
                  <c:strCache>
                    <c:ptCount val="1"/>
                    <c:pt idx="0">
                      <c:v>巨无霸价格*，美元</c:v>
                    </c:pt>
                  </c:strCache>
                </c:strRef>
              </c:tx>
              <c:spPr>
                <a:xfrm>
                  <a:off x="3348145" y="395529"/>
                  <a:ext cx="1049229" cy="199230"/>
                </a:xfrm>
                <a:solidFill>
                  <a:sysClr val="window" lastClr="FFFFFF"/>
                </a:solidFill>
                <a:ln w="12700" cap="flat" cmpd="sng" algn="ctr">
                  <a:solidFill>
                    <a:schemeClr val="accent4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tx1"/>
                      </a:solidFill>
                      <a:latin typeface="思源宋体 CN" panose="02020400000000000000" pitchFamily="18" charset="-122"/>
                      <a:ea typeface="思源宋体 CN" panose="02020400000000000000" pitchFamily="18" charset="-122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9869"/>
                        <a:gd name="adj2" fmla="val 115339"/>
                      </a:avLst>
                    </a:prstGeom>
                  </c15:spPr>
                  <c15:layout>
                    <c:manualLayout>
                      <c:w val="0.2358785344551417"/>
                      <c:h val="3.3955414664076082E-2"/>
                    </c:manualLayout>
                  </c15:layout>
                  <c15:dlblFieldTable>
                    <c15:dlblFTEntry>
                      <c15:txfldGUID>{3F37F2DF-7585-4430-888A-42EE1C8DCC64}</c15:txfldGUID>
                      <c15:f>图8!$E$5</c15:f>
                      <c15:dlblFieldTableCache>
                        <c:ptCount val="1"/>
                        <c:pt idx="0">
                          <c:v>巨无霸价格*，美元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A3AB-4B47-B3C1-96E48934595B}"/>
                </c:ext>
              </c:extLst>
            </c:dLbl>
            <c:spPr>
              <a:noFill/>
              <a:ln w="12700">
                <a:solidFill>
                  <a:schemeClr val="accent4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900" b="0" i="0" u="none" strike="noStrike" kern="1200" baseline="0">
                    <a:solidFill>
                      <a:schemeClr val="tx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图8!$F$27</c:f>
              <c:numCache>
                <c:formatCode>General</c:formatCode>
                <c:ptCount val="1"/>
                <c:pt idx="0">
                  <c:v>55</c:v>
                </c:pt>
              </c:numCache>
            </c:numRef>
          </c:xVal>
          <c:yVal>
            <c:numRef>
              <c:f>图8!$G$27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3AB-4B47-B3C1-96E489345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159216"/>
        <c:axId val="836158888"/>
      </c:scatterChart>
      <c:catAx>
        <c:axId val="83021062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30210952"/>
        <c:crosses val="autoZero"/>
        <c:auto val="1"/>
        <c:lblAlgn val="ctr"/>
        <c:lblOffset val="100"/>
        <c:noMultiLvlLbl val="0"/>
      </c:catAx>
      <c:valAx>
        <c:axId val="830210952"/>
        <c:scaling>
          <c:orientation val="minMax"/>
          <c:max val="55"/>
          <c:min val="-80"/>
        </c:scaling>
        <c:delete val="0"/>
        <c:axPos val="t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rgbClr val="D9E6E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30210624"/>
        <c:crosses val="autoZero"/>
        <c:crossBetween val="between"/>
      </c:valAx>
      <c:valAx>
        <c:axId val="836158888"/>
        <c:scaling>
          <c:orientation val="minMax"/>
          <c:max val="18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36159216"/>
        <c:crosses val="max"/>
        <c:crossBetween val="midCat"/>
      </c:valAx>
      <c:valAx>
        <c:axId val="836159216"/>
        <c:scaling>
          <c:orientation val="minMax"/>
        </c:scaling>
        <c:delete val="1"/>
        <c:axPos val="b"/>
        <c:numFmt formatCode="0.0_ " sourceLinked="1"/>
        <c:majorTickMark val="out"/>
        <c:minorTickMark val="none"/>
        <c:tickLblPos val="nextTo"/>
        <c:crossAx val="836158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3.586334495073361E-4"/>
          <c:y val="0.14305194805194804"/>
          <c:w val="0.3533866873198227"/>
          <c:h val="4.057301089790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思源宋体 CN" panose="02020400000000000000" pitchFamily="18" charset="-122"/>
              <a:ea typeface="思源宋体 CN" panose="02020400000000000000" pitchFamily="18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D9E6EC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6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The changing use of American leisure time</a:t>
            </a:r>
          </a:p>
          <a:p>
            <a:pPr algn="l">
              <a:defRPr sz="1200"/>
            </a:pPr>
            <a:r>
              <a:rPr lang="en-US" altLang="zh-CN" sz="140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</a:rPr>
              <a:t>Weekends and holidays,2006 v 2015*</a:t>
            </a:r>
            <a:endParaRPr lang="zh-CN" altLang="en-US" sz="1400">
              <a:solidFill>
                <a:schemeClr val="tx1">
                  <a:lumMod val="65000"/>
                  <a:lumOff val="35000"/>
                </a:schemeClr>
              </a:solidFill>
              <a:latin typeface="ITC Officina Sans Std Book" panose="020B0506040203020204" pitchFamily="34" charset="0"/>
            </a:endParaRPr>
          </a:p>
        </c:rich>
      </c:tx>
      <c:layout>
        <c:manualLayout>
          <c:xMode val="edge"/>
          <c:yMode val="edge"/>
          <c:x val="2.2768667044064793E-2"/>
          <c:y val="3.2064128256513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6907329445472878E-2"/>
          <c:y val="0.23959005124359456"/>
          <c:w val="0.91192434176321413"/>
          <c:h val="0.67072963705623756"/>
        </c:manualLayout>
      </c:layout>
      <c:bubbleChart>
        <c:varyColors val="0"/>
        <c:ser>
          <c:idx val="0"/>
          <c:order val="0"/>
          <c:tx>
            <c:strRef>
              <c:f>图9!$J$6</c:f>
              <c:strCache>
                <c:ptCount val="1"/>
                <c:pt idx="0">
                  <c:v>helper1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xVal>
            <c:strRef>
              <c:f>图9!$B$7:$B$10</c:f>
              <c:strCache>
                <c:ptCount val="4"/>
                <c:pt idx="0">
                  <c:v>15-24</c:v>
                </c:pt>
                <c:pt idx="1">
                  <c:v>25-44</c:v>
                </c:pt>
                <c:pt idx="2">
                  <c:v>45-64</c:v>
                </c:pt>
                <c:pt idx="3">
                  <c:v>65+</c:v>
                </c:pt>
              </c:strCache>
            </c:strRef>
          </c:xVal>
          <c:yVal>
            <c:numRef>
              <c:f>图9!$J$7:$J$10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bubbleSize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63B3-470D-AA38-391E5E8AB043}"/>
            </c:ext>
          </c:extLst>
        </c:ser>
        <c:ser>
          <c:idx val="1"/>
          <c:order val="1"/>
          <c:tx>
            <c:strRef>
              <c:f>图9!$B$7</c:f>
              <c:strCache>
                <c:ptCount val="1"/>
                <c:pt idx="0">
                  <c:v>15-24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xVal>
            <c:numRef>
              <c:f>图9!$K$7:$P$7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图9!$C$7:$H$7</c:f>
              <c:numCache>
                <c:formatCode>0.00_);[Red]\(0.00\)</c:formatCode>
                <c:ptCount val="6"/>
                <c:pt idx="0">
                  <c:v>-2</c:v>
                </c:pt>
                <c:pt idx="1">
                  <c:v>17</c:v>
                </c:pt>
                <c:pt idx="2">
                  <c:v>-2</c:v>
                </c:pt>
                <c:pt idx="3">
                  <c:v>-12</c:v>
                </c:pt>
                <c:pt idx="4">
                  <c:v>0</c:v>
                </c:pt>
                <c:pt idx="5">
                  <c:v>-1</c:v>
                </c:pt>
              </c:numCache>
            </c:numRef>
          </c:yVal>
          <c:bubbleSize>
            <c:numRef>
              <c:f>图9!$C$14:$H$14</c:f>
              <c:numCache>
                <c:formatCode>0.0_);[Red]\(0.0\)</c:formatCode>
                <c:ptCount val="6"/>
                <c:pt idx="0">
                  <c:v>1.5</c:v>
                </c:pt>
                <c:pt idx="1">
                  <c:v>0.9</c:v>
                </c:pt>
                <c:pt idx="2">
                  <c:v>0.6</c:v>
                </c:pt>
                <c:pt idx="3">
                  <c:v>0.9</c:v>
                </c:pt>
                <c:pt idx="4">
                  <c:v>0.2</c:v>
                </c:pt>
                <c:pt idx="5">
                  <c:v>0.1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63B3-470D-AA38-391E5E8AB043}"/>
            </c:ext>
          </c:extLst>
        </c:ser>
        <c:ser>
          <c:idx val="2"/>
          <c:order val="2"/>
          <c:tx>
            <c:strRef>
              <c:f>图9!$B$8</c:f>
              <c:strCache>
                <c:ptCount val="1"/>
                <c:pt idx="0">
                  <c:v>25-44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xVal>
            <c:numRef>
              <c:f>图9!$K$8:$P$8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图9!$C$8:$H$8</c:f>
              <c:numCache>
                <c:formatCode>0.00_);[Red]\(0.00\)</c:formatCode>
                <c:ptCount val="6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-3</c:v>
                </c:pt>
                <c:pt idx="4">
                  <c:v>0</c:v>
                </c:pt>
                <c:pt idx="5">
                  <c:v>-4</c:v>
                </c:pt>
              </c:numCache>
            </c:numRef>
          </c:yVal>
          <c:bubbleSize>
            <c:numRef>
              <c:f>图9!$C$15:$H$15</c:f>
              <c:numCache>
                <c:formatCode>0.0_);[Red]\(0.0\)</c:formatCode>
                <c:ptCount val="6"/>
                <c:pt idx="0">
                  <c:v>1.8</c:v>
                </c:pt>
                <c:pt idx="1">
                  <c:v>0.5</c:v>
                </c:pt>
                <c:pt idx="2">
                  <c:v>0.5</c:v>
                </c:pt>
                <c:pt idx="3">
                  <c:v>1.1000000000000001</c:v>
                </c:pt>
                <c:pt idx="4">
                  <c:v>0.25</c:v>
                </c:pt>
                <c:pt idx="5">
                  <c:v>0.15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63B3-470D-AA38-391E5E8AB043}"/>
            </c:ext>
          </c:extLst>
        </c:ser>
        <c:ser>
          <c:idx val="3"/>
          <c:order val="3"/>
          <c:tx>
            <c:strRef>
              <c:f>图9!$B$9</c:f>
              <c:strCache>
                <c:ptCount val="1"/>
                <c:pt idx="0">
                  <c:v>45-64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xVal>
            <c:numRef>
              <c:f>图9!$K$9:$P$9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图9!$C$9:$H$9</c:f>
              <c:numCache>
                <c:formatCode>0.00_);[Red]\(0.00\)</c:formatCode>
                <c:ptCount val="6"/>
                <c:pt idx="0">
                  <c:v>16.5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-12</c:v>
                </c:pt>
              </c:numCache>
            </c:numRef>
          </c:yVal>
          <c:bubbleSize>
            <c:numRef>
              <c:f>图9!$C$16:$H$16</c:f>
              <c:numCache>
                <c:formatCode>0.0_);[Red]\(0.0\)</c:formatCode>
                <c:ptCount val="6"/>
                <c:pt idx="0">
                  <c:v>3</c:v>
                </c:pt>
                <c:pt idx="1">
                  <c:v>0.3</c:v>
                </c:pt>
                <c:pt idx="2">
                  <c:v>0.4</c:v>
                </c:pt>
                <c:pt idx="3">
                  <c:v>0.8</c:v>
                </c:pt>
                <c:pt idx="4">
                  <c:v>0.3</c:v>
                </c:pt>
                <c:pt idx="5">
                  <c:v>0.3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63B3-470D-AA38-391E5E8AB043}"/>
            </c:ext>
          </c:extLst>
        </c:ser>
        <c:ser>
          <c:idx val="4"/>
          <c:order val="4"/>
          <c:tx>
            <c:strRef>
              <c:f>图9!$B$10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xVal>
            <c:numRef>
              <c:f>图9!$K$10:$P$10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图9!$C$10:$H$10</c:f>
              <c:numCache>
                <c:formatCode>0.00_);[Red]\(0.00\)</c:formatCode>
                <c:ptCount val="6"/>
                <c:pt idx="0">
                  <c:v>28</c:v>
                </c:pt>
                <c:pt idx="1">
                  <c:v>8</c:v>
                </c:pt>
                <c:pt idx="2">
                  <c:v>2.5</c:v>
                </c:pt>
                <c:pt idx="3">
                  <c:v>-1</c:v>
                </c:pt>
                <c:pt idx="4">
                  <c:v>-13</c:v>
                </c:pt>
                <c:pt idx="5">
                  <c:v>-17</c:v>
                </c:pt>
              </c:numCache>
            </c:numRef>
          </c:yVal>
          <c:bubbleSize>
            <c:numRef>
              <c:f>图9!$C$17:$H$17</c:f>
              <c:numCache>
                <c:formatCode>0.0_);[Red]\(0.0\)</c:formatCode>
                <c:ptCount val="6"/>
                <c:pt idx="0">
                  <c:v>4</c:v>
                </c:pt>
                <c:pt idx="1">
                  <c:v>0.3</c:v>
                </c:pt>
                <c:pt idx="2">
                  <c:v>0.3</c:v>
                </c:pt>
                <c:pt idx="3">
                  <c:v>0.7</c:v>
                </c:pt>
                <c:pt idx="4">
                  <c:v>0.4</c:v>
                </c:pt>
                <c:pt idx="5">
                  <c:v>0.7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63B3-470D-AA38-391E5E8AB043}"/>
            </c:ext>
          </c:extLst>
        </c:ser>
        <c:ser>
          <c:idx val="5"/>
          <c:order val="5"/>
          <c:tx>
            <c:strRef>
              <c:f>图9!$F$19</c:f>
              <c:strCache>
                <c:ptCount val="1"/>
                <c:pt idx="0">
                  <c:v>label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8.8478538146875757E-2"/>
                  <c:y val="-0.12151741901827491"/>
                </c:manualLayout>
              </c:layout>
              <c:tx>
                <c:rich>
                  <a:bodyPr/>
                  <a:lstStyle/>
                  <a:p>
                    <a:fld id="{EF390DF4-FD5E-4BC9-932C-040E6B7E625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0F0-4D90-AB05-5A84646E9787}"/>
                </c:ext>
              </c:extLst>
            </c:dLbl>
            <c:dLbl>
              <c:idx val="1"/>
              <c:layout>
                <c:manualLayout>
                  <c:x val="-0.11557318021697571"/>
                  <c:y val="-9.0032148348320407E-2"/>
                </c:manualLayout>
              </c:layout>
              <c:tx>
                <c:rich>
                  <a:bodyPr/>
                  <a:lstStyle/>
                  <a:p>
                    <a:fld id="{597A8923-531D-4403-8D84-1B9E553C2B6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0F0-4D90-AB05-5A84646E9787}"/>
                </c:ext>
              </c:extLst>
            </c:dLbl>
            <c:dLbl>
              <c:idx val="2"/>
              <c:layout>
                <c:manualLayout>
                  <c:x val="-5.9712568347235727E-2"/>
                  <c:y val="-5.8286767408511804E-2"/>
                </c:manualLayout>
              </c:layout>
              <c:tx>
                <c:rich>
                  <a:bodyPr/>
                  <a:lstStyle/>
                  <a:p>
                    <a:fld id="{6B311C0F-82D9-48E1-A8C7-0A8F52897CC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0F0-4D90-AB05-5A84646E97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D38911-1E12-40E2-9C1B-FCC20CB7598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0F0-4D90-AB05-5A84646E9787}"/>
                </c:ext>
              </c:extLst>
            </c:dLbl>
            <c:dLbl>
              <c:idx val="4"/>
              <c:layout>
                <c:manualLayout>
                  <c:x val="-7.3455664062696088E-2"/>
                  <c:y val="-5.0005228636361282E-2"/>
                </c:manualLayout>
              </c:layout>
              <c:tx>
                <c:rich>
                  <a:bodyPr/>
                  <a:lstStyle/>
                  <a:p>
                    <a:fld id="{D51AC541-2F6F-4140-808D-CBC1364C661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0F0-4D90-AB05-5A84646E9787}"/>
                </c:ext>
              </c:extLst>
            </c:dLbl>
            <c:dLbl>
              <c:idx val="5"/>
              <c:layout>
                <c:manualLayout>
                  <c:x val="-7.0860107732009986E-2"/>
                  <c:y val="-4.4353331573198318E-2"/>
                </c:manualLayout>
              </c:layout>
              <c:tx>
                <c:rich>
                  <a:bodyPr/>
                  <a:lstStyle/>
                  <a:p>
                    <a:fld id="{A46DF1C9-83AF-444A-982A-8D6708D6370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0F0-4D90-AB05-5A84646E97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图9!$F$21:$F$26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图9!$G$21:$G$26</c:f>
              <c:numCache>
                <c:formatCode>0.00_ </c:formatCode>
                <c:ptCount val="6"/>
                <c:pt idx="0">
                  <c:v>28</c:v>
                </c:pt>
                <c:pt idx="1">
                  <c:v>17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-1</c:v>
                </c:pt>
              </c:numCache>
            </c:numRef>
          </c:yVal>
          <c:bubbleSize>
            <c:numRef>
              <c:f>图9!$H$21:$H$26</c:f>
              <c:numCache>
                <c:formatCode>0.00_ 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图9!$E$21:$E$26</c15:f>
                <c15:dlblRangeCache>
                  <c:ptCount val="6"/>
                  <c:pt idx="0">
                    <c:v>Watching TV</c:v>
                  </c:pt>
                  <c:pt idx="1">
                    <c:v>Computers
(including phones)</c:v>
                  </c:pt>
                  <c:pt idx="2">
                    <c:v>Sport</c:v>
                  </c:pt>
                  <c:pt idx="3">
                    <c:v>Socialising</c:v>
                  </c:pt>
                  <c:pt idx="4">
                    <c:v>Thinking</c:v>
                  </c:pt>
                  <c:pt idx="5">
                    <c:v>Reading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00F0-4D90-AB05-5A84646E9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57605056"/>
        <c:axId val="757605712"/>
      </c:bubbleChart>
      <c:valAx>
        <c:axId val="75760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r"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rPr>
                  <a:t>Age group</a:t>
                </a:r>
                <a:endParaRPr lang="zh-CN" altLang="en-US">
                  <a:solidFill>
                    <a:schemeClr val="tx1">
                      <a:lumMod val="85000"/>
                      <a:lumOff val="15000"/>
                    </a:schemeClr>
                  </a:solidFill>
                  <a:latin typeface="ITC Officina Sans Std Book" panose="020B0506040203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9634842213495947"/>
              <c:y val="5.351162465638539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r"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ITC Officina Sans Std Book" panose="020B0506040203020204" pitchFamily="34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57605712"/>
        <c:crosses val="autoZero"/>
        <c:crossBetween val="midCat"/>
      </c:valAx>
      <c:valAx>
        <c:axId val="7576057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r>
                  <a:rPr lang="en-US" altLang="zh-CN" sz="105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rPr>
                  <a:t>Changing in time spent,minutes per day</a:t>
                </a:r>
                <a:endParaRPr lang="zh-CN" altLang="en-US" sz="1050">
                  <a:solidFill>
                    <a:schemeClr val="tx1">
                      <a:lumMod val="85000"/>
                      <a:lumOff val="15000"/>
                    </a:schemeClr>
                  </a:solidFill>
                  <a:latin typeface="ITC Officina Sans Std Book" panose="020B0506040203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79746815290963491"/>
              <c:y val="0.14303105602923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r">
                <a:defRPr sz="105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ITC Officina Sans Std Book" panose="020B0506040203020204" pitchFamily="34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57605056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072906060710803"/>
          <c:y val="9.0968333100374291E-2"/>
          <c:w val="0.27931725839145494"/>
          <c:h val="4.6318470546211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E6E2D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161924</xdr:rowOff>
    </xdr:from>
    <xdr:to>
      <xdr:col>12</xdr:col>
      <xdr:colOff>304800</xdr:colOff>
      <xdr:row>42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4CAABF7F-12D8-4B84-B225-7F00E2610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40</xdr:row>
      <xdr:rowOff>142875</xdr:rowOff>
    </xdr:from>
    <xdr:to>
      <xdr:col>11</xdr:col>
      <xdr:colOff>600075</xdr:colOff>
      <xdr:row>41</xdr:row>
      <xdr:rowOff>133350</xdr:rowOff>
    </xdr:to>
    <xdr:sp macro="" textlink="">
      <xdr:nvSpPr>
        <xdr:cNvPr id="19" name="矩形: 圆角 18">
          <a:extLst>
            <a:ext uri="{FF2B5EF4-FFF2-40B4-BE49-F238E27FC236}">
              <a16:creationId xmlns:a16="http://schemas.microsoft.com/office/drawing/2014/main" id="{41835C52-99EE-4394-A921-6E60E48926E9}"/>
            </a:ext>
          </a:extLst>
        </xdr:cNvPr>
        <xdr:cNvSpPr/>
      </xdr:nvSpPr>
      <xdr:spPr>
        <a:xfrm>
          <a:off x="2695575" y="7400925"/>
          <a:ext cx="4248150" cy="1714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>
                  <a:lumMod val="75000"/>
                  <a:lumOff val="2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</a:rPr>
            <a:t>数据来源：银行财报</a:t>
          </a:r>
          <a:r>
            <a:rPr lang="en-US" altLang="zh-CN" sz="900">
              <a:solidFill>
                <a:schemeClr val="tx1">
                  <a:lumMod val="75000"/>
                  <a:lumOff val="2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</a:rPr>
            <a:t>; </a:t>
          </a:r>
          <a:r>
            <a:rPr lang="zh-CN" altLang="en-US" sz="900">
              <a:solidFill>
                <a:schemeClr val="tx1">
                  <a:lumMod val="75000"/>
                  <a:lumOff val="2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</a:rPr>
            <a:t>标准普尔</a:t>
          </a:r>
          <a:r>
            <a:rPr lang="en-US" altLang="zh-CN" sz="900">
              <a:solidFill>
                <a:schemeClr val="tx1">
                  <a:lumMod val="75000"/>
                  <a:lumOff val="2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</a:rPr>
            <a:t>; </a:t>
          </a:r>
          <a:r>
            <a:rPr lang="zh-CN" altLang="en-US" sz="900">
              <a:solidFill>
                <a:schemeClr val="tx1">
                  <a:lumMod val="75000"/>
                  <a:lumOff val="2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</a:rPr>
            <a:t>澳大利亚金融管理局</a:t>
          </a:r>
          <a:r>
            <a:rPr lang="en-US" altLang="zh-CN" sz="900">
              <a:solidFill>
                <a:schemeClr val="tx1">
                  <a:lumMod val="75000"/>
                  <a:lumOff val="2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</a:rPr>
            <a:t>; </a:t>
          </a:r>
          <a:r>
            <a:rPr lang="zh-CN" altLang="en-US" sz="900">
              <a:solidFill>
                <a:schemeClr val="tx1">
                  <a:lumMod val="75000"/>
                  <a:lumOff val="25000"/>
                </a:schemeClr>
              </a:solidFill>
              <a:latin typeface="思源黑体 CN Regular" panose="020B0500000000000000" pitchFamily="34" charset="-122"/>
              <a:ea typeface="思源黑体 CN Regular" panose="020B0500000000000000" pitchFamily="34" charset="-122"/>
            </a:rPr>
            <a:t>麦肯锡全球研究院</a:t>
          </a:r>
        </a:p>
      </xdr:txBody>
    </xdr:sp>
    <xdr:clientData/>
  </xdr:twoCellAnchor>
  <xdr:twoCellAnchor>
    <xdr:from>
      <xdr:col>8</xdr:col>
      <xdr:colOff>66675</xdr:colOff>
      <xdr:row>25</xdr:row>
      <xdr:rowOff>161925</xdr:rowOff>
    </xdr:from>
    <xdr:to>
      <xdr:col>8</xdr:col>
      <xdr:colOff>678675</xdr:colOff>
      <xdr:row>26</xdr:row>
      <xdr:rowOff>66675</xdr:rowOff>
    </xdr:to>
    <xdr:sp macro="" textlink="">
      <xdr:nvSpPr>
        <xdr:cNvPr id="5" name="箭头: 左 4">
          <a:extLst>
            <a:ext uri="{FF2B5EF4-FFF2-40B4-BE49-F238E27FC236}">
              <a16:creationId xmlns:a16="http://schemas.microsoft.com/office/drawing/2014/main" id="{C57138E5-C77F-4D87-A8F3-101DBB2A12CB}"/>
            </a:ext>
          </a:extLst>
        </xdr:cNvPr>
        <xdr:cNvSpPr/>
      </xdr:nvSpPr>
      <xdr:spPr>
        <a:xfrm>
          <a:off x="5114925" y="4705350"/>
          <a:ext cx="612000" cy="85725"/>
        </a:xfrm>
        <a:prstGeom prst="leftArrow">
          <a:avLst/>
        </a:prstGeom>
        <a:solidFill>
          <a:srgbClr val="FF0000"/>
        </a:solidFill>
        <a:ln w="127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180974</xdr:rowOff>
    </xdr:from>
    <xdr:to>
      <xdr:col>12</xdr:col>
      <xdr:colOff>0</xdr:colOff>
      <xdr:row>43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D942AF1-5077-409F-8C58-E64C0465E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322707</xdr:colOff>
      <xdr:row>40</xdr:row>
      <xdr:rowOff>29718</xdr:rowOff>
    </xdr:from>
    <xdr:to>
      <xdr:col>7</xdr:col>
      <xdr:colOff>427482</xdr:colOff>
      <xdr:row>40</xdr:row>
      <xdr:rowOff>151257</xdr:rowOff>
    </xdr:to>
    <xdr:sp macro="" textlink="">
      <xdr:nvSpPr>
        <xdr:cNvPr id="6" name="等腰三角形 5">
          <a:extLst>
            <a:ext uri="{FF2B5EF4-FFF2-40B4-BE49-F238E27FC236}">
              <a16:creationId xmlns:a16="http://schemas.microsoft.com/office/drawing/2014/main" id="{67EB5054-5766-4552-B63E-D2D1E5E40924}"/>
            </a:ext>
          </a:extLst>
        </xdr:cNvPr>
        <xdr:cNvSpPr/>
      </xdr:nvSpPr>
      <xdr:spPr>
        <a:xfrm rot="5400000">
          <a:off x="5248275" y="7658100"/>
          <a:ext cx="121539" cy="104775"/>
        </a:xfrm>
        <a:prstGeom prst="triangle">
          <a:avLst/>
        </a:prstGeom>
        <a:solidFill>
          <a:srgbClr val="E06D26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95250</xdr:colOff>
      <xdr:row>22</xdr:row>
      <xdr:rowOff>142875</xdr:rowOff>
    </xdr:from>
    <xdr:to>
      <xdr:col>11</xdr:col>
      <xdr:colOff>200025</xdr:colOff>
      <xdr:row>23</xdr:row>
      <xdr:rowOff>83439</xdr:rowOff>
    </xdr:to>
    <xdr:sp macro="" textlink="">
      <xdr:nvSpPr>
        <xdr:cNvPr id="7" name="等腰三角形 6">
          <a:extLst>
            <a:ext uri="{FF2B5EF4-FFF2-40B4-BE49-F238E27FC236}">
              <a16:creationId xmlns:a16="http://schemas.microsoft.com/office/drawing/2014/main" id="{357CD70F-8B54-4C09-B70B-2BF3151B477D}"/>
            </a:ext>
          </a:extLst>
        </xdr:cNvPr>
        <xdr:cNvSpPr/>
      </xdr:nvSpPr>
      <xdr:spPr>
        <a:xfrm rot="5400000">
          <a:off x="7630668" y="4132707"/>
          <a:ext cx="121539" cy="104775"/>
        </a:xfrm>
        <a:prstGeom prst="triangle">
          <a:avLst/>
        </a:prstGeom>
        <a:solidFill>
          <a:srgbClr val="E06D26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209550</xdr:colOff>
      <xdr:row>24</xdr:row>
      <xdr:rowOff>66675</xdr:rowOff>
    </xdr:from>
    <xdr:to>
      <xdr:col>10</xdr:col>
      <xdr:colOff>314325</xdr:colOff>
      <xdr:row>25</xdr:row>
      <xdr:rowOff>7239</xdr:rowOff>
    </xdr:to>
    <xdr:sp macro="" textlink="">
      <xdr:nvSpPr>
        <xdr:cNvPr id="8" name="等腰三角形 7">
          <a:extLst>
            <a:ext uri="{FF2B5EF4-FFF2-40B4-BE49-F238E27FC236}">
              <a16:creationId xmlns:a16="http://schemas.microsoft.com/office/drawing/2014/main" id="{91CA980D-92A6-4189-B759-56A23428239C}"/>
            </a:ext>
          </a:extLst>
        </xdr:cNvPr>
        <xdr:cNvSpPr/>
      </xdr:nvSpPr>
      <xdr:spPr>
        <a:xfrm rot="5400000">
          <a:off x="7454456" y="4651819"/>
          <a:ext cx="131064" cy="104775"/>
        </a:xfrm>
        <a:prstGeom prst="triangle">
          <a:avLst/>
        </a:prstGeom>
        <a:solidFill>
          <a:srgbClr val="E06D26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85725</xdr:colOff>
      <xdr:row>26</xdr:row>
      <xdr:rowOff>0</xdr:rowOff>
    </xdr:from>
    <xdr:to>
      <xdr:col>10</xdr:col>
      <xdr:colOff>190500</xdr:colOff>
      <xdr:row>26</xdr:row>
      <xdr:rowOff>121539</xdr:rowOff>
    </xdr:to>
    <xdr:sp macro="" textlink="">
      <xdr:nvSpPr>
        <xdr:cNvPr id="9" name="等腰三角形 8">
          <a:extLst>
            <a:ext uri="{FF2B5EF4-FFF2-40B4-BE49-F238E27FC236}">
              <a16:creationId xmlns:a16="http://schemas.microsoft.com/office/drawing/2014/main" id="{8E82981B-0811-4DBC-8110-63CF7852CDD3}"/>
            </a:ext>
          </a:extLst>
        </xdr:cNvPr>
        <xdr:cNvSpPr/>
      </xdr:nvSpPr>
      <xdr:spPr>
        <a:xfrm rot="5400000">
          <a:off x="7011543" y="4713732"/>
          <a:ext cx="121539" cy="104775"/>
        </a:xfrm>
        <a:prstGeom prst="triangle">
          <a:avLst/>
        </a:prstGeom>
        <a:solidFill>
          <a:srgbClr val="E06D26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</xdr:colOff>
      <xdr:row>41</xdr:row>
      <xdr:rowOff>114300</xdr:rowOff>
    </xdr:from>
    <xdr:to>
      <xdr:col>9</xdr:col>
      <xdr:colOff>228600</xdr:colOff>
      <xdr:row>42</xdr:row>
      <xdr:rowOff>104775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2ACBEF2-948E-4C82-A4F1-CCBD53B10CC2}"/>
            </a:ext>
          </a:extLst>
        </xdr:cNvPr>
        <xdr:cNvSpPr/>
      </xdr:nvSpPr>
      <xdr:spPr>
        <a:xfrm>
          <a:off x="3371850" y="7534275"/>
          <a:ext cx="31432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rPr>
            <a:t>数据来源：麦肯锡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657224</xdr:colOff>
      <xdr:row>11</xdr:row>
      <xdr:rowOff>180974</xdr:rowOff>
    </xdr:from>
    <xdr:to>
      <xdr:col>13</xdr:col>
      <xdr:colOff>657224</xdr:colOff>
      <xdr:row>32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88BBDBF-5F84-41BB-9D23-769E4A2C0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30</xdr:row>
      <xdr:rowOff>85725</xdr:rowOff>
    </xdr:from>
    <xdr:to>
      <xdr:col>9</xdr:col>
      <xdr:colOff>304800</xdr:colOff>
      <xdr:row>31</xdr:row>
      <xdr:rowOff>104775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D49E1ABD-BCBB-4E83-816C-EA70E60FFF6E}"/>
            </a:ext>
          </a:extLst>
        </xdr:cNvPr>
        <xdr:cNvSpPr/>
      </xdr:nvSpPr>
      <xdr:spPr>
        <a:xfrm>
          <a:off x="3324225" y="5514975"/>
          <a:ext cx="2714625" cy="200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Source:</a:t>
          </a:r>
          <a:r>
            <a:rPr lang="en-US" altLang="zh-CN" sz="10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 </a:t>
          </a:r>
          <a:r>
            <a:rPr lang="en-US" altLang="zh-CN" sz="10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The Economist Intelligence Unit</a:t>
          </a:r>
          <a:endParaRPr lang="zh-CN" altLang="en-US" sz="1000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9</xdr:row>
      <xdr:rowOff>0</xdr:rowOff>
    </xdr:from>
    <xdr:to>
      <xdr:col>11</xdr:col>
      <xdr:colOff>504824</xdr:colOff>
      <xdr:row>26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3F8E76-15CD-4DFF-899A-48FAAB16D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9</xdr:row>
      <xdr:rowOff>0</xdr:rowOff>
    </xdr:from>
    <xdr:to>
      <xdr:col>15</xdr:col>
      <xdr:colOff>485775</xdr:colOff>
      <xdr:row>26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0E5944D-9FDF-47BD-8AF1-57063A13F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24</xdr:row>
      <xdr:rowOff>152401</xdr:rowOff>
    </xdr:from>
    <xdr:to>
      <xdr:col>11</xdr:col>
      <xdr:colOff>209551</xdr:colOff>
      <xdr:row>25</xdr:row>
      <xdr:rowOff>161925</xdr:rowOff>
    </xdr:to>
    <xdr:sp macro="" textlink="">
      <xdr:nvSpPr>
        <xdr:cNvPr id="4" name="矩形: 圆角 3">
          <a:extLst>
            <a:ext uri="{FF2B5EF4-FFF2-40B4-BE49-F238E27FC236}">
              <a16:creationId xmlns:a16="http://schemas.microsoft.com/office/drawing/2014/main" id="{2EEAFFAF-C317-4C81-9A7B-D5F0A7B39D21}"/>
            </a:ext>
          </a:extLst>
        </xdr:cNvPr>
        <xdr:cNvSpPr/>
      </xdr:nvSpPr>
      <xdr:spPr>
        <a:xfrm>
          <a:off x="4819650" y="4819651"/>
          <a:ext cx="1724026" cy="1904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800">
              <a:solidFill>
                <a:schemeClr val="tx1"/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</a:rPr>
            <a:t>资料来源：国会预算局；白宫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16</xdr:col>
      <xdr:colOff>0</xdr:colOff>
      <xdr:row>37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2B7FF2E-79E7-4B85-88AF-7783C50AF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15</xdr:row>
      <xdr:rowOff>95250</xdr:rowOff>
    </xdr:from>
    <xdr:to>
      <xdr:col>14</xdr:col>
      <xdr:colOff>542925</xdr:colOff>
      <xdr:row>16</xdr:row>
      <xdr:rowOff>84750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300BB3A4-58BC-49C5-A83C-25B7C0CD6D7C}"/>
            </a:ext>
          </a:extLst>
        </xdr:cNvPr>
        <xdr:cNvGrpSpPr/>
      </xdr:nvGrpSpPr>
      <xdr:grpSpPr>
        <a:xfrm>
          <a:off x="9744075" y="3924300"/>
          <a:ext cx="533400" cy="180000"/>
          <a:chOff x="9715500" y="4229100"/>
          <a:chExt cx="533400" cy="180000"/>
        </a:xfrm>
      </xdr:grpSpPr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FB4AC42C-4575-42A6-A241-D751835C00E3}"/>
              </a:ext>
            </a:extLst>
          </xdr:cNvPr>
          <xdr:cNvCxnSpPr/>
        </xdr:nvCxnSpPr>
        <xdr:spPr>
          <a:xfrm>
            <a:off x="9715500" y="4229100"/>
            <a:ext cx="0" cy="180000"/>
          </a:xfrm>
          <a:prstGeom prst="line">
            <a:avLst/>
          </a:prstGeom>
          <a:ln w="38100">
            <a:solidFill>
              <a:srgbClr val="02536E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接连接符 6">
            <a:extLst>
              <a:ext uri="{FF2B5EF4-FFF2-40B4-BE49-F238E27FC236}">
                <a16:creationId xmlns:a16="http://schemas.microsoft.com/office/drawing/2014/main" id="{807B1B86-E7A4-4DFF-A0F2-42E197827527}"/>
              </a:ext>
            </a:extLst>
          </xdr:cNvPr>
          <xdr:cNvCxnSpPr/>
        </xdr:nvCxnSpPr>
        <xdr:spPr>
          <a:xfrm>
            <a:off x="10248900" y="4229100"/>
            <a:ext cx="0" cy="180000"/>
          </a:xfrm>
          <a:prstGeom prst="line">
            <a:avLst/>
          </a:prstGeom>
          <a:ln w="38100">
            <a:solidFill>
              <a:srgbClr val="F15B4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47622</xdr:colOff>
      <xdr:row>35</xdr:row>
      <xdr:rowOff>123825</xdr:rowOff>
    </xdr:from>
    <xdr:to>
      <xdr:col>14</xdr:col>
      <xdr:colOff>561975</xdr:colOff>
      <xdr:row>37</xdr:row>
      <xdr:rowOff>152401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17614E7-64DC-465A-A6BC-60D668CF98F7}"/>
            </a:ext>
          </a:extLst>
        </xdr:cNvPr>
        <xdr:cNvSpPr/>
      </xdr:nvSpPr>
      <xdr:spPr>
        <a:xfrm>
          <a:off x="5838822" y="7762875"/>
          <a:ext cx="4457703" cy="4095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050" baseline="0">
              <a:solidFill>
                <a:schemeClr val="tx1"/>
              </a:solidFill>
              <a:latin typeface="ITC Officina Sans Std Book" panose="020B0506040203020204" pitchFamily="34" charset="0"/>
            </a:rPr>
            <a:t>*Includes Tesla gigafactory</a:t>
          </a:r>
        </a:p>
        <a:p>
          <a:pPr algn="l"/>
          <a:r>
            <a:rPr lang="en-US" altLang="zh-CN" sz="1050" baseline="0">
              <a:solidFill>
                <a:schemeClr val="tx1"/>
              </a:solidFill>
              <a:latin typeface="ITC Officina Sans Std Book" panose="020B0506040203020204" pitchFamily="34" charset="0"/>
            </a:rPr>
            <a:t>Source: Carin ERA; US Department of Energy</a:t>
          </a:r>
          <a:endParaRPr lang="zh-CN" altLang="en-US" sz="1100">
            <a:solidFill>
              <a:schemeClr val="tx1"/>
            </a:solidFill>
            <a:latin typeface="ITC Officina Sans Std Book" panose="020B0506040203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20</xdr:row>
      <xdr:rowOff>0</xdr:rowOff>
    </xdr:from>
    <xdr:to>
      <xdr:col>21</xdr:col>
      <xdr:colOff>0</xdr:colOff>
      <xdr:row>37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78AFBCA-0B95-491F-8A2D-BD2972FC3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20</xdr:row>
      <xdr:rowOff>0</xdr:rowOff>
    </xdr:from>
    <xdr:to>
      <xdr:col>28</xdr:col>
      <xdr:colOff>0</xdr:colOff>
      <xdr:row>37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4578BAE-D027-42AD-8F74-E1EA9F92C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647700</xdr:colOff>
      <xdr:row>19</xdr:row>
      <xdr:rowOff>47625</xdr:rowOff>
    </xdr:from>
    <xdr:to>
      <xdr:col>25</xdr:col>
      <xdr:colOff>133350</xdr:colOff>
      <xdr:row>19</xdr:row>
      <xdr:rowOff>190500</xdr:rowOff>
    </xdr:to>
    <xdr:sp macro="" textlink="">
      <xdr:nvSpPr>
        <xdr:cNvPr id="13" name="椭圆 12">
          <a:extLst>
            <a:ext uri="{FF2B5EF4-FFF2-40B4-BE49-F238E27FC236}">
              <a16:creationId xmlns:a16="http://schemas.microsoft.com/office/drawing/2014/main" id="{DA7D11ED-BDCE-4278-8680-65B1ABE5623C}"/>
            </a:ext>
          </a:extLst>
        </xdr:cNvPr>
        <xdr:cNvSpPr/>
      </xdr:nvSpPr>
      <xdr:spPr>
        <a:xfrm>
          <a:off x="15011400" y="2124075"/>
          <a:ext cx="142875" cy="142875"/>
        </a:xfrm>
        <a:prstGeom prst="ellipse">
          <a:avLst/>
        </a:prstGeom>
        <a:solidFill>
          <a:schemeClr val="bg1">
            <a:lumMod val="95000"/>
          </a:schemeClr>
        </a:solidFill>
        <a:ln w="28575"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104775</xdr:colOff>
      <xdr:row>19</xdr:row>
      <xdr:rowOff>47625</xdr:rowOff>
    </xdr:from>
    <xdr:to>
      <xdr:col>26</xdr:col>
      <xdr:colOff>247650</xdr:colOff>
      <xdr:row>19</xdr:row>
      <xdr:rowOff>190500</xdr:rowOff>
    </xdr:to>
    <xdr:sp macro="" textlink="">
      <xdr:nvSpPr>
        <xdr:cNvPr id="16" name="椭圆 15">
          <a:extLst>
            <a:ext uri="{FF2B5EF4-FFF2-40B4-BE49-F238E27FC236}">
              <a16:creationId xmlns:a16="http://schemas.microsoft.com/office/drawing/2014/main" id="{650E6AD6-CB01-4DD3-8A5D-E15F181E09FD}"/>
            </a:ext>
          </a:extLst>
        </xdr:cNvPr>
        <xdr:cNvSpPr/>
      </xdr:nvSpPr>
      <xdr:spPr>
        <a:xfrm>
          <a:off x="15782925" y="2124075"/>
          <a:ext cx="142875" cy="142875"/>
        </a:xfrm>
        <a:prstGeom prst="ellipse">
          <a:avLst/>
        </a:prstGeom>
        <a:solidFill>
          <a:schemeClr val="accent6"/>
        </a:solidFill>
        <a:ln w="28575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09711DC-48ED-4B0A-B610-DEBF82525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219075</xdr:colOff>
      <xdr:row>3</xdr:row>
      <xdr:rowOff>190500</xdr:rowOff>
    </xdr:from>
    <xdr:to>
      <xdr:col>20</xdr:col>
      <xdr:colOff>238125</xdr:colOff>
      <xdr:row>5</xdr:row>
      <xdr:rowOff>18075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8359548E-FC3B-4386-80A1-9229A741EBDF}"/>
            </a:ext>
          </a:extLst>
        </xdr:cNvPr>
        <xdr:cNvGrpSpPr/>
      </xdr:nvGrpSpPr>
      <xdr:grpSpPr>
        <a:xfrm>
          <a:off x="12496800" y="819150"/>
          <a:ext cx="676275" cy="180000"/>
          <a:chOff x="10982325" y="819150"/>
          <a:chExt cx="676275" cy="180000"/>
        </a:xfrm>
      </xdr:grpSpPr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96D97CB5-358A-4EDA-89CA-A977302A80AA}"/>
              </a:ext>
            </a:extLst>
          </xdr:cNvPr>
          <xdr:cNvCxnSpPr/>
        </xdr:nvCxnSpPr>
        <xdr:spPr>
          <a:xfrm>
            <a:off x="10982325" y="819150"/>
            <a:ext cx="0" cy="180000"/>
          </a:xfrm>
          <a:prstGeom prst="line">
            <a:avLst/>
          </a:prstGeom>
          <a:ln w="28575">
            <a:solidFill>
              <a:schemeClr val="accent3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D25802FA-5361-479E-8B16-1BE36054562A}"/>
              </a:ext>
            </a:extLst>
          </xdr:cNvPr>
          <xdr:cNvCxnSpPr/>
        </xdr:nvCxnSpPr>
        <xdr:spPr>
          <a:xfrm>
            <a:off x="11658600" y="819150"/>
            <a:ext cx="0" cy="180000"/>
          </a:xfrm>
          <a:prstGeom prst="line">
            <a:avLst/>
          </a:prstGeom>
          <a:ln w="28575">
            <a:solidFill>
              <a:srgbClr val="49CEFB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19050</xdr:colOff>
      <xdr:row>29</xdr:row>
      <xdr:rowOff>66675</xdr:rowOff>
    </xdr:from>
    <xdr:to>
      <xdr:col>21</xdr:col>
      <xdr:colOff>114300</xdr:colOff>
      <xdr:row>30</xdr:row>
      <xdr:rowOff>57150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DF78A1C7-2DBF-41CD-BEE4-1B9A525095AE}"/>
            </a:ext>
          </a:extLst>
        </xdr:cNvPr>
        <xdr:cNvSpPr/>
      </xdr:nvSpPr>
      <xdr:spPr>
        <a:xfrm>
          <a:off x="6181725" y="6429375"/>
          <a:ext cx="60102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000">
              <a:solidFill>
                <a:schemeClr val="tx1"/>
              </a:solidFill>
              <a:latin typeface="ITC Officina Sans Std Book" panose="020B0506040203020204" pitchFamily="34" charset="0"/>
            </a:rPr>
            <a:t>Source:</a:t>
          </a:r>
          <a:r>
            <a:rPr lang="en-US" altLang="zh-CN" sz="1000" baseline="0">
              <a:solidFill>
                <a:schemeClr val="tx1"/>
              </a:solidFill>
              <a:latin typeface="ITC Officina Sans Std Book" panose="020B0506040203020204" pitchFamily="34" charset="0"/>
            </a:rPr>
            <a:t> </a:t>
          </a:r>
          <a:r>
            <a:rPr lang="en-US" altLang="zh-CN" sz="1000">
              <a:solidFill>
                <a:schemeClr val="tx1"/>
              </a:solidFill>
              <a:latin typeface="ITC Officina Sans Std Book" panose="020B0506040203020204" pitchFamily="34" charset="0"/>
            </a:rPr>
            <a:t>"The signs of deconsolidation" by R.S.Foa and Y.Mounk, Journal of Democracy, January 2017</a:t>
          </a:r>
          <a:endParaRPr lang="zh-CN" altLang="en-US" sz="1000">
            <a:solidFill>
              <a:schemeClr val="tx1"/>
            </a:solidFill>
            <a:latin typeface="ITC Officina Sans Std Book" panose="020B0506040203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E5A67F6-8AF2-4519-B653-3FF3D76B2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8</xdr:row>
      <xdr:rowOff>19050</xdr:rowOff>
    </xdr:from>
    <xdr:to>
      <xdr:col>11</xdr:col>
      <xdr:colOff>133350</xdr:colOff>
      <xdr:row>8</xdr:row>
      <xdr:rowOff>199050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193A6921-D84D-4A19-9B6A-0338A0F4989D}"/>
            </a:ext>
          </a:extLst>
        </xdr:cNvPr>
        <xdr:cNvGrpSpPr/>
      </xdr:nvGrpSpPr>
      <xdr:grpSpPr>
        <a:xfrm>
          <a:off x="7067550" y="1704975"/>
          <a:ext cx="771525" cy="180000"/>
          <a:chOff x="7067550" y="1600200"/>
          <a:chExt cx="771525" cy="180000"/>
        </a:xfrm>
      </xdr:grpSpPr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FE65C342-CA97-4443-BB67-54365A9B6A94}"/>
              </a:ext>
            </a:extLst>
          </xdr:cNvPr>
          <xdr:cNvCxnSpPr/>
        </xdr:nvCxnSpPr>
        <xdr:spPr>
          <a:xfrm>
            <a:off x="7067550" y="1600200"/>
            <a:ext cx="0" cy="180000"/>
          </a:xfrm>
          <a:prstGeom prst="line">
            <a:avLst/>
          </a:prstGeom>
          <a:ln w="38100">
            <a:solidFill>
              <a:schemeClr val="accent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1CA10AA6-B9EB-4BD0-9FB2-86B9B15E0BAC}"/>
              </a:ext>
            </a:extLst>
          </xdr:cNvPr>
          <xdr:cNvCxnSpPr/>
        </xdr:nvCxnSpPr>
        <xdr:spPr>
          <a:xfrm>
            <a:off x="7839075" y="1600200"/>
            <a:ext cx="0" cy="180000"/>
          </a:xfrm>
          <a:prstGeom prst="line">
            <a:avLst/>
          </a:prstGeom>
          <a:ln w="38100">
            <a:solidFill>
              <a:schemeClr val="accent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152400</xdr:colOff>
      <xdr:row>15</xdr:row>
      <xdr:rowOff>19050</xdr:rowOff>
    </xdr:from>
    <xdr:to>
      <xdr:col>20</xdr:col>
      <xdr:colOff>152400</xdr:colOff>
      <xdr:row>15</xdr:row>
      <xdr:rowOff>194775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C96200D9-D21A-4325-AEA3-EFED21CB0239}"/>
            </a:ext>
          </a:extLst>
        </xdr:cNvPr>
        <xdr:cNvGrpSpPr/>
      </xdr:nvGrpSpPr>
      <xdr:grpSpPr>
        <a:xfrm>
          <a:off x="13011150" y="3171825"/>
          <a:ext cx="0" cy="175725"/>
          <a:chOff x="12811125" y="3162300"/>
          <a:chExt cx="0" cy="175725"/>
        </a:xfrm>
      </xdr:grpSpPr>
      <xdr:cxnSp macro="">
        <xdr:nvCxnSpPr>
          <xdr:cNvPr id="6" name="直接连接符 5">
            <a:extLst>
              <a:ext uri="{FF2B5EF4-FFF2-40B4-BE49-F238E27FC236}">
                <a16:creationId xmlns:a16="http://schemas.microsoft.com/office/drawing/2014/main" id="{3D3A3AC5-251E-4245-BD39-7C85F379E819}"/>
              </a:ext>
            </a:extLst>
          </xdr:cNvPr>
          <xdr:cNvCxnSpPr/>
        </xdr:nvCxnSpPr>
        <xdr:spPr>
          <a:xfrm>
            <a:off x="12811125" y="3162300"/>
            <a:ext cx="0" cy="90000"/>
          </a:xfrm>
          <a:prstGeom prst="line">
            <a:avLst/>
          </a:prstGeom>
          <a:ln w="38100">
            <a:solidFill>
              <a:schemeClr val="accent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接连接符 6">
            <a:extLst>
              <a:ext uri="{FF2B5EF4-FFF2-40B4-BE49-F238E27FC236}">
                <a16:creationId xmlns:a16="http://schemas.microsoft.com/office/drawing/2014/main" id="{329A5BAC-68FD-44F9-AFFE-2B831602216F}"/>
              </a:ext>
            </a:extLst>
          </xdr:cNvPr>
          <xdr:cNvCxnSpPr/>
        </xdr:nvCxnSpPr>
        <xdr:spPr>
          <a:xfrm>
            <a:off x="12811125" y="3248025"/>
            <a:ext cx="0" cy="90000"/>
          </a:xfrm>
          <a:prstGeom prst="line">
            <a:avLst/>
          </a:prstGeom>
          <a:ln w="38100">
            <a:solidFill>
              <a:schemeClr val="accent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</xdr:colOff>
      <xdr:row>11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92568D8-69EA-4E26-A69B-CB32E1C8F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247650</xdr:colOff>
      <xdr:row>26</xdr:row>
      <xdr:rowOff>9525</xdr:rowOff>
    </xdr:from>
    <xdr:to>
      <xdr:col>12</xdr:col>
      <xdr:colOff>609473</xdr:colOff>
      <xdr:row>32</xdr:row>
      <xdr:rowOff>76063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E099D0D-CFD1-4566-878A-85C0739D1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5553075"/>
          <a:ext cx="1019048" cy="10952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465;&#24418;&#22270;&#30340;&#20351;&#299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5240;&#32447;&#22270;&#30340;&#20351;&#299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图1"/>
      <sheetName val="图2"/>
      <sheetName val="图3"/>
      <sheetName val="图4"/>
      <sheetName val="图5"/>
      <sheetName val="图6"/>
      <sheetName val="图7"/>
      <sheetName val="图8"/>
      <sheetName val="图9"/>
      <sheetName val="图10"/>
      <sheetName val="图11"/>
      <sheetName val="图12"/>
      <sheetName val="图13"/>
      <sheetName val="图14"/>
      <sheetName val="图15"/>
      <sheetName val="图16"/>
    </sheetNames>
    <sheetDataSet>
      <sheetData sheetId="0"/>
      <sheetData sheetId="1"/>
      <sheetData sheetId="2"/>
      <sheetData sheetId="3"/>
      <sheetData sheetId="4"/>
      <sheetData sheetId="5">
        <row r="5">
          <cell r="G5" t="str">
            <v>2007</v>
          </cell>
          <cell r="H5" t="str">
            <v>2016</v>
          </cell>
        </row>
        <row r="6">
          <cell r="F6" t="str">
            <v>加拿大</v>
          </cell>
          <cell r="G6">
            <v>38</v>
          </cell>
          <cell r="H6">
            <v>50</v>
          </cell>
        </row>
        <row r="7">
          <cell r="F7" t="str">
            <v>日本</v>
          </cell>
          <cell r="G7">
            <v>17</v>
          </cell>
          <cell r="H7">
            <v>25</v>
          </cell>
        </row>
        <row r="8">
          <cell r="F8" t="str">
            <v>澳大利亚</v>
          </cell>
          <cell r="G8">
            <v>29</v>
          </cell>
          <cell r="H8">
            <v>20</v>
          </cell>
        </row>
        <row r="9">
          <cell r="F9" t="str">
            <v>俄罗斯</v>
          </cell>
          <cell r="G9">
            <v>7</v>
          </cell>
          <cell r="H9">
            <v>18</v>
          </cell>
        </row>
        <row r="10">
          <cell r="F10" t="str">
            <v>印度</v>
          </cell>
          <cell r="G10">
            <v>9</v>
          </cell>
          <cell r="H10">
            <v>13</v>
          </cell>
        </row>
        <row r="11">
          <cell r="F11" t="str">
            <v>中国</v>
          </cell>
          <cell r="G11">
            <v>2</v>
          </cell>
          <cell r="H11">
            <v>9</v>
          </cell>
        </row>
        <row r="12">
          <cell r="F12" t="str">
            <v>巴西</v>
          </cell>
          <cell r="G12">
            <v>2</v>
          </cell>
          <cell r="H12">
            <v>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 t="str">
            <v>helper1</v>
          </cell>
          <cell r="H5" t="str">
            <v>2013年10月</v>
          </cell>
          <cell r="I5" t="str">
            <v>2015年10月</v>
          </cell>
          <cell r="J5" t="str">
            <v>helper2</v>
          </cell>
        </row>
        <row r="6">
          <cell r="D6">
            <v>92</v>
          </cell>
          <cell r="F6" t="str">
            <v>经济学人</v>
          </cell>
          <cell r="G6">
            <v>0</v>
          </cell>
          <cell r="H6">
            <v>91</v>
          </cell>
          <cell r="I6">
            <v>1</v>
          </cell>
          <cell r="J6">
            <v>0</v>
          </cell>
        </row>
        <row r="7">
          <cell r="D7">
            <v>78</v>
          </cell>
          <cell r="F7" t="str">
            <v>金融时报</v>
          </cell>
          <cell r="G7">
            <v>0</v>
          </cell>
          <cell r="H7">
            <v>77</v>
          </cell>
          <cell r="I7">
            <v>1</v>
          </cell>
          <cell r="J7">
            <v>0</v>
          </cell>
        </row>
        <row r="8">
          <cell r="D8">
            <v>75</v>
          </cell>
          <cell r="F8" t="str">
            <v>英国卫报</v>
          </cell>
          <cell r="G8">
            <v>0</v>
          </cell>
          <cell r="H8">
            <v>73</v>
          </cell>
          <cell r="I8">
            <v>2</v>
          </cell>
          <cell r="J8">
            <v>0</v>
          </cell>
        </row>
        <row r="9">
          <cell r="D9">
            <v>61</v>
          </cell>
          <cell r="F9" t="str">
            <v>雅虎体育</v>
          </cell>
          <cell r="G9">
            <v>0</v>
          </cell>
          <cell r="H9">
            <v>27</v>
          </cell>
          <cell r="I9">
            <v>34</v>
          </cell>
          <cell r="J9">
            <v>0</v>
          </cell>
        </row>
        <row r="10">
          <cell r="D10">
            <v>60</v>
          </cell>
          <cell r="F10" t="str">
            <v>BBC新闻</v>
          </cell>
          <cell r="G10">
            <v>0</v>
          </cell>
          <cell r="H10">
            <v>40</v>
          </cell>
          <cell r="I10">
            <v>20</v>
          </cell>
          <cell r="J10">
            <v>0</v>
          </cell>
        </row>
        <row r="11">
          <cell r="D11">
            <v>56</v>
          </cell>
          <cell r="F11" t="str">
            <v>时尚杂志</v>
          </cell>
          <cell r="G11">
            <v>0</v>
          </cell>
          <cell r="H11">
            <v>27</v>
          </cell>
          <cell r="I11">
            <v>29</v>
          </cell>
          <cell r="J11">
            <v>0</v>
          </cell>
        </row>
        <row r="12">
          <cell r="D12">
            <v>50</v>
          </cell>
          <cell r="F12" t="str">
            <v>Buzzfeed</v>
          </cell>
          <cell r="G12">
            <v>0</v>
          </cell>
          <cell r="H12">
            <v>29</v>
          </cell>
          <cell r="I12">
            <v>21</v>
          </cell>
          <cell r="J12">
            <v>0</v>
          </cell>
        </row>
        <row r="13">
          <cell r="D13">
            <v>41</v>
          </cell>
          <cell r="F13" t="str">
            <v>泰晤士报</v>
          </cell>
          <cell r="G13">
            <v>0</v>
          </cell>
          <cell r="H13">
            <v>24</v>
          </cell>
          <cell r="I13">
            <v>17</v>
          </cell>
          <cell r="J13">
            <v>0</v>
          </cell>
        </row>
        <row r="14">
          <cell r="D14">
            <v>41</v>
          </cell>
          <cell r="F14" t="str">
            <v>Netflix</v>
          </cell>
          <cell r="G14">
            <v>0</v>
          </cell>
          <cell r="H14">
            <v>22</v>
          </cell>
          <cell r="I14">
            <v>19</v>
          </cell>
          <cell r="J14">
            <v>0</v>
          </cell>
        </row>
        <row r="15">
          <cell r="D15">
            <v>39</v>
          </cell>
          <cell r="F15" t="str">
            <v>商业周刊</v>
          </cell>
          <cell r="G15">
            <v>0</v>
          </cell>
          <cell r="H15">
            <v>24</v>
          </cell>
          <cell r="I15">
            <v>15</v>
          </cell>
          <cell r="J15">
            <v>0</v>
          </cell>
        </row>
        <row r="16">
          <cell r="D16">
            <v>33</v>
          </cell>
          <cell r="F16" t="str">
            <v>华尔街日报</v>
          </cell>
          <cell r="G16">
            <v>0</v>
          </cell>
          <cell r="H16">
            <v>21</v>
          </cell>
          <cell r="I16">
            <v>12</v>
          </cell>
          <cell r="J16">
            <v>0</v>
          </cell>
        </row>
        <row r="17">
          <cell r="D17">
            <v>25</v>
          </cell>
          <cell r="F17" t="str">
            <v>纽约时报</v>
          </cell>
          <cell r="G17">
            <v>0</v>
          </cell>
          <cell r="H17">
            <v>22</v>
          </cell>
          <cell r="I17">
            <v>3</v>
          </cell>
          <cell r="J17">
            <v>0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图1"/>
      <sheetName val="图2"/>
      <sheetName val="图3"/>
      <sheetName val="图4"/>
      <sheetName val="图5"/>
      <sheetName val="图6"/>
      <sheetName val="图7"/>
      <sheetName val="图8"/>
      <sheetName val="图9&amp;10"/>
      <sheetName val="图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C4" t="str">
            <v>2017</v>
          </cell>
          <cell r="D4" t="str">
            <v>2018</v>
          </cell>
          <cell r="G4" t="str">
            <v>2017</v>
          </cell>
          <cell r="H4" t="str">
            <v>2018</v>
          </cell>
        </row>
        <row r="5">
          <cell r="B5" t="str">
            <v>奥巴马预算</v>
          </cell>
          <cell r="C5">
            <v>560</v>
          </cell>
          <cell r="D5">
            <v>580</v>
          </cell>
          <cell r="F5" t="str">
            <v>奥巴马预算</v>
          </cell>
          <cell r="G5">
            <v>520</v>
          </cell>
          <cell r="H5">
            <v>550</v>
          </cell>
        </row>
        <row r="6">
          <cell r="B6" t="str">
            <v>特朗普提议</v>
          </cell>
          <cell r="C6">
            <v>560</v>
          </cell>
          <cell r="D6">
            <v>610</v>
          </cell>
          <cell r="F6" t="str">
            <v>特朗普提议</v>
          </cell>
          <cell r="G6">
            <v>520</v>
          </cell>
          <cell r="H6">
            <v>470</v>
          </cell>
        </row>
        <row r="7">
          <cell r="B7" t="str">
            <v>预算控制目标</v>
          </cell>
          <cell r="C7">
            <v>560</v>
          </cell>
          <cell r="D7">
            <v>550</v>
          </cell>
          <cell r="F7" t="str">
            <v>预算控制目标</v>
          </cell>
          <cell r="G7">
            <v>520</v>
          </cell>
          <cell r="H7">
            <v>515</v>
          </cell>
        </row>
      </sheetData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FC337B-752A-4C6A-8F14-D552850B4568}" name="表11" displayName="表11" ref="B5:D12" totalsRowShown="0">
  <tableColumns count="3">
    <tableColumn id="1" xr3:uid="{CEAFCB9D-A156-49BF-95E4-D758F615C8D4}" name="国家"/>
    <tableColumn id="2" xr3:uid="{0B9B6661-3AC2-4B52-A06B-47D1A6D72700}" name="2007"/>
    <tableColumn id="3" xr3:uid="{C82B1155-A008-4D0E-A5D0-9D4BC4A9EA6F}" name="2016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1CE5AB-6CE8-4314-8E69-81037D1C7387}" name="表12" displayName="表12" ref="F5:K12" totalsRowShown="0">
  <tableColumns count="6">
    <tableColumn id="1" xr3:uid="{0343D179-624C-48F5-90F9-A1A3A73F4F23}" name=" "/>
    <tableColumn id="2" xr3:uid="{C07BD913-67B4-425F-B083-60BD42E7B611}" name="2007"/>
    <tableColumn id="3" xr3:uid="{4AAEBD76-8BAF-4CDB-959C-B2F9F8087BA7}" name="2016"/>
    <tableColumn id="4" xr3:uid="{30844874-1BD3-43B8-8401-432614697FB1}" name="正误差" dataDxfId="14">
      <calculatedColumnFormula>IF(表12[[#This Row],[2016]]&gt;表12[[#This Row],[2007]],表12[[#This Row],[2016]]-表12[[#This Row],[2007]],NA())</calculatedColumnFormula>
    </tableColumn>
    <tableColumn id="5" xr3:uid="{C77DBA7D-F8A2-401B-985C-D507492545B5}" name="负误差" dataDxfId="13">
      <calculatedColumnFormula>IF(表12[[#This Row],[2016]]&lt;表12[[#This Row],[2007]],表12[[#This Row],[2007]]-表12[[#This Row],[2016]],NA())</calculatedColumnFormula>
    </tableColumn>
    <tableColumn id="6" xr3:uid="{93DE23F0-2F63-42E6-8458-D5F52EFA7F07}" name="label" dataDxfId="12">
      <calculatedColumnFormula>ABS(表12[[#This Row],[2016]]-表12[[#This Row],[2007]])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12FFF-BDA9-4693-8E9B-85B02001FFC6}" name="表28" displayName="表28" ref="B5:D17" totalsRowShown="0" headerRowDxfId="11" dataDxfId="10">
  <tableColumns count="3">
    <tableColumn id="1" xr3:uid="{9A36CBAF-5408-43FD-AA84-AAD001697907}" name="列1" dataDxfId="9"/>
    <tableColumn id="2" xr3:uid="{1B990A2D-3984-45EC-B52A-B03070838CD8}" name="2013年10月" dataDxfId="8"/>
    <tableColumn id="3" xr3:uid="{2596687A-1869-446E-98D4-D75735A8D2B7}" name="2015年10月" dataDxfId="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D033BC-9214-4365-92ED-41485CD4BE2D}" name="表29" displayName="表29" ref="F5:J17" totalsRowShown="0" headerRowDxfId="6" dataDxfId="5">
  <tableColumns count="5">
    <tableColumn id="1" xr3:uid="{2B13CDC9-DA62-4673-BB21-2C1E9C8EA67D}" name=" " dataDxfId="4"/>
    <tableColumn id="2" xr3:uid="{C261170E-11B6-4679-904C-57EC1554690A}" name="helper1" dataDxfId="3"/>
    <tableColumn id="3" xr3:uid="{806F84FD-41F0-41A6-A3BF-6460DF93E6B2}" name="2013年10月" dataDxfId="2"/>
    <tableColumn id="4" xr3:uid="{FE755E15-CE5C-4E02-9FEB-34B7DB878C4E}" name="2015年10月" dataDxfId="1">
      <calculatedColumnFormula>D6-C6</calculatedColumnFormula>
    </tableColumn>
    <tableColumn id="5" xr3:uid="{0F970C07-0186-459F-9AFD-6191E7EB97E7}" name="helper2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oco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E63217"/>
      </a:accent1>
      <a:accent2>
        <a:srgbClr val="F07C07"/>
      </a:accent2>
      <a:accent3>
        <a:srgbClr val="EF539C"/>
      </a:accent3>
      <a:accent4>
        <a:srgbClr val="2292C3"/>
      </a:accent4>
      <a:accent5>
        <a:srgbClr val="47C3CC"/>
      </a:accent5>
      <a:accent6>
        <a:srgbClr val="ABCCE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6E4A-E899-49F6-AD7C-4FC6354CC623}">
  <dimension ref="B2:T12"/>
  <sheetViews>
    <sheetView showGridLines="0" workbookViewId="0"/>
  </sheetViews>
  <sheetFormatPr defaultRowHeight="14.25" x14ac:dyDescent="0.2"/>
  <cols>
    <col min="1" max="1" width="3.25" style="1" customWidth="1"/>
    <col min="2" max="16384" width="9" style="1"/>
  </cols>
  <sheetData>
    <row r="2" spans="2:20" x14ac:dyDescent="0.2">
      <c r="B2" s="1" t="s">
        <v>68</v>
      </c>
    </row>
    <row r="4" spans="2:20" x14ac:dyDescent="0.2">
      <c r="B4" s="1" t="s">
        <v>69</v>
      </c>
      <c r="F4" s="1" t="s">
        <v>70</v>
      </c>
      <c r="M4" s="66" t="s">
        <v>46</v>
      </c>
      <c r="N4" s="3"/>
      <c r="P4" s="66" t="s">
        <v>47</v>
      </c>
      <c r="Q4" s="3"/>
    </row>
    <row r="5" spans="2:20" ht="15" thickBot="1" x14ac:dyDescent="0.25">
      <c r="B5" s="1" t="s">
        <v>71</v>
      </c>
      <c r="C5" s="1" t="s">
        <v>66</v>
      </c>
      <c r="D5" s="1" t="s">
        <v>67</v>
      </c>
      <c r="F5" s="1" t="s">
        <v>45</v>
      </c>
      <c r="G5" s="3" t="s">
        <v>66</v>
      </c>
      <c r="H5" s="3" t="s">
        <v>67</v>
      </c>
      <c r="I5" s="3" t="s">
        <v>117</v>
      </c>
      <c r="J5" s="3" t="s">
        <v>118</v>
      </c>
      <c r="K5" s="3" t="s">
        <v>121</v>
      </c>
      <c r="M5" s="3" t="s">
        <v>119</v>
      </c>
      <c r="N5" s="3" t="s">
        <v>120</v>
      </c>
      <c r="P5" s="3" t="s">
        <v>119</v>
      </c>
      <c r="Q5" s="3" t="s">
        <v>120</v>
      </c>
    </row>
    <row r="6" spans="2:20" x14ac:dyDescent="0.2">
      <c r="B6" s="1" t="s">
        <v>72</v>
      </c>
      <c r="C6" s="1">
        <v>38</v>
      </c>
      <c r="D6" s="1">
        <v>50</v>
      </c>
      <c r="F6" s="1" t="s">
        <v>72</v>
      </c>
      <c r="G6" s="1">
        <v>38</v>
      </c>
      <c r="H6" s="1">
        <v>50</v>
      </c>
      <c r="I6" s="3">
        <f>IF(表12[[#This Row],[2016]]&gt;表12[[#This Row],[2007]],表12[[#This Row],[2016]]-表12[[#This Row],[2007]],NA())</f>
        <v>12</v>
      </c>
      <c r="J6" s="3" t="e">
        <f>IF(表12[[#This Row],[2016]]&lt;表12[[#This Row],[2007]],表12[[#This Row],[2007]]-表12[[#This Row],[2016]],NA())</f>
        <v>#N/A</v>
      </c>
      <c r="K6" s="3">
        <f>ABS(表12[[#This Row],[2016]]-表12[[#This Row],[2007]])</f>
        <v>12</v>
      </c>
      <c r="M6" s="65">
        <v>38</v>
      </c>
      <c r="N6" s="65">
        <v>17.25</v>
      </c>
      <c r="P6" s="65">
        <v>50</v>
      </c>
      <c r="Q6" s="65">
        <v>17.25</v>
      </c>
    </row>
    <row r="7" spans="2:20" x14ac:dyDescent="0.2">
      <c r="B7" s="1" t="s">
        <v>73</v>
      </c>
      <c r="C7" s="1">
        <v>17</v>
      </c>
      <c r="D7" s="1">
        <v>25</v>
      </c>
      <c r="F7" s="1" t="s">
        <v>73</v>
      </c>
      <c r="G7" s="1">
        <v>17</v>
      </c>
      <c r="H7" s="1">
        <v>25</v>
      </c>
      <c r="I7" s="3">
        <f>IF(表12[[#This Row],[2016]]&gt;表12[[#This Row],[2007]],表12[[#This Row],[2016]]-表12[[#This Row],[2007]],NA())</f>
        <v>8</v>
      </c>
      <c r="J7" s="3" t="e">
        <f>IF(表12[[#This Row],[2016]]&lt;表12[[#This Row],[2007]],表12[[#This Row],[2007]]-表12[[#This Row],[2016]],NA())</f>
        <v>#N/A</v>
      </c>
      <c r="K7" s="3">
        <f>ABS(表12[[#This Row],[2016]]-表12[[#This Row],[2007]])</f>
        <v>8</v>
      </c>
      <c r="M7" s="63">
        <v>17</v>
      </c>
      <c r="N7" s="63">
        <v>14.45</v>
      </c>
      <c r="P7" s="63">
        <v>25</v>
      </c>
      <c r="Q7" s="63">
        <v>14.45</v>
      </c>
    </row>
    <row r="8" spans="2:20" x14ac:dyDescent="0.2">
      <c r="B8" s="1" t="s">
        <v>74</v>
      </c>
      <c r="C8" s="1">
        <v>29</v>
      </c>
      <c r="D8" s="1">
        <v>20</v>
      </c>
      <c r="F8" s="1" t="s">
        <v>74</v>
      </c>
      <c r="G8" s="1">
        <v>29</v>
      </c>
      <c r="H8" s="1">
        <v>20</v>
      </c>
      <c r="I8" s="3" t="e">
        <f>IF(表12[[#This Row],[2016]]&gt;表12[[#This Row],[2007]],表12[[#This Row],[2016]]-表12[[#This Row],[2007]],NA())</f>
        <v>#N/A</v>
      </c>
      <c r="J8" s="3">
        <f>IF(表12[[#This Row],[2016]]&lt;表12[[#This Row],[2007]],表12[[#This Row],[2007]]-表12[[#This Row],[2016]],NA())</f>
        <v>9</v>
      </c>
      <c r="K8" s="3">
        <f>ABS(表12[[#This Row],[2016]]-表12[[#This Row],[2007]])</f>
        <v>9</v>
      </c>
      <c r="M8" s="63">
        <v>29</v>
      </c>
      <c r="N8" s="63">
        <v>11.6</v>
      </c>
      <c r="P8" s="63">
        <v>20</v>
      </c>
      <c r="Q8" s="63">
        <v>11.6</v>
      </c>
    </row>
    <row r="9" spans="2:20" x14ac:dyDescent="0.2">
      <c r="B9" s="1" t="s">
        <v>75</v>
      </c>
      <c r="C9" s="1">
        <v>7</v>
      </c>
      <c r="D9" s="1">
        <v>18</v>
      </c>
      <c r="F9" s="1" t="s">
        <v>75</v>
      </c>
      <c r="G9" s="1">
        <v>7</v>
      </c>
      <c r="H9" s="1">
        <v>18</v>
      </c>
      <c r="I9" s="3">
        <f>IF(表12[[#This Row],[2016]]&gt;表12[[#This Row],[2007]],表12[[#This Row],[2016]]-表12[[#This Row],[2007]],NA())</f>
        <v>11</v>
      </c>
      <c r="J9" s="3" t="e">
        <f>IF(表12[[#This Row],[2016]]&lt;表12[[#This Row],[2007]],表12[[#This Row],[2007]]-表12[[#This Row],[2016]],NA())</f>
        <v>#N/A</v>
      </c>
      <c r="K9" s="3">
        <f>ABS(表12[[#This Row],[2016]]-表12[[#This Row],[2007]])</f>
        <v>11</v>
      </c>
      <c r="L9" s="3"/>
      <c r="M9" s="63">
        <v>7</v>
      </c>
      <c r="N9" s="63">
        <v>8.6999999999999993</v>
      </c>
      <c r="P9" s="63">
        <v>18</v>
      </c>
      <c r="Q9" s="63">
        <v>8.6999999999999993</v>
      </c>
      <c r="S9" s="3"/>
      <c r="T9" s="3"/>
    </row>
    <row r="10" spans="2:20" x14ac:dyDescent="0.2">
      <c r="B10" s="1" t="s">
        <v>76</v>
      </c>
      <c r="C10" s="1">
        <v>9</v>
      </c>
      <c r="D10" s="1">
        <v>13</v>
      </c>
      <c r="F10" s="1" t="s">
        <v>76</v>
      </c>
      <c r="G10" s="1">
        <v>9</v>
      </c>
      <c r="H10" s="1">
        <v>13</v>
      </c>
      <c r="I10" s="3">
        <f>IF(表12[[#This Row],[2016]]&gt;表12[[#This Row],[2007]],表12[[#This Row],[2016]]-表12[[#This Row],[2007]],NA())</f>
        <v>4</v>
      </c>
      <c r="J10" s="3" t="e">
        <f>IF(表12[[#This Row],[2016]]&lt;表12[[#This Row],[2007]],表12[[#This Row],[2007]]-表12[[#This Row],[2016]],NA())</f>
        <v>#N/A</v>
      </c>
      <c r="K10" s="3">
        <f>ABS(表12[[#This Row],[2016]]-表12[[#This Row],[2007]])</f>
        <v>4</v>
      </c>
      <c r="L10" s="3"/>
      <c r="M10" s="63">
        <v>9</v>
      </c>
      <c r="N10" s="63">
        <v>5.85</v>
      </c>
      <c r="P10" s="63">
        <v>13</v>
      </c>
      <c r="Q10" s="63">
        <v>5.85</v>
      </c>
      <c r="S10" s="3"/>
      <c r="T10" s="3"/>
    </row>
    <row r="11" spans="2:20" x14ac:dyDescent="0.2">
      <c r="B11" s="1" t="s">
        <v>77</v>
      </c>
      <c r="C11" s="1">
        <v>2</v>
      </c>
      <c r="D11" s="1">
        <v>9</v>
      </c>
      <c r="F11" s="1" t="s">
        <v>77</v>
      </c>
      <c r="G11" s="1">
        <v>2</v>
      </c>
      <c r="H11" s="1">
        <v>9</v>
      </c>
      <c r="I11" s="3">
        <f>IF(表12[[#This Row],[2016]]&gt;表12[[#This Row],[2007]],表12[[#This Row],[2016]]-表12[[#This Row],[2007]],NA())</f>
        <v>7</v>
      </c>
      <c r="J11" s="3" t="e">
        <f>IF(表12[[#This Row],[2016]]&lt;表12[[#This Row],[2007]],表12[[#This Row],[2007]]-表12[[#This Row],[2016]],NA())</f>
        <v>#N/A</v>
      </c>
      <c r="K11" s="3">
        <f>ABS(表12[[#This Row],[2016]]-表12[[#This Row],[2007]])</f>
        <v>7</v>
      </c>
      <c r="L11" s="3"/>
      <c r="M11" s="63">
        <v>2</v>
      </c>
      <c r="N11" s="63">
        <v>3</v>
      </c>
      <c r="P11" s="63">
        <v>9</v>
      </c>
      <c r="Q11" s="63">
        <v>3</v>
      </c>
      <c r="S11" s="3"/>
      <c r="T11" s="3"/>
    </row>
    <row r="12" spans="2:20" ht="15" thickBot="1" x14ac:dyDescent="0.25">
      <c r="B12" s="1" t="s">
        <v>78</v>
      </c>
      <c r="C12" s="1">
        <v>2</v>
      </c>
      <c r="D12" s="1">
        <v>8</v>
      </c>
      <c r="F12" s="1" t="s">
        <v>78</v>
      </c>
      <c r="G12" s="1">
        <v>2</v>
      </c>
      <c r="H12" s="1">
        <v>8</v>
      </c>
      <c r="I12" s="3">
        <f>IF(表12[[#This Row],[2016]]&gt;表12[[#This Row],[2007]],表12[[#This Row],[2016]]-表12[[#This Row],[2007]],NA())</f>
        <v>6</v>
      </c>
      <c r="J12" s="3" t="e">
        <f>IF(表12[[#This Row],[2016]]&lt;表12[[#This Row],[2007]],表12[[#This Row],[2007]]-表12[[#This Row],[2016]],NA())</f>
        <v>#N/A</v>
      </c>
      <c r="K12" s="3">
        <f>ABS(表12[[#This Row],[2016]]-表12[[#This Row],[2007]])</f>
        <v>6</v>
      </c>
      <c r="L12" s="3"/>
      <c r="M12" s="64">
        <v>2</v>
      </c>
      <c r="N12" s="64">
        <v>0.15</v>
      </c>
      <c r="P12" s="64">
        <v>8</v>
      </c>
      <c r="Q12" s="64">
        <v>0.15</v>
      </c>
      <c r="S12" s="3"/>
      <c r="T12" s="3"/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C961-7953-443A-AFF8-74D5F062111B}">
  <dimension ref="B2:J17"/>
  <sheetViews>
    <sheetView showGridLines="0" workbookViewId="0"/>
  </sheetViews>
  <sheetFormatPr defaultRowHeight="15" x14ac:dyDescent="0.2"/>
  <cols>
    <col min="1" max="1" width="3.25" style="20" customWidth="1"/>
    <col min="2" max="2" width="10.75" style="20" customWidth="1"/>
    <col min="3" max="4" width="11" style="20" customWidth="1"/>
    <col min="5" max="5" width="9" style="20"/>
    <col min="6" max="6" width="11.25" style="20" bestFit="1" customWidth="1"/>
    <col min="7" max="7" width="8.5" style="21" customWidth="1"/>
    <col min="8" max="9" width="11" style="20" customWidth="1"/>
    <col min="10" max="10" width="8.5" style="20" customWidth="1"/>
    <col min="11" max="16384" width="9" style="20"/>
  </cols>
  <sheetData>
    <row r="2" spans="2:10" x14ac:dyDescent="0.2">
      <c r="B2" s="20" t="s">
        <v>50</v>
      </c>
    </row>
    <row r="4" spans="2:10" x14ac:dyDescent="0.2">
      <c r="B4" s="20" t="s">
        <v>51</v>
      </c>
      <c r="F4" s="20" t="s">
        <v>52</v>
      </c>
    </row>
    <row r="5" spans="2:10" x14ac:dyDescent="0.2">
      <c r="B5" s="20" t="s">
        <v>53</v>
      </c>
      <c r="C5" s="38" t="s">
        <v>54</v>
      </c>
      <c r="D5" s="38" t="s">
        <v>55</v>
      </c>
      <c r="F5" s="20" t="s">
        <v>45</v>
      </c>
      <c r="G5" s="21" t="s">
        <v>46</v>
      </c>
      <c r="H5" s="38" t="s">
        <v>54</v>
      </c>
      <c r="I5" s="38" t="s">
        <v>55</v>
      </c>
      <c r="J5" s="21" t="s">
        <v>47</v>
      </c>
    </row>
    <row r="6" spans="2:10" x14ac:dyDescent="0.2">
      <c r="B6" s="20" t="s">
        <v>56</v>
      </c>
      <c r="C6" s="20">
        <v>91</v>
      </c>
      <c r="D6" s="20">
        <v>92</v>
      </c>
      <c r="F6" s="20" t="s">
        <v>56</v>
      </c>
      <c r="G6" s="21">
        <v>0</v>
      </c>
      <c r="H6" s="20">
        <v>91</v>
      </c>
      <c r="I6" s="20">
        <f>D6-C6</f>
        <v>1</v>
      </c>
      <c r="J6" s="20">
        <v>0</v>
      </c>
    </row>
    <row r="7" spans="2:10" x14ac:dyDescent="0.2">
      <c r="B7" s="20" t="s">
        <v>57</v>
      </c>
      <c r="C7" s="20">
        <v>77</v>
      </c>
      <c r="D7" s="20">
        <v>78</v>
      </c>
      <c r="F7" s="20" t="s">
        <v>57</v>
      </c>
      <c r="G7" s="21">
        <v>0</v>
      </c>
      <c r="H7" s="20">
        <v>77</v>
      </c>
      <c r="I7" s="20">
        <f t="shared" ref="I7:I17" si="0">D7-C7</f>
        <v>1</v>
      </c>
      <c r="J7" s="20">
        <v>0</v>
      </c>
    </row>
    <row r="8" spans="2:10" x14ac:dyDescent="0.2">
      <c r="B8" s="20" t="s">
        <v>58</v>
      </c>
      <c r="C8" s="20">
        <v>73</v>
      </c>
      <c r="D8" s="20">
        <v>75</v>
      </c>
      <c r="F8" s="20" t="s">
        <v>58</v>
      </c>
      <c r="G8" s="21">
        <v>0</v>
      </c>
      <c r="H8" s="20">
        <v>73</v>
      </c>
      <c r="I8" s="20">
        <f t="shared" si="0"/>
        <v>2</v>
      </c>
      <c r="J8" s="20">
        <v>0</v>
      </c>
    </row>
    <row r="9" spans="2:10" x14ac:dyDescent="0.2">
      <c r="B9" s="20" t="s">
        <v>59</v>
      </c>
      <c r="C9" s="20">
        <v>27</v>
      </c>
      <c r="D9" s="20">
        <v>61</v>
      </c>
      <c r="F9" s="20" t="s">
        <v>59</v>
      </c>
      <c r="G9" s="21">
        <v>0</v>
      </c>
      <c r="H9" s="20">
        <v>27</v>
      </c>
      <c r="I9" s="20">
        <f t="shared" si="0"/>
        <v>34</v>
      </c>
      <c r="J9" s="20">
        <v>0</v>
      </c>
    </row>
    <row r="10" spans="2:10" x14ac:dyDescent="0.2">
      <c r="B10" s="20" t="s">
        <v>60</v>
      </c>
      <c r="C10" s="20">
        <v>40</v>
      </c>
      <c r="D10" s="20">
        <v>60</v>
      </c>
      <c r="F10" s="20" t="s">
        <v>60</v>
      </c>
      <c r="G10" s="21">
        <v>0</v>
      </c>
      <c r="H10" s="20">
        <v>40</v>
      </c>
      <c r="I10" s="20">
        <f t="shared" si="0"/>
        <v>20</v>
      </c>
      <c r="J10" s="20">
        <v>0</v>
      </c>
    </row>
    <row r="11" spans="2:10" x14ac:dyDescent="0.2">
      <c r="B11" s="20" t="s">
        <v>61</v>
      </c>
      <c r="C11" s="20">
        <v>27</v>
      </c>
      <c r="D11" s="20">
        <v>56</v>
      </c>
      <c r="F11" s="20" t="s">
        <v>61</v>
      </c>
      <c r="G11" s="21">
        <v>0</v>
      </c>
      <c r="H11" s="20">
        <v>27</v>
      </c>
      <c r="I11" s="20">
        <f t="shared" si="0"/>
        <v>29</v>
      </c>
      <c r="J11" s="20">
        <v>0</v>
      </c>
    </row>
    <row r="12" spans="2:10" x14ac:dyDescent="0.2">
      <c r="B12" s="20" t="s">
        <v>48</v>
      </c>
      <c r="C12" s="20">
        <v>29</v>
      </c>
      <c r="D12" s="20">
        <v>50</v>
      </c>
      <c r="F12" s="20" t="s">
        <v>48</v>
      </c>
      <c r="G12" s="21">
        <v>0</v>
      </c>
      <c r="H12" s="20">
        <v>29</v>
      </c>
      <c r="I12" s="20">
        <f t="shared" si="0"/>
        <v>21</v>
      </c>
      <c r="J12" s="20">
        <v>0</v>
      </c>
    </row>
    <row r="13" spans="2:10" x14ac:dyDescent="0.2">
      <c r="B13" s="20" t="s">
        <v>62</v>
      </c>
      <c r="C13" s="20">
        <v>24</v>
      </c>
      <c r="D13" s="20">
        <v>41</v>
      </c>
      <c r="F13" s="20" t="s">
        <v>62</v>
      </c>
      <c r="G13" s="21">
        <v>0</v>
      </c>
      <c r="H13" s="20">
        <v>24</v>
      </c>
      <c r="I13" s="20">
        <f t="shared" si="0"/>
        <v>17</v>
      </c>
      <c r="J13" s="20">
        <v>0</v>
      </c>
    </row>
    <row r="14" spans="2:10" x14ac:dyDescent="0.2">
      <c r="B14" s="20" t="s">
        <v>49</v>
      </c>
      <c r="C14" s="20">
        <v>22</v>
      </c>
      <c r="D14" s="20">
        <v>41</v>
      </c>
      <c r="F14" s="20" t="s">
        <v>49</v>
      </c>
      <c r="G14" s="21">
        <v>0</v>
      </c>
      <c r="H14" s="20">
        <v>22</v>
      </c>
      <c r="I14" s="20">
        <f t="shared" si="0"/>
        <v>19</v>
      </c>
      <c r="J14" s="20">
        <v>0</v>
      </c>
    </row>
    <row r="15" spans="2:10" x14ac:dyDescent="0.2">
      <c r="B15" s="20" t="s">
        <v>63</v>
      </c>
      <c r="C15" s="20">
        <v>24</v>
      </c>
      <c r="D15" s="20">
        <v>39</v>
      </c>
      <c r="F15" s="20" t="s">
        <v>63</v>
      </c>
      <c r="G15" s="21">
        <v>0</v>
      </c>
      <c r="H15" s="20">
        <v>24</v>
      </c>
      <c r="I15" s="20">
        <f t="shared" si="0"/>
        <v>15</v>
      </c>
      <c r="J15" s="20">
        <v>0</v>
      </c>
    </row>
    <row r="16" spans="2:10" x14ac:dyDescent="0.2">
      <c r="B16" s="20" t="s">
        <v>64</v>
      </c>
      <c r="C16" s="20">
        <v>21</v>
      </c>
      <c r="D16" s="20">
        <v>33</v>
      </c>
      <c r="F16" s="20" t="s">
        <v>64</v>
      </c>
      <c r="G16" s="21">
        <v>0</v>
      </c>
      <c r="H16" s="20">
        <v>21</v>
      </c>
      <c r="I16" s="20">
        <f t="shared" si="0"/>
        <v>12</v>
      </c>
      <c r="J16" s="20">
        <v>0</v>
      </c>
    </row>
    <row r="17" spans="2:10" x14ac:dyDescent="0.2">
      <c r="B17" s="20" t="s">
        <v>65</v>
      </c>
      <c r="C17" s="20">
        <v>22</v>
      </c>
      <c r="D17" s="20">
        <v>25</v>
      </c>
      <c r="F17" s="20" t="s">
        <v>65</v>
      </c>
      <c r="G17" s="21">
        <v>0</v>
      </c>
      <c r="H17" s="20">
        <v>22</v>
      </c>
      <c r="I17" s="20">
        <f t="shared" si="0"/>
        <v>3</v>
      </c>
      <c r="J17" s="20">
        <v>0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showGridLines="0" workbookViewId="0"/>
  </sheetViews>
  <sheetFormatPr defaultColWidth="8.625" defaultRowHeight="14.25" x14ac:dyDescent="0.2"/>
  <cols>
    <col min="1" max="1" width="4.625" style="1" customWidth="1"/>
    <col min="2" max="2" width="8.625" style="1"/>
    <col min="3" max="3" width="8.625" style="3"/>
    <col min="4" max="4" width="15" style="3" bestFit="1" customWidth="1"/>
    <col min="5" max="5" width="8.625" style="1"/>
    <col min="6" max="6" width="6.625" style="1" customWidth="1"/>
    <col min="7" max="13" width="8.625" style="1"/>
    <col min="14" max="14" width="6.625" style="1" customWidth="1"/>
    <col min="15" max="16384" width="8.625" style="1"/>
  </cols>
  <sheetData>
    <row r="1" spans="1:4" x14ac:dyDescent="0.2">
      <c r="A1" s="2"/>
    </row>
    <row r="2" spans="1:4" s="7" customFormat="1" ht="13.5" x14ac:dyDescent="0.2">
      <c r="B2" s="7" t="s">
        <v>8</v>
      </c>
      <c r="C2" s="8"/>
      <c r="D2" s="8"/>
    </row>
    <row r="3" spans="1:4" s="7" customFormat="1" ht="13.5" x14ac:dyDescent="0.2">
      <c r="C3" s="8"/>
      <c r="D3" s="8"/>
    </row>
    <row r="4" spans="1:4" s="7" customFormat="1" thickBot="1" x14ac:dyDescent="0.25">
      <c r="C4" s="8">
        <v>2016</v>
      </c>
      <c r="D4" s="8" t="s">
        <v>9</v>
      </c>
    </row>
    <row r="5" spans="1:4" s="7" customFormat="1" ht="13.5" x14ac:dyDescent="0.2">
      <c r="B5" s="47" t="s">
        <v>0</v>
      </c>
      <c r="C5" s="47">
        <v>7.3</v>
      </c>
      <c r="D5" s="47">
        <v>7.3</v>
      </c>
    </row>
    <row r="6" spans="1:4" s="7" customFormat="1" ht="13.5" x14ac:dyDescent="0.2">
      <c r="B6" s="48" t="s">
        <v>1</v>
      </c>
      <c r="C6" s="49">
        <v>6.7</v>
      </c>
      <c r="D6" s="49">
        <v>6.2</v>
      </c>
    </row>
    <row r="7" spans="1:4" s="7" customFormat="1" ht="13.5" x14ac:dyDescent="0.2">
      <c r="B7" s="48" t="s">
        <v>2</v>
      </c>
      <c r="C7" s="49">
        <v>1.6</v>
      </c>
      <c r="D7" s="49">
        <v>2.2999999999999998</v>
      </c>
    </row>
    <row r="8" spans="1:4" s="7" customFormat="1" ht="13.5" x14ac:dyDescent="0.2">
      <c r="B8" s="48" t="s">
        <v>3</v>
      </c>
      <c r="C8" s="49">
        <v>1.8</v>
      </c>
      <c r="D8" s="49">
        <v>1.3</v>
      </c>
    </row>
    <row r="9" spans="1:4" s="7" customFormat="1" ht="13.5" x14ac:dyDescent="0.2">
      <c r="B9" s="48" t="s">
        <v>4</v>
      </c>
      <c r="C9" s="49">
        <v>-3.3</v>
      </c>
      <c r="D9" s="49">
        <v>1.1000000000000001</v>
      </c>
    </row>
    <row r="10" spans="1:4" s="7" customFormat="1" ht="13.5" x14ac:dyDescent="0.2">
      <c r="B10" s="48" t="s">
        <v>5</v>
      </c>
      <c r="C10" s="49">
        <v>-0.8</v>
      </c>
      <c r="D10" s="49">
        <v>0.7</v>
      </c>
    </row>
    <row r="11" spans="1:4" s="7" customFormat="1" ht="13.5" x14ac:dyDescent="0.2">
      <c r="B11" s="48" t="s">
        <v>6</v>
      </c>
      <c r="C11" s="49">
        <v>0.5</v>
      </c>
      <c r="D11" s="49">
        <v>0.4</v>
      </c>
    </row>
    <row r="12" spans="1:4" s="7" customFormat="1" thickBot="1" x14ac:dyDescent="0.25">
      <c r="B12" s="50" t="s">
        <v>7</v>
      </c>
      <c r="C12" s="51">
        <v>2.2000000000000002</v>
      </c>
      <c r="D12" s="51">
        <v>2.5</v>
      </c>
    </row>
    <row r="39" spans="19:19" x14ac:dyDescent="0.2">
      <c r="S3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C208-A325-4477-8FD4-29FBED832753}">
  <dimension ref="B2:P26"/>
  <sheetViews>
    <sheetView workbookViewId="0"/>
  </sheetViews>
  <sheetFormatPr defaultRowHeight="14.25" x14ac:dyDescent="0.2"/>
  <cols>
    <col min="1" max="1" width="4.625" style="39" customWidth="1"/>
    <col min="2" max="4" width="9" style="39"/>
    <col min="5" max="5" width="4.625" style="39" customWidth="1"/>
    <col min="6" max="8" width="9" style="39"/>
    <col min="9" max="16" width="6.625" style="39" customWidth="1"/>
    <col min="17" max="22" width="8.625" style="39" customWidth="1"/>
    <col min="23" max="16384" width="9" style="39"/>
  </cols>
  <sheetData>
    <row r="2" spans="2:16" x14ac:dyDescent="0.2">
      <c r="B2" s="39" t="s">
        <v>79</v>
      </c>
    </row>
    <row r="3" spans="2:16" x14ac:dyDescent="0.2">
      <c r="B3" s="39" t="s">
        <v>80</v>
      </c>
      <c r="F3" s="39" t="s">
        <v>81</v>
      </c>
    </row>
    <row r="4" spans="2:16" ht="15" thickBot="1" x14ac:dyDescent="0.25">
      <c r="C4" s="40" t="s">
        <v>82</v>
      </c>
      <c r="D4" s="40" t="s">
        <v>83</v>
      </c>
      <c r="G4" s="40" t="s">
        <v>82</v>
      </c>
      <c r="H4" s="40" t="s">
        <v>83</v>
      </c>
    </row>
    <row r="5" spans="2:16" x14ac:dyDescent="0.2">
      <c r="B5" s="52" t="s">
        <v>84</v>
      </c>
      <c r="C5" s="53">
        <v>560</v>
      </c>
      <c r="D5" s="53">
        <v>580</v>
      </c>
      <c r="E5" s="52"/>
      <c r="F5" s="52" t="s">
        <v>84</v>
      </c>
      <c r="G5" s="53">
        <v>520</v>
      </c>
      <c r="H5" s="53">
        <v>550</v>
      </c>
    </row>
    <row r="6" spans="2:16" x14ac:dyDescent="0.2">
      <c r="B6" s="54" t="s">
        <v>85</v>
      </c>
      <c r="C6" s="55">
        <v>560</v>
      </c>
      <c r="D6" s="55">
        <v>610</v>
      </c>
      <c r="E6" s="54"/>
      <c r="F6" s="54" t="s">
        <v>85</v>
      </c>
      <c r="G6" s="55">
        <v>520</v>
      </c>
      <c r="H6" s="55">
        <v>470</v>
      </c>
    </row>
    <row r="7" spans="2:16" ht="15" thickBot="1" x14ac:dyDescent="0.25">
      <c r="B7" s="56" t="s">
        <v>86</v>
      </c>
      <c r="C7" s="57">
        <v>560</v>
      </c>
      <c r="D7" s="57">
        <v>550</v>
      </c>
      <c r="E7" s="56"/>
      <c r="F7" s="56" t="s">
        <v>86</v>
      </c>
      <c r="G7" s="57">
        <v>520</v>
      </c>
      <c r="H7" s="57">
        <v>515</v>
      </c>
    </row>
    <row r="8" spans="2:16" x14ac:dyDescent="0.2">
      <c r="C8" s="41"/>
      <c r="D8" s="41"/>
      <c r="G8" s="41"/>
      <c r="H8" s="41"/>
    </row>
    <row r="9" spans="2:16" ht="39.950000000000003" customHeight="1" x14ac:dyDescent="0.2">
      <c r="I9" s="117" t="s">
        <v>87</v>
      </c>
      <c r="J9" s="118"/>
      <c r="K9" s="118"/>
      <c r="L9" s="118"/>
      <c r="M9" s="118"/>
      <c r="N9" s="118"/>
      <c r="O9" s="118"/>
      <c r="P9" s="119"/>
    </row>
    <row r="10" spans="2:16" x14ac:dyDescent="0.2">
      <c r="I10" s="42"/>
      <c r="P10" s="43"/>
    </row>
    <row r="11" spans="2:16" x14ac:dyDescent="0.2">
      <c r="I11" s="42"/>
      <c r="P11" s="43"/>
    </row>
    <row r="12" spans="2:16" x14ac:dyDescent="0.2">
      <c r="I12" s="42"/>
      <c r="P12" s="43"/>
    </row>
    <row r="13" spans="2:16" x14ac:dyDescent="0.2">
      <c r="I13" s="42"/>
      <c r="P13" s="43"/>
    </row>
    <row r="14" spans="2:16" x14ac:dyDescent="0.2">
      <c r="I14" s="42"/>
      <c r="P14" s="43"/>
    </row>
    <row r="15" spans="2:16" x14ac:dyDescent="0.2">
      <c r="I15" s="42"/>
      <c r="P15" s="43"/>
    </row>
    <row r="16" spans="2:16" x14ac:dyDescent="0.2">
      <c r="I16" s="42"/>
      <c r="P16" s="43"/>
    </row>
    <row r="17" spans="9:16" x14ac:dyDescent="0.2">
      <c r="I17" s="42"/>
      <c r="P17" s="43"/>
    </row>
    <row r="18" spans="9:16" x14ac:dyDescent="0.2">
      <c r="I18" s="42"/>
      <c r="P18" s="43"/>
    </row>
    <row r="19" spans="9:16" x14ac:dyDescent="0.2">
      <c r="I19" s="42"/>
      <c r="P19" s="43"/>
    </row>
    <row r="20" spans="9:16" x14ac:dyDescent="0.2">
      <c r="I20" s="42"/>
      <c r="P20" s="43"/>
    </row>
    <row r="21" spans="9:16" x14ac:dyDescent="0.2">
      <c r="I21" s="42"/>
      <c r="P21" s="43"/>
    </row>
    <row r="22" spans="9:16" x14ac:dyDescent="0.2">
      <c r="I22" s="42"/>
      <c r="P22" s="43"/>
    </row>
    <row r="23" spans="9:16" x14ac:dyDescent="0.2">
      <c r="I23" s="42"/>
      <c r="P23" s="43"/>
    </row>
    <row r="24" spans="9:16" x14ac:dyDescent="0.2">
      <c r="I24" s="42"/>
      <c r="P24" s="43"/>
    </row>
    <row r="25" spans="9:16" x14ac:dyDescent="0.2">
      <c r="I25" s="42"/>
      <c r="P25" s="43"/>
    </row>
    <row r="26" spans="9:16" x14ac:dyDescent="0.2">
      <c r="I26" s="44"/>
      <c r="J26" s="45"/>
      <c r="K26" s="45"/>
      <c r="L26" s="45"/>
      <c r="M26" s="45"/>
      <c r="N26" s="45"/>
      <c r="O26" s="45"/>
      <c r="P26" s="46"/>
    </row>
  </sheetData>
  <mergeCells count="1">
    <mergeCell ref="I9:P9"/>
  </mergeCells>
  <phoneticPr fontId="2" type="noConversion"/>
  <pageMargins left="0.7" right="0.7" top="0.75" bottom="0.75" header="0.3" footer="0.3"/>
  <ignoredErrors>
    <ignoredError sqref="C4:H7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0418-E197-42C8-8FC0-1271CC6D04FA}">
  <dimension ref="A1:G21"/>
  <sheetViews>
    <sheetView showGridLines="0" workbookViewId="0"/>
  </sheetViews>
  <sheetFormatPr defaultColWidth="8.625" defaultRowHeight="15" x14ac:dyDescent="0.2"/>
  <cols>
    <col min="1" max="1" width="4.625" style="5" customWidth="1"/>
    <col min="2" max="2" width="17" style="5" customWidth="1"/>
    <col min="3" max="4" width="8.625" style="5"/>
    <col min="5" max="5" width="9.5" style="5" customWidth="1"/>
    <col min="6" max="7" width="9.5" style="10" customWidth="1"/>
    <col min="8" max="16384" width="8.625" style="5"/>
  </cols>
  <sheetData>
    <row r="1" spans="1:7" x14ac:dyDescent="0.2">
      <c r="A1" s="9"/>
    </row>
    <row r="2" spans="1:7" x14ac:dyDescent="0.2">
      <c r="B2" s="5" t="s">
        <v>10</v>
      </c>
    </row>
    <row r="3" spans="1:7" x14ac:dyDescent="0.2">
      <c r="B3" s="7" t="s">
        <v>11</v>
      </c>
    </row>
    <row r="4" spans="1:7" x14ac:dyDescent="0.2">
      <c r="B4" s="7" t="s">
        <v>12</v>
      </c>
    </row>
    <row r="6" spans="1:7" s="10" customFormat="1" ht="27.95" customHeight="1" thickBot="1" x14ac:dyDescent="0.25">
      <c r="C6" s="11" t="s">
        <v>18</v>
      </c>
      <c r="D6" s="11" t="s">
        <v>19</v>
      </c>
      <c r="E6" s="6" t="s">
        <v>20</v>
      </c>
      <c r="F6" s="6" t="s">
        <v>21</v>
      </c>
      <c r="G6" s="6" t="s">
        <v>22</v>
      </c>
    </row>
    <row r="7" spans="1:7" ht="27.95" customHeight="1" x14ac:dyDescent="0.2">
      <c r="B7" s="19" t="s">
        <v>13</v>
      </c>
      <c r="C7" s="13">
        <v>12</v>
      </c>
      <c r="D7" s="13">
        <v>51</v>
      </c>
      <c r="E7" s="13">
        <v>0</v>
      </c>
      <c r="F7" s="13">
        <f>D7-C7</f>
        <v>39</v>
      </c>
      <c r="G7" s="13">
        <v>4.4800000000000004</v>
      </c>
    </row>
    <row r="8" spans="1:7" ht="27.95" customHeight="1" x14ac:dyDescent="0.2">
      <c r="B8" s="58" t="s">
        <v>14</v>
      </c>
      <c r="C8" s="15">
        <v>3</v>
      </c>
      <c r="D8" s="15">
        <v>45</v>
      </c>
      <c r="E8" s="15">
        <v>0</v>
      </c>
      <c r="F8" s="15">
        <f t="shared" ref="F8:F11" si="0">D8-C8</f>
        <v>42</v>
      </c>
      <c r="G8" s="15">
        <v>3.49</v>
      </c>
    </row>
    <row r="9" spans="1:7" ht="27.95" customHeight="1" x14ac:dyDescent="0.2">
      <c r="B9" s="58" t="s">
        <v>15</v>
      </c>
      <c r="C9" s="15">
        <v>10</v>
      </c>
      <c r="D9" s="15">
        <v>24</v>
      </c>
      <c r="E9" s="15">
        <v>0</v>
      </c>
      <c r="F9" s="15">
        <f t="shared" si="0"/>
        <v>14</v>
      </c>
      <c r="G9" s="15">
        <v>2.48</v>
      </c>
    </row>
    <row r="10" spans="1:7" ht="27.95" customHeight="1" x14ac:dyDescent="0.2">
      <c r="B10" s="58" t="s">
        <v>16</v>
      </c>
      <c r="C10" s="15">
        <v>12</v>
      </c>
      <c r="D10" s="15">
        <v>17</v>
      </c>
      <c r="E10" s="15">
        <v>0</v>
      </c>
      <c r="F10" s="15">
        <f t="shared" si="0"/>
        <v>5</v>
      </c>
      <c r="G10" s="15">
        <v>1.48</v>
      </c>
    </row>
    <row r="11" spans="1:7" ht="27.95" customHeight="1" thickBot="1" x14ac:dyDescent="0.25">
      <c r="B11" s="59" t="s">
        <v>17</v>
      </c>
      <c r="C11" s="18">
        <v>9</v>
      </c>
      <c r="D11" s="18">
        <v>16</v>
      </c>
      <c r="E11" s="18">
        <v>0</v>
      </c>
      <c r="F11" s="18">
        <f t="shared" si="0"/>
        <v>7</v>
      </c>
      <c r="G11" s="18">
        <v>0.49</v>
      </c>
    </row>
    <row r="12" spans="1:7" ht="15" customHeight="1" x14ac:dyDescent="0.2"/>
    <row r="13" spans="1:7" ht="15" customHeight="1" x14ac:dyDescent="0.2"/>
    <row r="14" spans="1:7" ht="15" customHeight="1" x14ac:dyDescent="0.2"/>
    <row r="15" spans="1:7" ht="15" customHeight="1" x14ac:dyDescent="0.2"/>
    <row r="16" spans="1:7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</sheetData>
  <phoneticPr fontId="2" type="noConversion"/>
  <pageMargins left="0.7" right="0.7" top="0.75" bottom="0.75" header="0.3" footer="0.3"/>
  <pageSetup paperSize="9" orientation="portrait" r:id="rId1"/>
  <ignoredErrors>
    <ignoredError sqref="C6:D6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4B9A-6B51-4121-85EF-617C4B17F885}">
  <dimension ref="A1:AC39"/>
  <sheetViews>
    <sheetView showGridLines="0" workbookViewId="0"/>
  </sheetViews>
  <sheetFormatPr defaultColWidth="8.625" defaultRowHeight="15" x14ac:dyDescent="0.2"/>
  <cols>
    <col min="1" max="1" width="2.625" style="10" customWidth="1"/>
    <col min="2" max="2" width="15.125" style="10" customWidth="1"/>
    <col min="3" max="6" width="8.625" style="10"/>
    <col min="7" max="7" width="2.625" style="10" customWidth="1"/>
    <col min="8" max="11" width="8.625" style="10"/>
    <col min="12" max="12" width="8.625" style="10" customWidth="1"/>
    <col min="13" max="13" width="2.625" style="10" customWidth="1"/>
    <col min="14" max="14" width="1.625" style="20" customWidth="1"/>
    <col min="15" max="15" width="10.625" style="10" customWidth="1"/>
    <col min="16" max="20" width="8.625" style="10"/>
    <col min="21" max="21" width="4.625" style="10" customWidth="1"/>
    <col min="22" max="22" width="10.625" style="10" customWidth="1"/>
    <col min="23" max="27" width="8.625" style="10"/>
    <col min="28" max="28" width="4.625" style="10" customWidth="1"/>
    <col min="29" max="29" width="1.625" style="10" customWidth="1"/>
    <col min="30" max="16384" width="8.625" style="10"/>
  </cols>
  <sheetData>
    <row r="1" spans="1:29" ht="9.9499999999999993" customHeight="1" x14ac:dyDescent="0.2">
      <c r="A1" s="9"/>
    </row>
    <row r="2" spans="1:29" ht="20.100000000000001" customHeight="1" x14ac:dyDescent="0.2">
      <c r="B2" s="10" t="s">
        <v>23</v>
      </c>
    </row>
    <row r="3" spans="1:29" ht="15.95" customHeight="1" x14ac:dyDescent="0.2">
      <c r="B3" s="7" t="s">
        <v>24</v>
      </c>
    </row>
    <row r="4" spans="1:29" ht="9.9499999999999993" customHeight="1" x14ac:dyDescent="0.2"/>
    <row r="5" spans="1:29" x14ac:dyDescent="0.2">
      <c r="C5" s="6" t="s">
        <v>25</v>
      </c>
      <c r="H5" s="6" t="s">
        <v>31</v>
      </c>
    </row>
    <row r="6" spans="1:29" ht="15.75" thickBot="1" x14ac:dyDescent="0.25">
      <c r="C6" s="11" t="s">
        <v>32</v>
      </c>
      <c r="D6" s="11" t="s">
        <v>33</v>
      </c>
      <c r="E6" s="6" t="s">
        <v>34</v>
      </c>
      <c r="F6" s="6" t="s">
        <v>35</v>
      </c>
      <c r="G6" s="6"/>
      <c r="H6" s="11" t="s">
        <v>32</v>
      </c>
      <c r="I6" s="11" t="s">
        <v>33</v>
      </c>
      <c r="J6" s="10" t="s">
        <v>36</v>
      </c>
      <c r="K6" s="10" t="s">
        <v>37</v>
      </c>
      <c r="L6" s="10" t="s">
        <v>38</v>
      </c>
    </row>
    <row r="7" spans="1:29" ht="30" x14ac:dyDescent="0.2">
      <c r="B7" s="19" t="s">
        <v>39</v>
      </c>
      <c r="C7" s="13">
        <v>3.8</v>
      </c>
      <c r="D7" s="13">
        <v>16.2</v>
      </c>
      <c r="E7" s="13">
        <v>0</v>
      </c>
      <c r="F7" s="13">
        <f>D7-C7</f>
        <v>12.399999999999999</v>
      </c>
      <c r="G7" s="6"/>
      <c r="H7" s="12">
        <v>3</v>
      </c>
      <c r="I7" s="12">
        <v>13</v>
      </c>
      <c r="J7" s="12">
        <v>0</v>
      </c>
      <c r="K7" s="12">
        <f>I7-H7</f>
        <v>10</v>
      </c>
      <c r="L7" s="12">
        <v>5.5</v>
      </c>
    </row>
    <row r="8" spans="1:29" ht="20.100000000000001" customHeight="1" x14ac:dyDescent="0.2">
      <c r="B8" s="14" t="s">
        <v>26</v>
      </c>
      <c r="C8" s="15">
        <v>2</v>
      </c>
      <c r="D8" s="15">
        <v>11</v>
      </c>
      <c r="E8" s="15">
        <v>0</v>
      </c>
      <c r="F8" s="15">
        <f t="shared" ref="F8:F12" si="0">D8-C8</f>
        <v>9</v>
      </c>
      <c r="G8" s="6"/>
      <c r="H8" s="14">
        <v>1.8</v>
      </c>
      <c r="I8" s="14">
        <v>7.5</v>
      </c>
      <c r="J8" s="14">
        <v>0</v>
      </c>
      <c r="K8" s="14">
        <f t="shared" ref="K8:K12" si="1">I8-H8</f>
        <v>5.7</v>
      </c>
      <c r="L8" s="14">
        <v>4.5</v>
      </c>
    </row>
    <row r="9" spans="1:29" ht="20.100000000000001" customHeight="1" x14ac:dyDescent="0.2">
      <c r="B9" s="14" t="s">
        <v>27</v>
      </c>
      <c r="C9" s="15">
        <v>0.6</v>
      </c>
      <c r="D9" s="15">
        <v>10</v>
      </c>
      <c r="E9" s="15">
        <v>0</v>
      </c>
      <c r="F9" s="15">
        <f t="shared" si="0"/>
        <v>9.4</v>
      </c>
      <c r="G9" s="6"/>
      <c r="H9" s="14">
        <v>0.4</v>
      </c>
      <c r="I9" s="14">
        <v>10.5</v>
      </c>
      <c r="J9" s="14">
        <v>0</v>
      </c>
      <c r="K9" s="14">
        <f t="shared" si="1"/>
        <v>10.1</v>
      </c>
      <c r="L9" s="14">
        <v>3.5</v>
      </c>
    </row>
    <row r="10" spans="1:29" ht="20.100000000000001" customHeight="1" x14ac:dyDescent="0.2">
      <c r="B10" s="16" t="s">
        <v>28</v>
      </c>
      <c r="C10" s="15">
        <v>0.8</v>
      </c>
      <c r="D10" s="15">
        <v>8</v>
      </c>
      <c r="E10" s="15">
        <v>0</v>
      </c>
      <c r="F10" s="15">
        <f t="shared" si="0"/>
        <v>7.2</v>
      </c>
      <c r="G10" s="6"/>
      <c r="H10" s="14">
        <v>0.3</v>
      </c>
      <c r="I10" s="14">
        <v>5.8</v>
      </c>
      <c r="J10" s="14">
        <v>0</v>
      </c>
      <c r="K10" s="14">
        <f t="shared" si="1"/>
        <v>5.5</v>
      </c>
      <c r="L10" s="14">
        <v>2.5</v>
      </c>
    </row>
    <row r="11" spans="1:29" ht="20.100000000000001" customHeight="1" x14ac:dyDescent="0.2">
      <c r="B11" s="14" t="s">
        <v>29</v>
      </c>
      <c r="C11" s="15">
        <v>0.2</v>
      </c>
      <c r="D11" s="15">
        <v>7</v>
      </c>
      <c r="E11" s="15">
        <v>0</v>
      </c>
      <c r="F11" s="15">
        <f t="shared" si="0"/>
        <v>6.8</v>
      </c>
      <c r="G11" s="6"/>
      <c r="H11" s="14">
        <v>0.1</v>
      </c>
      <c r="I11" s="14">
        <v>3.8</v>
      </c>
      <c r="J11" s="14">
        <v>0</v>
      </c>
      <c r="K11" s="14">
        <f t="shared" si="1"/>
        <v>3.6999999999999997</v>
      </c>
      <c r="L11" s="14">
        <v>1.5</v>
      </c>
    </row>
    <row r="12" spans="1:29" ht="20.100000000000001" customHeight="1" thickBot="1" x14ac:dyDescent="0.25">
      <c r="B12" s="17" t="s">
        <v>30</v>
      </c>
      <c r="C12" s="18">
        <v>0.3</v>
      </c>
      <c r="D12" s="18">
        <v>5</v>
      </c>
      <c r="E12" s="18">
        <v>0</v>
      </c>
      <c r="F12" s="18">
        <f t="shared" si="0"/>
        <v>4.7</v>
      </c>
      <c r="G12" s="6"/>
      <c r="H12" s="17">
        <v>0.2</v>
      </c>
      <c r="I12" s="17">
        <v>5.6</v>
      </c>
      <c r="J12" s="17">
        <v>0</v>
      </c>
      <c r="K12" s="17">
        <f t="shared" si="1"/>
        <v>5.3999999999999995</v>
      </c>
      <c r="L12" s="17">
        <v>0.5</v>
      </c>
    </row>
    <row r="16" spans="1:29" ht="23.25" x14ac:dyDescent="0.2">
      <c r="N16" s="22"/>
      <c r="O16" s="23" t="s">
        <v>43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</row>
    <row r="17" spans="14:29" x14ac:dyDescent="0.2"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8"/>
    </row>
    <row r="18" spans="14:29" ht="15.75" x14ac:dyDescent="0.2">
      <c r="N18" s="26"/>
      <c r="O18" s="36" t="s">
        <v>44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8"/>
    </row>
    <row r="19" spans="14:29" x14ac:dyDescent="0.2"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8"/>
    </row>
    <row r="20" spans="14:29" ht="18.75" x14ac:dyDescent="0.2">
      <c r="N20" s="26"/>
      <c r="O20" s="29" t="s">
        <v>40</v>
      </c>
      <c r="P20" s="27"/>
      <c r="Q20" s="27"/>
      <c r="R20" s="27"/>
      <c r="S20" s="27"/>
      <c r="T20" s="27"/>
      <c r="U20" s="27"/>
      <c r="V20" s="29" t="s">
        <v>41</v>
      </c>
      <c r="W20" s="27"/>
      <c r="X20" s="27"/>
      <c r="Y20" s="33"/>
      <c r="Z20" s="34">
        <v>1975</v>
      </c>
      <c r="AA20" s="35">
        <v>2016</v>
      </c>
      <c r="AB20" s="27"/>
      <c r="AC20" s="28"/>
    </row>
    <row r="21" spans="14:29" x14ac:dyDescent="0.2">
      <c r="N21" s="26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8"/>
    </row>
    <row r="22" spans="14:29" x14ac:dyDescent="0.2">
      <c r="N22" s="26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8"/>
    </row>
    <row r="23" spans="14:29" x14ac:dyDescent="0.2">
      <c r="N23" s="26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8"/>
    </row>
    <row r="24" spans="14:29" x14ac:dyDescent="0.2">
      <c r="N24" s="26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8"/>
    </row>
    <row r="25" spans="14:29" x14ac:dyDescent="0.2"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</row>
    <row r="26" spans="14:29" x14ac:dyDescent="0.2">
      <c r="N26" s="26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</row>
    <row r="27" spans="14:29" x14ac:dyDescent="0.2">
      <c r="N27" s="26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</row>
    <row r="28" spans="14:29" x14ac:dyDescent="0.2">
      <c r="N28" s="26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</row>
    <row r="29" spans="14:29" x14ac:dyDescent="0.2">
      <c r="N29" s="26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8"/>
    </row>
    <row r="30" spans="14:29" x14ac:dyDescent="0.2">
      <c r="N30" s="26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8"/>
    </row>
    <row r="31" spans="14:29" ht="8.1" customHeight="1" x14ac:dyDescent="0.2">
      <c r="N31" s="26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8"/>
    </row>
    <row r="32" spans="14:29" x14ac:dyDescent="0.2">
      <c r="N32" s="26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8"/>
    </row>
    <row r="33" spans="14:29" x14ac:dyDescent="0.2">
      <c r="N33" s="26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8"/>
    </row>
    <row r="34" spans="14:29" x14ac:dyDescent="0.2">
      <c r="N34" s="26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8"/>
    </row>
    <row r="35" spans="14:29" x14ac:dyDescent="0.2">
      <c r="N35" s="26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8"/>
    </row>
    <row r="36" spans="14:29" x14ac:dyDescent="0.2">
      <c r="N36" s="26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</row>
    <row r="37" spans="14:29" x14ac:dyDescent="0.2">
      <c r="N37" s="26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</row>
    <row r="38" spans="14:29" x14ac:dyDescent="0.2">
      <c r="N38" s="26"/>
      <c r="O38" s="37" t="s">
        <v>42</v>
      </c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</row>
    <row r="39" spans="14:29" x14ac:dyDescent="0.2">
      <c r="N39" s="30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2"/>
    </row>
  </sheetData>
  <phoneticPr fontId="2" type="noConversion"/>
  <pageMargins left="0.7" right="0.7" top="0.75" bottom="0.75" header="0.3" footer="0.3"/>
  <pageSetup paperSize="9" orientation="portrait" r:id="rId1"/>
  <ignoredErrors>
    <ignoredError sqref="C6:D6 H6:I12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421F-8ACD-4FF9-99C2-66D22F1AE1BE}">
  <dimension ref="A1:G30"/>
  <sheetViews>
    <sheetView showGridLines="0" workbookViewId="0"/>
  </sheetViews>
  <sheetFormatPr defaultColWidth="8.625" defaultRowHeight="13.5" x14ac:dyDescent="0.2"/>
  <cols>
    <col min="1" max="1" width="4.625" style="7" customWidth="1"/>
    <col min="2" max="2" width="13.875" style="7" customWidth="1"/>
    <col min="3" max="11" width="8.625" style="7"/>
    <col min="12" max="12" width="4.625" style="7" customWidth="1"/>
    <col min="13" max="21" width="8.625" style="7"/>
    <col min="22" max="22" width="4.625" style="7" customWidth="1"/>
    <col min="23" max="16384" width="8.625" style="7"/>
  </cols>
  <sheetData>
    <row r="1" spans="1:7" x14ac:dyDescent="0.2">
      <c r="A1" s="60"/>
    </row>
    <row r="2" spans="1:7" ht="18" customHeight="1" x14ac:dyDescent="0.2">
      <c r="B2" s="7" t="s">
        <v>88</v>
      </c>
    </row>
    <row r="3" spans="1:7" ht="18" customHeight="1" x14ac:dyDescent="0.2">
      <c r="B3" s="62" t="s">
        <v>89</v>
      </c>
    </row>
    <row r="4" spans="1:7" ht="18" customHeight="1" x14ac:dyDescent="0.2">
      <c r="B4" s="62" t="s">
        <v>90</v>
      </c>
    </row>
    <row r="5" spans="1:7" ht="9.9499999999999993" customHeight="1" x14ac:dyDescent="0.2"/>
    <row r="6" spans="1:7" ht="18" customHeight="1" x14ac:dyDescent="0.2">
      <c r="C6" s="8" t="s">
        <v>114</v>
      </c>
      <c r="D6" s="8" t="s">
        <v>115</v>
      </c>
      <c r="E6" s="8" t="s">
        <v>116</v>
      </c>
      <c r="F6" s="8" t="s">
        <v>21</v>
      </c>
      <c r="G6" s="8" t="s">
        <v>22</v>
      </c>
    </row>
    <row r="7" spans="1:7" ht="18" customHeight="1" x14ac:dyDescent="0.2">
      <c r="B7" s="61" t="s">
        <v>91</v>
      </c>
      <c r="C7" s="8">
        <v>50</v>
      </c>
      <c r="D7" s="8">
        <v>77</v>
      </c>
      <c r="E7" s="8">
        <v>0</v>
      </c>
      <c r="F7" s="8">
        <v>21</v>
      </c>
      <c r="G7" s="7">
        <f>D7-C7</f>
        <v>27</v>
      </c>
    </row>
    <row r="8" spans="1:7" ht="18" customHeight="1" x14ac:dyDescent="0.2">
      <c r="B8" s="61" t="s">
        <v>92</v>
      </c>
      <c r="C8" s="8">
        <v>46</v>
      </c>
      <c r="D8" s="8">
        <v>75</v>
      </c>
      <c r="E8" s="8">
        <v>0</v>
      </c>
      <c r="F8" s="8">
        <v>20</v>
      </c>
      <c r="G8" s="7">
        <f t="shared" ref="G8:G28" si="0">D8-C8</f>
        <v>29</v>
      </c>
    </row>
    <row r="9" spans="1:7" ht="18" customHeight="1" x14ac:dyDescent="0.2">
      <c r="B9" s="61" t="s">
        <v>93</v>
      </c>
      <c r="C9" s="8">
        <v>68</v>
      </c>
      <c r="D9" s="8">
        <v>72</v>
      </c>
      <c r="E9" s="8">
        <v>0</v>
      </c>
      <c r="F9" s="8">
        <v>19</v>
      </c>
      <c r="G9" s="7">
        <f t="shared" si="0"/>
        <v>4</v>
      </c>
    </row>
    <row r="10" spans="1:7" ht="18" customHeight="1" x14ac:dyDescent="0.2">
      <c r="B10" s="61" t="s">
        <v>94</v>
      </c>
      <c r="C10" s="8">
        <v>56</v>
      </c>
      <c r="D10" s="8">
        <v>71</v>
      </c>
      <c r="E10" s="8">
        <v>0</v>
      </c>
      <c r="F10" s="8">
        <v>18</v>
      </c>
      <c r="G10" s="7">
        <f t="shared" si="0"/>
        <v>15</v>
      </c>
    </row>
    <row r="11" spans="1:7" ht="18" customHeight="1" x14ac:dyDescent="0.2">
      <c r="B11" s="61" t="s">
        <v>95</v>
      </c>
      <c r="C11" s="8">
        <v>41</v>
      </c>
      <c r="D11" s="8">
        <v>67</v>
      </c>
      <c r="E11" s="8">
        <v>0</v>
      </c>
      <c r="F11" s="8">
        <v>17</v>
      </c>
      <c r="G11" s="7">
        <f t="shared" si="0"/>
        <v>26</v>
      </c>
    </row>
    <row r="12" spans="1:7" ht="18" customHeight="1" x14ac:dyDescent="0.2">
      <c r="B12" s="61" t="s">
        <v>96</v>
      </c>
      <c r="C12" s="8">
        <v>37</v>
      </c>
      <c r="D12" s="8">
        <v>61</v>
      </c>
      <c r="E12" s="8">
        <v>0</v>
      </c>
      <c r="F12" s="8">
        <v>16</v>
      </c>
      <c r="G12" s="7">
        <f t="shared" si="0"/>
        <v>24</v>
      </c>
    </row>
    <row r="13" spans="1:7" ht="18" customHeight="1" x14ac:dyDescent="0.2">
      <c r="B13" s="61" t="s">
        <v>97</v>
      </c>
      <c r="C13" s="8">
        <v>44</v>
      </c>
      <c r="D13" s="8">
        <v>58</v>
      </c>
      <c r="E13" s="8">
        <v>0</v>
      </c>
      <c r="F13" s="8">
        <v>15</v>
      </c>
      <c r="G13" s="7">
        <f t="shared" si="0"/>
        <v>14</v>
      </c>
    </row>
    <row r="14" spans="1:7" ht="18" customHeight="1" x14ac:dyDescent="0.2">
      <c r="B14" s="61" t="s">
        <v>98</v>
      </c>
      <c r="C14" s="8">
        <v>66</v>
      </c>
      <c r="D14" s="8">
        <v>58</v>
      </c>
      <c r="E14" s="8">
        <v>0</v>
      </c>
      <c r="F14" s="8">
        <v>14</v>
      </c>
      <c r="G14" s="7">
        <f t="shared" si="0"/>
        <v>-8</v>
      </c>
    </row>
    <row r="15" spans="1:7" ht="18" customHeight="1" x14ac:dyDescent="0.2">
      <c r="B15" s="61" t="s">
        <v>99</v>
      </c>
      <c r="C15" s="8">
        <v>38</v>
      </c>
      <c r="D15" s="8">
        <v>57</v>
      </c>
      <c r="E15" s="8">
        <v>0</v>
      </c>
      <c r="F15" s="8">
        <v>13</v>
      </c>
      <c r="G15" s="7">
        <f t="shared" si="0"/>
        <v>19</v>
      </c>
    </row>
    <row r="16" spans="1:7" ht="18" customHeight="1" x14ac:dyDescent="0.2">
      <c r="B16" s="61" t="s">
        <v>100</v>
      </c>
      <c r="C16" s="8">
        <v>52</v>
      </c>
      <c r="D16" s="8">
        <v>55</v>
      </c>
      <c r="E16" s="8">
        <v>0</v>
      </c>
      <c r="F16" s="8">
        <v>12</v>
      </c>
      <c r="G16" s="7">
        <f t="shared" si="0"/>
        <v>3</v>
      </c>
    </row>
    <row r="17" spans="2:7" ht="18" customHeight="1" x14ac:dyDescent="0.2">
      <c r="B17" s="61" t="s">
        <v>101</v>
      </c>
      <c r="C17" s="8">
        <v>30</v>
      </c>
      <c r="D17" s="8">
        <v>48</v>
      </c>
      <c r="E17" s="8">
        <v>0</v>
      </c>
      <c r="F17" s="8">
        <v>11</v>
      </c>
      <c r="G17" s="7">
        <f t="shared" si="0"/>
        <v>18</v>
      </c>
    </row>
    <row r="18" spans="2:7" ht="18" customHeight="1" x14ac:dyDescent="0.2">
      <c r="B18" s="61" t="s">
        <v>102</v>
      </c>
      <c r="C18" s="8">
        <v>32</v>
      </c>
      <c r="D18" s="8">
        <v>48</v>
      </c>
      <c r="E18" s="8">
        <v>0</v>
      </c>
      <c r="F18" s="8">
        <v>10</v>
      </c>
      <c r="G18" s="7">
        <f t="shared" si="0"/>
        <v>16</v>
      </c>
    </row>
    <row r="19" spans="2:7" ht="18" customHeight="1" x14ac:dyDescent="0.2">
      <c r="B19" s="61" t="s">
        <v>103</v>
      </c>
      <c r="C19" s="8">
        <v>28</v>
      </c>
      <c r="D19" s="8">
        <v>46</v>
      </c>
      <c r="E19" s="8">
        <v>0</v>
      </c>
      <c r="F19" s="8">
        <v>9</v>
      </c>
      <c r="G19" s="7">
        <f t="shared" si="0"/>
        <v>18</v>
      </c>
    </row>
    <row r="20" spans="2:7" ht="18" customHeight="1" x14ac:dyDescent="0.2">
      <c r="B20" s="61" t="s">
        <v>104</v>
      </c>
      <c r="C20" s="8">
        <v>36</v>
      </c>
      <c r="D20" s="8">
        <v>45</v>
      </c>
      <c r="E20" s="8">
        <v>0</v>
      </c>
      <c r="F20" s="8">
        <v>8</v>
      </c>
      <c r="G20" s="7">
        <f t="shared" si="0"/>
        <v>9</v>
      </c>
    </row>
    <row r="21" spans="2:7" ht="18" customHeight="1" x14ac:dyDescent="0.2">
      <c r="B21" s="61" t="s">
        <v>105</v>
      </c>
      <c r="C21" s="8">
        <v>62</v>
      </c>
      <c r="D21" s="8">
        <v>45</v>
      </c>
      <c r="E21" s="8">
        <v>0</v>
      </c>
      <c r="F21" s="8">
        <v>7</v>
      </c>
      <c r="G21" s="7">
        <f t="shared" si="0"/>
        <v>-17</v>
      </c>
    </row>
    <row r="22" spans="2:7" ht="18" customHeight="1" x14ac:dyDescent="0.2">
      <c r="B22" s="61" t="s">
        <v>106</v>
      </c>
      <c r="C22" s="8">
        <v>36</v>
      </c>
      <c r="D22" s="8">
        <v>38</v>
      </c>
      <c r="E22" s="8">
        <v>0</v>
      </c>
      <c r="F22" s="8">
        <v>6</v>
      </c>
      <c r="G22" s="7">
        <f t="shared" si="0"/>
        <v>2</v>
      </c>
    </row>
    <row r="23" spans="2:7" ht="18" customHeight="1" x14ac:dyDescent="0.2">
      <c r="B23" s="61" t="s">
        <v>107</v>
      </c>
      <c r="C23" s="8">
        <v>33</v>
      </c>
      <c r="D23" s="8">
        <v>37</v>
      </c>
      <c r="E23" s="8">
        <v>0</v>
      </c>
      <c r="F23" s="8">
        <v>5</v>
      </c>
      <c r="G23" s="7">
        <f t="shared" si="0"/>
        <v>4</v>
      </c>
    </row>
    <row r="24" spans="2:7" ht="18" customHeight="1" x14ac:dyDescent="0.2">
      <c r="B24" s="61" t="s">
        <v>108</v>
      </c>
      <c r="C24" s="8">
        <v>24</v>
      </c>
      <c r="D24" s="8">
        <v>31</v>
      </c>
      <c r="E24" s="8">
        <v>0</v>
      </c>
      <c r="F24" s="8">
        <v>4</v>
      </c>
      <c r="G24" s="7">
        <f t="shared" si="0"/>
        <v>7</v>
      </c>
    </row>
    <row r="25" spans="2:7" ht="18" customHeight="1" x14ac:dyDescent="0.2">
      <c r="B25" s="61" t="s">
        <v>109</v>
      </c>
      <c r="C25" s="8">
        <v>27</v>
      </c>
      <c r="D25" s="8">
        <v>24</v>
      </c>
      <c r="E25" s="8">
        <v>0</v>
      </c>
      <c r="F25" s="8">
        <v>3</v>
      </c>
      <c r="G25" s="7">
        <f t="shared" si="0"/>
        <v>-3</v>
      </c>
    </row>
    <row r="26" spans="2:7" ht="18" customHeight="1" x14ac:dyDescent="0.2">
      <c r="B26" s="61" t="s">
        <v>110</v>
      </c>
      <c r="C26" s="8">
        <v>25</v>
      </c>
      <c r="D26" s="8">
        <v>23</v>
      </c>
      <c r="E26" s="8">
        <v>0</v>
      </c>
      <c r="F26" s="8">
        <v>2</v>
      </c>
      <c r="G26" s="7">
        <f t="shared" si="0"/>
        <v>-2</v>
      </c>
    </row>
    <row r="27" spans="2:7" ht="18" customHeight="1" x14ac:dyDescent="0.2">
      <c r="B27" s="61" t="s">
        <v>111</v>
      </c>
      <c r="C27" s="8">
        <v>19</v>
      </c>
      <c r="D27" s="8">
        <v>22</v>
      </c>
      <c r="E27" s="8">
        <v>0</v>
      </c>
      <c r="F27" s="8">
        <v>1</v>
      </c>
      <c r="G27" s="7">
        <f t="shared" si="0"/>
        <v>3</v>
      </c>
    </row>
    <row r="28" spans="2:7" ht="18" customHeight="1" x14ac:dyDescent="0.2">
      <c r="B28" s="61" t="s">
        <v>112</v>
      </c>
      <c r="C28" s="8">
        <v>14</v>
      </c>
      <c r="D28" s="8">
        <v>20</v>
      </c>
      <c r="E28" s="8">
        <v>0</v>
      </c>
      <c r="F28" s="8">
        <v>0</v>
      </c>
      <c r="G28" s="7">
        <f t="shared" si="0"/>
        <v>6</v>
      </c>
    </row>
    <row r="29" spans="2:7" ht="9.9499999999999993" customHeight="1" x14ac:dyDescent="0.2"/>
    <row r="30" spans="2:7" x14ac:dyDescent="0.2">
      <c r="B30" s="7" t="s">
        <v>113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FA95-9191-4F2C-A09A-6D71CC9A1554}">
  <dimension ref="A1:R36"/>
  <sheetViews>
    <sheetView showGridLines="0" tabSelected="1" workbookViewId="0"/>
  </sheetViews>
  <sheetFormatPr defaultColWidth="8.625" defaultRowHeight="16.5" x14ac:dyDescent="0.2"/>
  <cols>
    <col min="1" max="1" width="4.625" style="68" customWidth="1"/>
    <col min="2" max="2" width="8.625" style="68"/>
    <col min="3" max="4" width="9.125" style="69" bestFit="1" customWidth="1"/>
    <col min="5" max="5" width="15.875" style="69" bestFit="1" customWidth="1"/>
    <col min="6" max="10" width="8.625" style="68"/>
    <col min="11" max="11" width="10.625" style="68" customWidth="1"/>
    <col min="12" max="16" width="8.625" style="68"/>
    <col min="17" max="17" width="4.625" style="68" customWidth="1"/>
    <col min="18" max="18" width="2.625" style="68" customWidth="1"/>
    <col min="19" max="16384" width="8.625" style="68"/>
  </cols>
  <sheetData>
    <row r="1" spans="1:18" x14ac:dyDescent="0.2">
      <c r="A1" s="67"/>
    </row>
    <row r="2" spans="1:18" x14ac:dyDescent="0.2">
      <c r="B2" s="68" t="s">
        <v>122</v>
      </c>
    </row>
    <row r="3" spans="1:18" x14ac:dyDescent="0.2">
      <c r="B3" s="68" t="s">
        <v>123</v>
      </c>
      <c r="F3" s="71"/>
    </row>
    <row r="5" spans="1:18" ht="17.25" thickBot="1" x14ac:dyDescent="0.25">
      <c r="C5" s="70">
        <v>42736</v>
      </c>
      <c r="D5" s="70">
        <v>42917</v>
      </c>
      <c r="E5" s="69" t="s">
        <v>124</v>
      </c>
      <c r="F5" s="69" t="s">
        <v>147</v>
      </c>
      <c r="G5" s="69" t="s">
        <v>148</v>
      </c>
      <c r="H5" s="69" t="s">
        <v>149</v>
      </c>
      <c r="K5" s="84"/>
      <c r="L5" s="85"/>
      <c r="M5" s="85"/>
      <c r="N5" s="85"/>
      <c r="O5" s="85"/>
      <c r="P5" s="85"/>
      <c r="Q5" s="85"/>
      <c r="R5" s="86"/>
    </row>
    <row r="6" spans="1:18" x14ac:dyDescent="0.2">
      <c r="B6" s="72" t="s">
        <v>125</v>
      </c>
      <c r="C6" s="73">
        <v>23</v>
      </c>
      <c r="D6" s="73">
        <v>27</v>
      </c>
      <c r="E6" s="74">
        <v>6.74</v>
      </c>
      <c r="F6" s="75">
        <v>0</v>
      </c>
      <c r="G6" s="75">
        <v>17</v>
      </c>
      <c r="H6" s="75">
        <v>55</v>
      </c>
      <c r="K6" s="87"/>
      <c r="L6" s="88"/>
      <c r="M6" s="88"/>
      <c r="N6" s="88"/>
      <c r="O6" s="88"/>
      <c r="P6" s="88"/>
      <c r="Q6" s="88"/>
      <c r="R6" s="89"/>
    </row>
    <row r="7" spans="1:18" x14ac:dyDescent="0.2">
      <c r="B7" s="76" t="s">
        <v>126</v>
      </c>
      <c r="C7" s="77">
        <v>11.5</v>
      </c>
      <c r="D7" s="77">
        <v>11</v>
      </c>
      <c r="E7" s="78">
        <v>5.91</v>
      </c>
      <c r="F7" s="79">
        <v>0</v>
      </c>
      <c r="G7" s="79">
        <v>16</v>
      </c>
      <c r="H7" s="79">
        <v>55</v>
      </c>
      <c r="K7" s="87"/>
      <c r="L7" s="88"/>
      <c r="M7" s="88"/>
      <c r="N7" s="88"/>
      <c r="O7" s="88"/>
      <c r="P7" s="88"/>
      <c r="Q7" s="88"/>
      <c r="R7" s="89"/>
    </row>
    <row r="8" spans="1:18" x14ac:dyDescent="0.2">
      <c r="B8" s="76" t="s">
        <v>127</v>
      </c>
      <c r="C8" s="77">
        <v>4.3</v>
      </c>
      <c r="D8" s="77">
        <v>9.8113207547169896</v>
      </c>
      <c r="E8" s="78">
        <v>5.82</v>
      </c>
      <c r="F8" s="79">
        <v>0</v>
      </c>
      <c r="G8" s="79">
        <v>15</v>
      </c>
      <c r="H8" s="79">
        <v>55</v>
      </c>
      <c r="K8" s="87"/>
      <c r="L8" s="88"/>
      <c r="M8" s="88"/>
      <c r="N8" s="88"/>
      <c r="O8" s="88"/>
      <c r="P8" s="88"/>
      <c r="Q8" s="88"/>
      <c r="R8" s="89"/>
    </row>
    <row r="9" spans="1:18" x14ac:dyDescent="0.2">
      <c r="B9" s="76" t="s">
        <v>131</v>
      </c>
      <c r="C9" s="77">
        <v>0</v>
      </c>
      <c r="D9" s="77">
        <v>0</v>
      </c>
      <c r="E9" s="78">
        <v>5.3</v>
      </c>
      <c r="F9" s="79">
        <v>0</v>
      </c>
      <c r="G9" s="79">
        <v>14</v>
      </c>
      <c r="H9" s="79">
        <v>55</v>
      </c>
      <c r="K9" s="87"/>
      <c r="L9" s="88"/>
      <c r="M9" s="88"/>
      <c r="N9" s="88"/>
      <c r="O9" s="88"/>
      <c r="P9" s="88"/>
      <c r="Q9" s="88"/>
      <c r="R9" s="89"/>
    </row>
    <row r="10" spans="1:18" x14ac:dyDescent="0.2">
      <c r="B10" s="76" t="s">
        <v>128</v>
      </c>
      <c r="C10" s="77">
        <v>0.3</v>
      </c>
      <c r="D10" s="77">
        <v>-3.8</v>
      </c>
      <c r="E10" s="78">
        <v>5.0999999999999996</v>
      </c>
      <c r="F10" s="79">
        <v>0</v>
      </c>
      <c r="G10" s="79">
        <v>13</v>
      </c>
      <c r="H10" s="79">
        <v>55</v>
      </c>
      <c r="K10" s="87"/>
      <c r="L10" s="88"/>
      <c r="M10" s="88"/>
      <c r="N10" s="88"/>
      <c r="O10" s="88"/>
      <c r="P10" s="88"/>
      <c r="Q10" s="88"/>
      <c r="R10" s="89"/>
    </row>
    <row r="11" spans="1:18" x14ac:dyDescent="0.2">
      <c r="B11" s="76" t="s">
        <v>129</v>
      </c>
      <c r="C11" s="77">
        <v>-11</v>
      </c>
      <c r="D11" s="77">
        <v>-12.075471698113201</v>
      </c>
      <c r="E11" s="78">
        <v>4.66</v>
      </c>
      <c r="F11" s="79">
        <v>0</v>
      </c>
      <c r="G11" s="79">
        <v>12</v>
      </c>
      <c r="H11" s="79">
        <v>55</v>
      </c>
      <c r="K11" s="87"/>
      <c r="L11" s="88"/>
      <c r="M11" s="88"/>
      <c r="N11" s="88"/>
      <c r="O11" s="88"/>
      <c r="P11" s="88"/>
      <c r="Q11" s="88"/>
      <c r="R11" s="89"/>
    </row>
    <row r="12" spans="1:18" x14ac:dyDescent="0.2">
      <c r="B12" s="76" t="s">
        <v>130</v>
      </c>
      <c r="C12" s="77">
        <v>-18.5</v>
      </c>
      <c r="D12" s="77">
        <v>-16.5</v>
      </c>
      <c r="E12" s="78">
        <v>4.53</v>
      </c>
      <c r="F12" s="79">
        <v>0</v>
      </c>
      <c r="G12" s="79">
        <v>11</v>
      </c>
      <c r="H12" s="79">
        <v>55</v>
      </c>
      <c r="K12" s="87"/>
      <c r="L12" s="88"/>
      <c r="M12" s="88"/>
      <c r="N12" s="88"/>
      <c r="O12" s="88"/>
      <c r="P12" s="88"/>
      <c r="Q12" s="88"/>
      <c r="R12" s="89"/>
    </row>
    <row r="13" spans="1:18" x14ac:dyDescent="0.2">
      <c r="B13" s="76" t="s">
        <v>132</v>
      </c>
      <c r="C13" s="77">
        <v>-19.8</v>
      </c>
      <c r="D13" s="77">
        <v>-18.5</v>
      </c>
      <c r="E13" s="78">
        <v>4.47</v>
      </c>
      <c r="F13" s="79">
        <v>0</v>
      </c>
      <c r="G13" s="79">
        <v>10</v>
      </c>
      <c r="H13" s="79">
        <v>55</v>
      </c>
      <c r="K13" s="87"/>
      <c r="L13" s="88"/>
      <c r="M13" s="88"/>
      <c r="N13" s="88"/>
      <c r="O13" s="88"/>
      <c r="P13" s="88"/>
      <c r="Q13" s="88"/>
      <c r="R13" s="89"/>
    </row>
    <row r="14" spans="1:18" x14ac:dyDescent="0.2">
      <c r="B14" s="76" t="s">
        <v>133</v>
      </c>
      <c r="C14" s="77">
        <v>-32</v>
      </c>
      <c r="D14" s="77">
        <v>-22.075471698113208</v>
      </c>
      <c r="E14" s="78">
        <v>4.13</v>
      </c>
      <c r="F14" s="79">
        <v>0</v>
      </c>
      <c r="G14" s="79">
        <v>9</v>
      </c>
      <c r="H14" s="79">
        <v>55</v>
      </c>
      <c r="K14" s="87"/>
      <c r="L14" s="88"/>
      <c r="M14" s="88"/>
      <c r="N14" s="88"/>
      <c r="O14" s="88"/>
      <c r="P14" s="88"/>
      <c r="Q14" s="88"/>
      <c r="R14" s="89"/>
    </row>
    <row r="15" spans="1:18" x14ac:dyDescent="0.2">
      <c r="B15" s="76" t="s">
        <v>134</v>
      </c>
      <c r="C15" s="77">
        <v>-25</v>
      </c>
      <c r="D15" s="77">
        <v>-22.452830188679236</v>
      </c>
      <c r="E15" s="78">
        <v>4.1100000000000003</v>
      </c>
      <c r="F15" s="79">
        <v>0</v>
      </c>
      <c r="G15" s="79">
        <v>8</v>
      </c>
      <c r="H15" s="79">
        <v>55</v>
      </c>
      <c r="K15" s="87"/>
      <c r="L15" s="88"/>
      <c r="M15" s="88"/>
      <c r="N15" s="88"/>
      <c r="O15" s="88"/>
      <c r="P15" s="88"/>
      <c r="Q15" s="88"/>
      <c r="R15" s="89"/>
    </row>
    <row r="16" spans="1:18" x14ac:dyDescent="0.2">
      <c r="B16" s="76" t="s">
        <v>135</v>
      </c>
      <c r="C16" s="77">
        <v>-34.799999999999997</v>
      </c>
      <c r="D16" s="77">
        <v>-36.60377358490566</v>
      </c>
      <c r="E16" s="78">
        <v>3.36</v>
      </c>
      <c r="F16" s="79">
        <v>0</v>
      </c>
      <c r="G16" s="79">
        <v>7</v>
      </c>
      <c r="H16" s="79">
        <v>55</v>
      </c>
      <c r="K16" s="87"/>
      <c r="L16" s="88"/>
      <c r="M16" s="88"/>
      <c r="N16" s="88"/>
      <c r="O16" s="88"/>
      <c r="P16" s="88"/>
      <c r="Q16" s="88"/>
      <c r="R16" s="89"/>
    </row>
    <row r="17" spans="2:18" x14ac:dyDescent="0.2">
      <c r="B17" s="76" t="s">
        <v>136</v>
      </c>
      <c r="C17" s="77">
        <v>-45</v>
      </c>
      <c r="D17" s="77">
        <v>-43.20754716981132</v>
      </c>
      <c r="E17" s="78">
        <v>3.01</v>
      </c>
      <c r="F17" s="79">
        <v>0</v>
      </c>
      <c r="G17" s="79">
        <v>6</v>
      </c>
      <c r="H17" s="79">
        <v>55</v>
      </c>
      <c r="K17" s="87"/>
      <c r="L17" s="88"/>
      <c r="M17" s="88"/>
      <c r="N17" s="88"/>
      <c r="O17" s="88"/>
      <c r="P17" s="88"/>
      <c r="Q17" s="88"/>
      <c r="R17" s="89"/>
    </row>
    <row r="18" spans="2:18" x14ac:dyDescent="0.2">
      <c r="B18" s="76" t="s">
        <v>137</v>
      </c>
      <c r="C18" s="77">
        <v>-43.2</v>
      </c>
      <c r="D18" s="77">
        <v>-44.905660377358494</v>
      </c>
      <c r="E18" s="78">
        <v>2.92</v>
      </c>
      <c r="F18" s="79">
        <v>0</v>
      </c>
      <c r="G18" s="79">
        <v>5</v>
      </c>
      <c r="H18" s="79">
        <v>55</v>
      </c>
      <c r="K18" s="87"/>
      <c r="L18" s="88"/>
      <c r="M18" s="88"/>
      <c r="N18" s="88"/>
      <c r="O18" s="88"/>
      <c r="P18" s="88"/>
      <c r="Q18" s="88"/>
      <c r="R18" s="89"/>
    </row>
    <row r="19" spans="2:18" x14ac:dyDescent="0.2">
      <c r="B19" s="76" t="s">
        <v>138</v>
      </c>
      <c r="C19" s="77">
        <v>-58</v>
      </c>
      <c r="D19" s="77">
        <v>-48.113207547169814</v>
      </c>
      <c r="E19" s="78">
        <v>2.75</v>
      </c>
      <c r="F19" s="79">
        <v>0</v>
      </c>
      <c r="G19" s="79">
        <v>4</v>
      </c>
      <c r="H19" s="79">
        <v>55</v>
      </c>
      <c r="K19" s="87"/>
      <c r="L19" s="88"/>
      <c r="M19" s="88"/>
      <c r="N19" s="88"/>
      <c r="O19" s="88"/>
      <c r="P19" s="88"/>
      <c r="Q19" s="88"/>
      <c r="R19" s="89"/>
    </row>
    <row r="20" spans="2:18" x14ac:dyDescent="0.2">
      <c r="B20" s="76" t="s">
        <v>139</v>
      </c>
      <c r="C20" s="77">
        <v>-57.8</v>
      </c>
      <c r="D20" s="77">
        <v>-56.981132075471699</v>
      </c>
      <c r="E20" s="78">
        <v>2.2799999999999998</v>
      </c>
      <c r="F20" s="79">
        <v>0</v>
      </c>
      <c r="G20" s="79">
        <v>3</v>
      </c>
      <c r="H20" s="79">
        <v>55</v>
      </c>
      <c r="K20" s="87"/>
      <c r="L20" s="88"/>
      <c r="M20" s="88"/>
      <c r="N20" s="88"/>
      <c r="O20" s="88"/>
      <c r="P20" s="88"/>
      <c r="Q20" s="88"/>
      <c r="R20" s="89"/>
    </row>
    <row r="21" spans="2:18" x14ac:dyDescent="0.2">
      <c r="B21" s="76" t="s">
        <v>140</v>
      </c>
      <c r="C21" s="77">
        <v>-59.1</v>
      </c>
      <c r="D21" s="77">
        <v>-57.358490566037737</v>
      </c>
      <c r="E21" s="78">
        <v>2.2599999999999998</v>
      </c>
      <c r="F21" s="79">
        <v>0</v>
      </c>
      <c r="G21" s="79">
        <v>2</v>
      </c>
      <c r="H21" s="79">
        <v>55</v>
      </c>
      <c r="K21" s="87"/>
      <c r="L21" s="88"/>
      <c r="M21" s="88"/>
      <c r="N21" s="88"/>
      <c r="O21" s="88"/>
      <c r="P21" s="88"/>
      <c r="Q21" s="88"/>
      <c r="R21" s="89"/>
    </row>
    <row r="22" spans="2:18" x14ac:dyDescent="0.2">
      <c r="B22" s="76" t="s">
        <v>141</v>
      </c>
      <c r="C22" s="77">
        <v>-62</v>
      </c>
      <c r="D22" s="77">
        <v>-57.358490566037737</v>
      </c>
      <c r="E22" s="78">
        <v>2.2599999999999998</v>
      </c>
      <c r="F22" s="79">
        <v>0</v>
      </c>
      <c r="G22" s="79">
        <v>1</v>
      </c>
      <c r="H22" s="79">
        <v>55</v>
      </c>
      <c r="K22" s="87"/>
      <c r="L22" s="88"/>
      <c r="M22" s="88"/>
      <c r="N22" s="88"/>
      <c r="O22" s="88"/>
      <c r="P22" s="88"/>
      <c r="Q22" s="88"/>
      <c r="R22" s="89"/>
    </row>
    <row r="23" spans="2:18" ht="17.25" thickBot="1" x14ac:dyDescent="0.25">
      <c r="B23" s="80" t="s">
        <v>142</v>
      </c>
      <c r="C23" s="81">
        <v>-70</v>
      </c>
      <c r="D23" s="81">
        <v>-66.981132075471692</v>
      </c>
      <c r="E23" s="82">
        <v>1.75</v>
      </c>
      <c r="F23" s="83">
        <v>0</v>
      </c>
      <c r="G23" s="83">
        <v>0</v>
      </c>
      <c r="H23" s="83">
        <v>55</v>
      </c>
      <c r="K23" s="87"/>
      <c r="L23" s="88"/>
      <c r="M23" s="88"/>
      <c r="N23" s="88"/>
      <c r="O23" s="88"/>
      <c r="P23" s="88"/>
      <c r="Q23" s="88"/>
      <c r="R23" s="89"/>
    </row>
    <row r="24" spans="2:18" x14ac:dyDescent="0.2">
      <c r="K24" s="87"/>
      <c r="L24" s="88"/>
      <c r="M24" s="88"/>
      <c r="N24" s="88"/>
      <c r="O24" s="88"/>
      <c r="P24" s="88"/>
      <c r="Q24" s="88"/>
      <c r="R24" s="89"/>
    </row>
    <row r="25" spans="2:18" x14ac:dyDescent="0.2">
      <c r="B25" s="68" t="s">
        <v>143</v>
      </c>
      <c r="F25" s="68" t="s">
        <v>150</v>
      </c>
      <c r="K25" s="87"/>
      <c r="L25" s="88"/>
      <c r="M25" s="88"/>
      <c r="N25" s="88"/>
      <c r="O25" s="88"/>
      <c r="P25" s="88"/>
      <c r="Q25" s="88"/>
      <c r="R25" s="89"/>
    </row>
    <row r="26" spans="2:18" x14ac:dyDescent="0.2">
      <c r="B26" s="68" t="s">
        <v>144</v>
      </c>
      <c r="F26" s="69" t="s">
        <v>151</v>
      </c>
      <c r="G26" s="69" t="s">
        <v>152</v>
      </c>
      <c r="K26" s="87"/>
      <c r="L26" s="88"/>
      <c r="M26" s="88"/>
      <c r="N26" s="88"/>
      <c r="O26" s="88"/>
      <c r="P26" s="88"/>
      <c r="Q26" s="88"/>
      <c r="R26" s="89"/>
    </row>
    <row r="27" spans="2:18" x14ac:dyDescent="0.2">
      <c r="B27" s="68" t="s">
        <v>145</v>
      </c>
      <c r="F27" s="69">
        <v>55</v>
      </c>
      <c r="G27" s="69">
        <v>18</v>
      </c>
      <c r="K27" s="87"/>
      <c r="L27" s="88"/>
      <c r="M27" s="88"/>
      <c r="N27" s="88"/>
      <c r="O27" s="88"/>
      <c r="P27" s="88"/>
      <c r="Q27" s="88"/>
      <c r="R27" s="89"/>
    </row>
    <row r="28" spans="2:18" x14ac:dyDescent="0.2">
      <c r="B28" s="68" t="s">
        <v>146</v>
      </c>
      <c r="K28" s="87"/>
      <c r="L28" s="88"/>
      <c r="M28" s="88"/>
      <c r="N28" s="88"/>
      <c r="O28" s="88"/>
      <c r="P28" s="88"/>
      <c r="Q28" s="88"/>
      <c r="R28" s="89"/>
    </row>
    <row r="29" spans="2:18" x14ac:dyDescent="0.2">
      <c r="K29" s="87"/>
      <c r="L29" s="88"/>
      <c r="M29" s="88"/>
      <c r="N29" s="88"/>
      <c r="O29" s="88"/>
      <c r="P29" s="88"/>
      <c r="Q29" s="88"/>
      <c r="R29" s="89"/>
    </row>
    <row r="30" spans="2:18" x14ac:dyDescent="0.2">
      <c r="K30" s="87"/>
      <c r="L30" s="88"/>
      <c r="M30" s="88"/>
      <c r="N30" s="88"/>
      <c r="O30" s="88"/>
      <c r="P30" s="88"/>
      <c r="Q30" s="88"/>
      <c r="R30" s="89"/>
    </row>
    <row r="31" spans="2:18" x14ac:dyDescent="0.2">
      <c r="K31" s="87"/>
      <c r="L31" s="88"/>
      <c r="M31" s="88"/>
      <c r="N31" s="88"/>
      <c r="O31" s="88"/>
      <c r="P31" s="88"/>
      <c r="Q31" s="88"/>
      <c r="R31" s="89"/>
    </row>
    <row r="32" spans="2:18" x14ac:dyDescent="0.2">
      <c r="K32" s="87"/>
      <c r="L32" s="88"/>
      <c r="M32" s="88"/>
      <c r="N32" s="88"/>
      <c r="O32" s="88"/>
      <c r="P32" s="88"/>
      <c r="Q32" s="88"/>
      <c r="R32" s="89"/>
    </row>
    <row r="33" spans="11:18" x14ac:dyDescent="0.2">
      <c r="K33" s="90"/>
      <c r="L33" s="91"/>
      <c r="M33" s="91"/>
      <c r="N33" s="91"/>
      <c r="O33" s="92"/>
      <c r="P33" s="92"/>
      <c r="Q33" s="93" t="s">
        <v>144</v>
      </c>
      <c r="R33" s="94"/>
    </row>
    <row r="34" spans="11:18" x14ac:dyDescent="0.2">
      <c r="K34" s="90"/>
      <c r="L34" s="91"/>
      <c r="M34" s="91"/>
      <c r="N34" s="91"/>
      <c r="O34" s="92"/>
      <c r="P34" s="92"/>
      <c r="Q34" s="93" t="s">
        <v>153</v>
      </c>
      <c r="R34" s="94"/>
    </row>
    <row r="35" spans="11:18" x14ac:dyDescent="0.2">
      <c r="K35" s="90"/>
      <c r="L35" s="91"/>
      <c r="M35" s="91"/>
      <c r="N35" s="91"/>
      <c r="O35" s="92"/>
      <c r="P35" s="92"/>
      <c r="Q35" s="93" t="s">
        <v>146</v>
      </c>
      <c r="R35" s="94"/>
    </row>
    <row r="36" spans="11:18" ht="20.100000000000001" customHeight="1" x14ac:dyDescent="0.2">
      <c r="K36" s="95" t="s">
        <v>154</v>
      </c>
      <c r="L36" s="96"/>
      <c r="M36" s="96"/>
      <c r="N36" s="96"/>
      <c r="O36" s="96"/>
      <c r="P36" s="96"/>
      <c r="Q36" s="96"/>
      <c r="R36" s="97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A563-693D-4E74-A930-6BC69912323A}">
  <dimension ref="A1:P26"/>
  <sheetViews>
    <sheetView showGridLines="0" workbookViewId="0"/>
  </sheetViews>
  <sheetFormatPr defaultColWidth="8.625" defaultRowHeight="13.5" x14ac:dyDescent="0.2"/>
  <cols>
    <col min="1" max="1" width="4.625" style="7" customWidth="1"/>
    <col min="2" max="2" width="10.875" style="7" customWidth="1"/>
    <col min="3" max="3" width="12.625" style="8" customWidth="1"/>
    <col min="4" max="4" width="18.875" style="8" customWidth="1"/>
    <col min="5" max="8" width="12.625" style="8" customWidth="1"/>
    <col min="9" max="9" width="4.625" style="7" customWidth="1"/>
    <col min="10" max="12" width="8.625" style="8"/>
    <col min="13" max="19" width="8.625" style="7"/>
    <col min="20" max="20" width="5.625" style="7" customWidth="1"/>
    <col min="21" max="16384" width="8.625" style="7"/>
  </cols>
  <sheetData>
    <row r="1" spans="1:16" x14ac:dyDescent="0.2">
      <c r="A1" s="60"/>
    </row>
    <row r="2" spans="1:16" ht="15" x14ac:dyDescent="0.2">
      <c r="B2" s="20" t="s">
        <v>155</v>
      </c>
    </row>
    <row r="3" spans="1:16" x14ac:dyDescent="0.2">
      <c r="B3" s="7" t="s">
        <v>156</v>
      </c>
    </row>
    <row r="5" spans="1:16" ht="18" customHeight="1" x14ac:dyDescent="0.2">
      <c r="B5" s="7" t="s">
        <v>157</v>
      </c>
    </row>
    <row r="6" spans="1:16" ht="27.95" customHeight="1" thickBot="1" x14ac:dyDescent="0.25">
      <c r="B6" s="7" t="s">
        <v>158</v>
      </c>
      <c r="C6" s="8" t="s">
        <v>163</v>
      </c>
      <c r="D6" s="98" t="s">
        <v>164</v>
      </c>
      <c r="E6" s="8" t="s">
        <v>165</v>
      </c>
      <c r="F6" s="8" t="s">
        <v>166</v>
      </c>
      <c r="G6" s="8" t="s">
        <v>167</v>
      </c>
      <c r="H6" s="8" t="s">
        <v>168</v>
      </c>
      <c r="J6" s="8" t="s">
        <v>170</v>
      </c>
      <c r="K6" s="8" t="s">
        <v>170</v>
      </c>
      <c r="L6" s="8" t="s">
        <v>21</v>
      </c>
      <c r="M6" s="8" t="s">
        <v>22</v>
      </c>
      <c r="N6" s="8" t="s">
        <v>171</v>
      </c>
      <c r="O6" s="8" t="s">
        <v>38</v>
      </c>
      <c r="P6" s="8" t="s">
        <v>172</v>
      </c>
    </row>
    <row r="7" spans="1:16" ht="15.95" customHeight="1" x14ac:dyDescent="0.2">
      <c r="B7" s="99" t="s">
        <v>159</v>
      </c>
      <c r="C7" s="100">
        <v>-2</v>
      </c>
      <c r="D7" s="100">
        <v>17</v>
      </c>
      <c r="E7" s="100">
        <v>-2</v>
      </c>
      <c r="F7" s="100">
        <v>-12</v>
      </c>
      <c r="G7" s="100">
        <v>0</v>
      </c>
      <c r="H7" s="100">
        <v>-1</v>
      </c>
      <c r="J7" s="104">
        <v>0</v>
      </c>
      <c r="K7" s="104">
        <v>1</v>
      </c>
      <c r="L7" s="104">
        <v>2</v>
      </c>
      <c r="M7" s="104">
        <v>3</v>
      </c>
      <c r="N7" s="104">
        <v>4</v>
      </c>
      <c r="O7" s="104">
        <v>5</v>
      </c>
      <c r="P7" s="104">
        <v>6</v>
      </c>
    </row>
    <row r="8" spans="1:16" ht="15.95" customHeight="1" x14ac:dyDescent="0.2">
      <c r="B8" s="48" t="s">
        <v>160</v>
      </c>
      <c r="C8" s="101">
        <v>3</v>
      </c>
      <c r="D8" s="101">
        <v>7</v>
      </c>
      <c r="E8" s="101">
        <v>3</v>
      </c>
      <c r="F8" s="101">
        <v>-3</v>
      </c>
      <c r="G8" s="101">
        <v>0</v>
      </c>
      <c r="H8" s="101">
        <v>-4</v>
      </c>
      <c r="J8" s="49">
        <v>0</v>
      </c>
      <c r="K8" s="49">
        <v>1</v>
      </c>
      <c r="L8" s="49">
        <v>2</v>
      </c>
      <c r="M8" s="49">
        <v>3</v>
      </c>
      <c r="N8" s="49">
        <v>4</v>
      </c>
      <c r="O8" s="49">
        <v>5</v>
      </c>
      <c r="P8" s="49">
        <v>6</v>
      </c>
    </row>
    <row r="9" spans="1:16" ht="15.95" customHeight="1" x14ac:dyDescent="0.2">
      <c r="B9" s="48" t="s">
        <v>161</v>
      </c>
      <c r="C9" s="101">
        <v>16.5</v>
      </c>
      <c r="D9" s="101">
        <v>4</v>
      </c>
      <c r="E9" s="101">
        <v>0</v>
      </c>
      <c r="F9" s="101">
        <v>0</v>
      </c>
      <c r="G9" s="101">
        <v>1</v>
      </c>
      <c r="H9" s="101">
        <v>-12</v>
      </c>
      <c r="J9" s="49">
        <v>0</v>
      </c>
      <c r="K9" s="49">
        <v>1</v>
      </c>
      <c r="L9" s="49">
        <v>2</v>
      </c>
      <c r="M9" s="49">
        <v>3</v>
      </c>
      <c r="N9" s="49">
        <v>4</v>
      </c>
      <c r="O9" s="49">
        <v>5</v>
      </c>
      <c r="P9" s="49">
        <v>6</v>
      </c>
    </row>
    <row r="10" spans="1:16" ht="15.95" customHeight="1" thickBot="1" x14ac:dyDescent="0.25">
      <c r="B10" s="102" t="s">
        <v>162</v>
      </c>
      <c r="C10" s="103">
        <v>28</v>
      </c>
      <c r="D10" s="103">
        <v>8</v>
      </c>
      <c r="E10" s="103">
        <v>2.5</v>
      </c>
      <c r="F10" s="103">
        <v>-1</v>
      </c>
      <c r="G10" s="103">
        <v>-13</v>
      </c>
      <c r="H10" s="103">
        <v>-17</v>
      </c>
      <c r="J10" s="105">
        <v>0</v>
      </c>
      <c r="K10" s="105">
        <v>1</v>
      </c>
      <c r="L10" s="105">
        <v>2</v>
      </c>
      <c r="M10" s="105">
        <v>3</v>
      </c>
      <c r="N10" s="105">
        <v>4</v>
      </c>
      <c r="O10" s="105">
        <v>5</v>
      </c>
      <c r="P10" s="105">
        <v>6</v>
      </c>
    </row>
    <row r="12" spans="1:16" ht="18" customHeight="1" x14ac:dyDescent="0.2">
      <c r="B12" s="7" t="s">
        <v>169</v>
      </c>
    </row>
    <row r="13" spans="1:16" ht="27.95" customHeight="1" thickBot="1" x14ac:dyDescent="0.25">
      <c r="B13" s="7" t="s">
        <v>158</v>
      </c>
      <c r="C13" s="8" t="s">
        <v>163</v>
      </c>
      <c r="D13" s="98" t="s">
        <v>164</v>
      </c>
      <c r="E13" s="8" t="s">
        <v>165</v>
      </c>
      <c r="F13" s="8" t="s">
        <v>166</v>
      </c>
      <c r="G13" s="8" t="s">
        <v>167</v>
      </c>
      <c r="H13" s="8" t="s">
        <v>168</v>
      </c>
    </row>
    <row r="14" spans="1:16" ht="15.95" customHeight="1" x14ac:dyDescent="0.2">
      <c r="B14" s="99" t="s">
        <v>159</v>
      </c>
      <c r="C14" s="106">
        <v>1.5</v>
      </c>
      <c r="D14" s="106">
        <v>0.9</v>
      </c>
      <c r="E14" s="106">
        <v>0.6</v>
      </c>
      <c r="F14" s="106">
        <v>0.9</v>
      </c>
      <c r="G14" s="106">
        <v>0.2</v>
      </c>
      <c r="H14" s="106">
        <v>0.1</v>
      </c>
    </row>
    <row r="15" spans="1:16" ht="15.95" customHeight="1" x14ac:dyDescent="0.2">
      <c r="B15" s="48" t="s">
        <v>160</v>
      </c>
      <c r="C15" s="107">
        <v>1.8</v>
      </c>
      <c r="D15" s="107">
        <v>0.5</v>
      </c>
      <c r="E15" s="107">
        <v>0.5</v>
      </c>
      <c r="F15" s="107">
        <v>1.1000000000000001</v>
      </c>
      <c r="G15" s="107">
        <v>0.25</v>
      </c>
      <c r="H15" s="107">
        <v>0.15</v>
      </c>
    </row>
    <row r="16" spans="1:16" ht="15.95" customHeight="1" x14ac:dyDescent="0.2">
      <c r="B16" s="48" t="s">
        <v>161</v>
      </c>
      <c r="C16" s="107">
        <v>3</v>
      </c>
      <c r="D16" s="107">
        <v>0.3</v>
      </c>
      <c r="E16" s="107">
        <v>0.4</v>
      </c>
      <c r="F16" s="107">
        <v>0.8</v>
      </c>
      <c r="G16" s="107">
        <v>0.3</v>
      </c>
      <c r="H16" s="107">
        <v>0.3</v>
      </c>
    </row>
    <row r="17" spans="2:8" ht="15.95" customHeight="1" thickBot="1" x14ac:dyDescent="0.25">
      <c r="B17" s="102" t="s">
        <v>162</v>
      </c>
      <c r="C17" s="108">
        <v>4</v>
      </c>
      <c r="D17" s="108">
        <v>0.3</v>
      </c>
      <c r="E17" s="108">
        <v>0.3</v>
      </c>
      <c r="F17" s="108">
        <v>0.7</v>
      </c>
      <c r="G17" s="108">
        <v>0.4</v>
      </c>
      <c r="H17" s="108">
        <v>0.7</v>
      </c>
    </row>
    <row r="19" spans="2:8" x14ac:dyDescent="0.2">
      <c r="F19" s="7" t="s">
        <v>173</v>
      </c>
    </row>
    <row r="20" spans="2:8" ht="14.25" thickBot="1" x14ac:dyDescent="0.25">
      <c r="F20" s="109" t="s">
        <v>174</v>
      </c>
      <c r="G20" s="109" t="s">
        <v>175</v>
      </c>
      <c r="H20" s="109" t="s">
        <v>182</v>
      </c>
    </row>
    <row r="21" spans="2:8" x14ac:dyDescent="0.2">
      <c r="E21" s="110" t="s">
        <v>176</v>
      </c>
      <c r="F21" s="110">
        <v>1</v>
      </c>
      <c r="G21" s="114">
        <v>28</v>
      </c>
      <c r="H21" s="114">
        <v>0.5</v>
      </c>
    </row>
    <row r="22" spans="2:8" ht="40.5" x14ac:dyDescent="0.2">
      <c r="E22" s="113" t="s">
        <v>181</v>
      </c>
      <c r="F22" s="111">
        <v>2</v>
      </c>
      <c r="G22" s="115">
        <v>17</v>
      </c>
      <c r="H22" s="115">
        <v>0.5</v>
      </c>
    </row>
    <row r="23" spans="2:8" x14ac:dyDescent="0.2">
      <c r="E23" s="111" t="s">
        <v>177</v>
      </c>
      <c r="F23" s="111">
        <v>3</v>
      </c>
      <c r="G23" s="115">
        <v>3</v>
      </c>
      <c r="H23" s="115">
        <v>0.5</v>
      </c>
    </row>
    <row r="24" spans="2:8" x14ac:dyDescent="0.2">
      <c r="E24" s="111" t="s">
        <v>178</v>
      </c>
      <c r="F24" s="111">
        <v>4</v>
      </c>
      <c r="G24" s="115">
        <v>0</v>
      </c>
      <c r="H24" s="115">
        <v>0.5</v>
      </c>
    </row>
    <row r="25" spans="2:8" x14ac:dyDescent="0.2">
      <c r="E25" s="111" t="s">
        <v>179</v>
      </c>
      <c r="F25" s="111">
        <v>5</v>
      </c>
      <c r="G25" s="115">
        <v>1</v>
      </c>
      <c r="H25" s="115">
        <v>0.5</v>
      </c>
    </row>
    <row r="26" spans="2:8" ht="14.25" thickBot="1" x14ac:dyDescent="0.25">
      <c r="E26" s="112" t="s">
        <v>180</v>
      </c>
      <c r="F26" s="112">
        <v>6</v>
      </c>
      <c r="G26" s="116">
        <v>-1</v>
      </c>
      <c r="H26" s="116">
        <v>0.5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图1</vt:lpstr>
      <vt:lpstr>图2</vt:lpstr>
      <vt:lpstr>图3</vt:lpstr>
      <vt:lpstr>图4</vt:lpstr>
      <vt:lpstr>图5</vt:lpstr>
      <vt:lpstr>图6</vt:lpstr>
      <vt:lpstr>图7</vt:lpstr>
      <vt:lpstr>图8</vt:lpstr>
      <vt:lpstr>图9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2018-01-21T09:56:10Z</dcterms:modified>
</cp:coreProperties>
</file>