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D:\2-输出\7-Monetizing\课件开发\KF013-Excel这样用，图表课程\T12-福利模板\第1波，福利模板\1-基础图表 10例\"/>
    </mc:Choice>
  </mc:AlternateContent>
  <xr:revisionPtr revIDLastSave="0" documentId="13_ncr:1_{70AE12C4-2EC2-4DE9-A104-86007AEF90B7}" xr6:coauthVersionLast="40" xr6:coauthVersionMax="40" xr10:uidLastSave="{00000000-0000-0000-0000-000000000000}"/>
  <bookViews>
    <workbookView xWindow="-108" yWindow="-108" windowWidth="23256" windowHeight="12720" xr2:uid="{00000000-000D-0000-FFFF-FFFF00000000}"/>
  </bookViews>
  <sheets>
    <sheet name="图12" sheetId="14" r:id="rId1"/>
    <sheet name="图13" sheetId="15" r:id="rId2"/>
    <sheet name="图14" sheetId="16" r:id="rId3"/>
    <sheet name="图15" sheetId="12" r:id="rId4"/>
    <sheet name="图16" sheetId="17" r:id="rId5"/>
  </sheets>
  <calcPr calcId="191029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8" i="17" l="1"/>
  <c r="H9" i="17" s="1"/>
  <c r="H10" i="17" s="1"/>
  <c r="H11" i="17" s="1"/>
  <c r="H6" i="17"/>
  <c r="H23" i="14" l="1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I7" i="12" l="1"/>
  <c r="I8" i="12"/>
  <c r="I9" i="12"/>
  <c r="I10" i="12"/>
  <c r="I11" i="12"/>
  <c r="I12" i="12"/>
  <c r="I13" i="12"/>
  <c r="I14" i="12"/>
  <c r="I15" i="12"/>
  <c r="I16" i="12"/>
  <c r="I17" i="12"/>
  <c r="I6" i="12"/>
</calcChain>
</file>

<file path=xl/sharedStrings.xml><?xml version="1.0" encoding="utf-8"?>
<sst xmlns="http://schemas.openxmlformats.org/spreadsheetml/2006/main" count="159" uniqueCount="93">
  <si>
    <t>作图数据</t>
    <phoneticPr fontId="1" type="noConversion"/>
  </si>
  <si>
    <t>helper1</t>
    <phoneticPr fontId="1" type="noConversion"/>
  </si>
  <si>
    <t>helper2</t>
    <phoneticPr fontId="1" type="noConversion"/>
  </si>
  <si>
    <t xml:space="preserve"> </t>
    <phoneticPr fontId="1" type="noConversion"/>
  </si>
  <si>
    <t>来自国外的在线流量占总流量的份额</t>
    <phoneticPr fontId="1" type="noConversion"/>
  </si>
  <si>
    <t>数字媒体正在吸引全世界的观众</t>
    <phoneticPr fontId="1" type="noConversion"/>
  </si>
  <si>
    <t>经济学人</t>
    <phoneticPr fontId="1" type="noConversion"/>
  </si>
  <si>
    <t>金融时报</t>
    <phoneticPr fontId="1" type="noConversion"/>
  </si>
  <si>
    <t>英国卫报</t>
    <phoneticPr fontId="1" type="noConversion"/>
  </si>
  <si>
    <t>雅虎体育</t>
    <phoneticPr fontId="1" type="noConversion"/>
  </si>
  <si>
    <t>BBC新闻</t>
    <phoneticPr fontId="1" type="noConversion"/>
  </si>
  <si>
    <t>时尚杂志</t>
    <phoneticPr fontId="1" type="noConversion"/>
  </si>
  <si>
    <t>Buzzfeed</t>
    <phoneticPr fontId="1" type="noConversion"/>
  </si>
  <si>
    <t>泰晤士报</t>
    <phoneticPr fontId="1" type="noConversion"/>
  </si>
  <si>
    <t>Netflix</t>
    <phoneticPr fontId="1" type="noConversion"/>
  </si>
  <si>
    <t>商业周刊</t>
    <phoneticPr fontId="1" type="noConversion"/>
  </si>
  <si>
    <t>华尔街日报</t>
    <phoneticPr fontId="1" type="noConversion"/>
  </si>
  <si>
    <t>纽约时报</t>
    <phoneticPr fontId="1" type="noConversion"/>
  </si>
  <si>
    <t>作图数据</t>
  </si>
  <si>
    <t>Females</t>
  </si>
  <si>
    <t>Younger than 5</t>
  </si>
  <si>
    <t>5 to 9</t>
  </si>
  <si>
    <t>10 to 14</t>
  </si>
  <si>
    <t>15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</si>
  <si>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</si>
  <si>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</si>
  <si>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</si>
  <si>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</si>
  <si>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</si>
  <si>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</si>
  <si>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</si>
  <si>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</si>
  <si>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</si>
  <si>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</si>
  <si>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</si>
  <si>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to 79</t>
  </si>
  <si>
    <t>80 to 84</t>
  </si>
  <si>
    <t>85 to 89</t>
  </si>
  <si>
    <t>90 and older</t>
  </si>
  <si>
    <t>2015年美国人中移民的年龄分布</t>
    <phoneticPr fontId="1" type="noConversion"/>
  </si>
  <si>
    <t>helper</t>
    <phoneticPr fontId="1" type="noConversion"/>
  </si>
  <si>
    <t>辅助</t>
    <phoneticPr fontId="1" type="noConversion"/>
  </si>
  <si>
    <t>原数据</t>
  </si>
  <si>
    <t>国家</t>
    <phoneticPr fontId="4" type="noConversion"/>
  </si>
  <si>
    <t>主要正面</t>
    <phoneticPr fontId="4" type="noConversion"/>
  </si>
  <si>
    <t>主要负面</t>
    <phoneticPr fontId="4" type="noConversion"/>
  </si>
  <si>
    <t>国家</t>
  </si>
  <si>
    <t>主要正面</t>
  </si>
  <si>
    <t>加拿大</t>
    <phoneticPr fontId="4" type="noConversion"/>
  </si>
  <si>
    <t>美国</t>
    <phoneticPr fontId="4" type="noConversion"/>
  </si>
  <si>
    <t>墨西哥</t>
    <phoneticPr fontId="4" type="noConversion"/>
  </si>
  <si>
    <t>秘鲁</t>
    <phoneticPr fontId="4" type="noConversion"/>
  </si>
  <si>
    <t>巴西</t>
    <phoneticPr fontId="4" type="noConversion"/>
  </si>
  <si>
    <t>英国</t>
    <phoneticPr fontId="4" type="noConversion"/>
  </si>
  <si>
    <t>希腊</t>
    <phoneticPr fontId="4" type="noConversion"/>
  </si>
  <si>
    <t>法国</t>
    <phoneticPr fontId="4" type="noConversion"/>
  </si>
  <si>
    <t>德国</t>
    <phoneticPr fontId="4" type="noConversion"/>
  </si>
  <si>
    <t>西班牙</t>
    <phoneticPr fontId="4" type="noConversion"/>
  </si>
  <si>
    <t>俄罗斯</t>
    <phoneticPr fontId="4" type="noConversion"/>
  </si>
  <si>
    <t>土耳其</t>
    <phoneticPr fontId="4" type="noConversion"/>
  </si>
  <si>
    <t>尼日利亚</t>
    <phoneticPr fontId="4" type="noConversion"/>
  </si>
  <si>
    <t>肯尼亚</t>
    <phoneticPr fontId="4" type="noConversion"/>
  </si>
  <si>
    <t>中国</t>
    <phoneticPr fontId="4" type="noConversion"/>
  </si>
  <si>
    <t>巴基斯坦</t>
    <phoneticPr fontId="4" type="noConversion"/>
  </si>
  <si>
    <t>澳大利亚</t>
    <phoneticPr fontId="4" type="noConversion"/>
  </si>
  <si>
    <t>印度尼西亚</t>
    <phoneticPr fontId="4" type="noConversion"/>
  </si>
  <si>
    <t>印度</t>
    <phoneticPr fontId="4" type="noConversion"/>
  </si>
  <si>
    <t>全球平均（中国除外）</t>
    <phoneticPr fontId="4" type="noConversion"/>
  </si>
  <si>
    <t>全球平均(中国除外)</t>
  </si>
  <si>
    <t>辅助列</t>
    <phoneticPr fontId="1" type="noConversion"/>
  </si>
  <si>
    <t>列1</t>
  </si>
  <si>
    <t xml:space="preserve"> </t>
    <phoneticPr fontId="1" type="noConversion"/>
  </si>
  <si>
    <t xml:space="preserve">  </t>
    <phoneticPr fontId="1" type="noConversion"/>
  </si>
  <si>
    <t>0.3</t>
  </si>
  <si>
    <t>0.32</t>
  </si>
  <si>
    <t>2013年10月</t>
  </si>
  <si>
    <t>2015年10月</t>
  </si>
  <si>
    <t>越南的人口增长</t>
    <phoneticPr fontId="1" type="noConversion"/>
  </si>
  <si>
    <t>按收入阶层划分，单位：百万</t>
    <phoneticPr fontId="1" type="noConversion"/>
  </si>
  <si>
    <t>2006</t>
    <phoneticPr fontId="1" type="noConversion"/>
  </si>
  <si>
    <t>贫困</t>
    <phoneticPr fontId="1" type="noConversion"/>
  </si>
  <si>
    <t>低收入</t>
    <phoneticPr fontId="1" type="noConversion"/>
  </si>
  <si>
    <t>中低收入</t>
    <phoneticPr fontId="1" type="noConversion"/>
  </si>
  <si>
    <t>中等收入</t>
    <phoneticPr fontId="1" type="noConversion"/>
  </si>
  <si>
    <t>中高收入</t>
    <phoneticPr fontId="1" type="noConversion"/>
  </si>
  <si>
    <t>高收入</t>
    <phoneticPr fontId="1" type="noConversion"/>
  </si>
  <si>
    <t>人口</t>
    <phoneticPr fontId="1" type="noConversion"/>
  </si>
  <si>
    <t>起始序列</t>
    <phoneticPr fontId="1" type="noConversion"/>
  </si>
  <si>
    <t>结束序列</t>
    <phoneticPr fontId="1" type="noConversion"/>
  </si>
  <si>
    <t>2016</t>
    <phoneticPr fontId="1" type="noConversion"/>
  </si>
  <si>
    <t>正值</t>
    <phoneticPr fontId="1" type="noConversion"/>
  </si>
  <si>
    <t>负值</t>
    <phoneticPr fontId="1" type="noConversion"/>
  </si>
  <si>
    <t>Males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</si>
</sst>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 x14ac:knownFonts="1"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华文细黑"/>
      <family val="3"/>
      <charset val="134"/>
    </font>
    <font>
      <sz val="9"/>
      <name val="华文细黑"/>
      <family val="2"/>
      <charset val="134"/>
      <scheme val="minor"/>
    </font>
    <font>
      <sz val="10"/>
      <color theme="1"/>
      <name val="华文细黑"/>
      <family val="3"/>
      <charset val="134"/>
    </font>
    <font>
      <sz val="10"/>
      <color theme="1" tint="0.14999847407452621"/>
      <name val="微软雅黑"/>
      <family val="2"/>
      <charset val="134"/>
    </font>
    <font>
      <sz val="9"/>
      <color theme="1" tint="0.14999847407452621"/>
      <name val="微软雅黑"/>
      <family val="2"/>
      <charset val="134"/>
    </font>
    <font>
      <sz val="11"/>
      <color theme="1"/>
      <name val="华文细黑"/>
      <family val="3"/>
      <charset val="134"/>
    </font>
    <font>
      <sz val="11"/>
      <color theme="1" tint="0.14999847407452621"/>
      <name val="华文细黑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57" fontId="0" fillId="0" borderId="0" xfId="0" applyNumberForma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8" fillId="0" borderId="0" xfId="0" applyFont="1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right" vertical="center"/>
    </xf>
  </cellXfs>
  <cellStyles count="1">
    <cellStyle name="常规" xfId="0" builtinId="0"/>
  </cellStyles>
  <dxfs count="21"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76" formatCode="0.0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AA8E1"/>
      <color rgb="FF98DBF6"/>
      <color rgb="FF99D7DB"/>
      <color rgb="FF66CEF5"/>
      <color rgb="FF00AD4C"/>
      <color rgb="FFBC1E24"/>
      <color rgb="FFC9CABB"/>
      <color rgb="FF2EC0E3"/>
      <color rgb="FF849EA8"/>
      <color rgb="FF527C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j-ea"/>
                <a:ea typeface="+mj-ea"/>
                <a:cs typeface="+mn-cs"/>
              </a:defRPr>
            </a:pPr>
            <a:r>
              <a:rPr lang="zh-CN" altLang="en-US" sz="1200">
                <a:solidFill>
                  <a:schemeClr val="tx1">
                    <a:lumMod val="95000"/>
                    <a:lumOff val="5000"/>
                  </a:schemeClr>
                </a:solidFill>
                <a:latin typeface="+mj-ea"/>
                <a:ea typeface="+mj-ea"/>
              </a:rPr>
              <a:t>全球部分国家对中国影响力的看法</a:t>
            </a:r>
            <a:endParaRPr lang="en-US" altLang="zh-CN" sz="1200">
              <a:solidFill>
                <a:schemeClr val="tx1">
                  <a:lumMod val="95000"/>
                  <a:lumOff val="5000"/>
                </a:schemeClr>
              </a:solidFill>
              <a:latin typeface="+mj-ea"/>
              <a:ea typeface="+mj-ea"/>
            </a:endParaRPr>
          </a:p>
          <a:p>
            <a:pPr algn="l"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j-ea"/>
                <a:ea typeface="+mj-ea"/>
                <a:cs typeface="+mn-cs"/>
              </a:defRPr>
            </a:pPr>
            <a:r>
              <a:rPr lang="en-US" altLang="zh-CN" sz="1050">
                <a:solidFill>
                  <a:schemeClr val="tx1">
                    <a:lumMod val="95000"/>
                    <a:lumOff val="5000"/>
                  </a:schemeClr>
                </a:solidFill>
                <a:latin typeface="+mn-ea"/>
                <a:ea typeface="+mn-ea"/>
              </a:rPr>
              <a:t>%,</a:t>
            </a:r>
            <a:r>
              <a:rPr lang="zh-CN" altLang="en-US" sz="1050">
                <a:solidFill>
                  <a:schemeClr val="tx1">
                    <a:lumMod val="95000"/>
                    <a:lumOff val="5000"/>
                  </a:schemeClr>
                </a:solidFill>
                <a:latin typeface="+mn-ea"/>
                <a:ea typeface="+mn-ea"/>
              </a:rPr>
              <a:t>正面负面基本持平</a:t>
            </a:r>
            <a:endParaRPr lang="en-US" altLang="zh-CN" sz="1050">
              <a:solidFill>
                <a:schemeClr val="tx1">
                  <a:lumMod val="95000"/>
                  <a:lumOff val="5000"/>
                </a:schemeClr>
              </a:solidFill>
              <a:latin typeface="+mn-ea"/>
              <a:ea typeface="+mn-ea"/>
            </a:endParaRPr>
          </a:p>
        </c:rich>
      </c:tx>
      <c:layout>
        <c:manualLayout>
          <c:xMode val="edge"/>
          <c:yMode val="edge"/>
          <c:x val="7.6837270341207362E-3"/>
          <c:y val="1.458188512952734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639909594634005"/>
          <c:y val="0.13010435493316147"/>
          <c:w val="0.7042180664916885"/>
          <c:h val="0.8017918546698517"/>
        </c:manualLayout>
      </c:layout>
      <c:barChart>
        <c:barDir val="bar"/>
        <c:grouping val="stacked"/>
        <c:varyColors val="0"/>
        <c:ser>
          <c:idx val="0"/>
          <c:order val="0"/>
          <c:tx>
            <c:v>辅助列2</c:v>
          </c:tx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val>
            <c:numLit>
              <c:formatCode>General</c:formatCode>
              <c:ptCount val="2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41A-41B5-91C8-8999A054FBA2}"/>
            </c:ext>
          </c:extLst>
        </c:ser>
        <c:ser>
          <c:idx val="1"/>
          <c:order val="1"/>
          <c:tx>
            <c:v>主要正面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0547900262467189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1A-41B5-91C8-8999A054FBA2}"/>
                </c:ext>
              </c:extLst>
            </c:dLbl>
            <c:dLbl>
              <c:idx val="1"/>
              <c:layout>
                <c:manualLayout>
                  <c:x val="2.51006124234470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1A-41B5-91C8-8999A054FBA2}"/>
                </c:ext>
              </c:extLst>
            </c:dLbl>
            <c:dLbl>
              <c:idx val="2"/>
              <c:layout>
                <c:manualLayout>
                  <c:x val="0.10308453630796151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1A-41B5-91C8-8999A054FBA2}"/>
                </c:ext>
              </c:extLst>
            </c:dLbl>
            <c:dLbl>
              <c:idx val="3"/>
              <c:layout>
                <c:manualLayout>
                  <c:x val="8.8905657626130064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1A-41B5-91C8-8999A054FBA2}"/>
                </c:ext>
              </c:extLst>
            </c:dLbl>
            <c:dLbl>
              <c:idx val="4"/>
              <c:layout>
                <c:manualLayout>
                  <c:x val="7.9453011081948091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1A-41B5-91C8-8999A054FBA2}"/>
                </c:ext>
              </c:extLst>
            </c:dLbl>
            <c:dLbl>
              <c:idx val="5"/>
              <c:layout>
                <c:manualLayout>
                  <c:x val="6.0547900262467189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1A-41B5-91C8-8999A054FBA2}"/>
                </c:ext>
              </c:extLst>
            </c:dLbl>
            <c:dLbl>
              <c:idx val="6"/>
              <c:layout>
                <c:manualLayout>
                  <c:x val="6.0547900262467189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1A-41B5-91C8-8999A054FBA2}"/>
                </c:ext>
              </c:extLst>
            </c:dLbl>
            <c:dLbl>
              <c:idx val="7"/>
              <c:layout>
                <c:manualLayout>
                  <c:x val="5.58216681248177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1A-41B5-91C8-8999A054FBA2}"/>
                </c:ext>
              </c:extLst>
            </c:dLbl>
            <c:dLbl>
              <c:idx val="8"/>
              <c:layout>
                <c:manualLayout>
                  <c:x val="2.037419801691455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41A-41B5-91C8-8999A054FBA2}"/>
                </c:ext>
              </c:extLst>
            </c:dLbl>
            <c:dLbl>
              <c:idx val="9"/>
              <c:layout>
                <c:manualLayout>
                  <c:x val="8.5586176727909004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41A-41B5-91C8-8999A054FBA2}"/>
                </c:ext>
              </c:extLst>
            </c:dLbl>
            <c:dLbl>
              <c:idx val="10"/>
              <c:layout>
                <c:manualLayout>
                  <c:x val="7.708989501312335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41A-41B5-91C8-8999A054FBA2}"/>
                </c:ext>
              </c:extLst>
            </c:dLbl>
            <c:dLbl>
              <c:idx val="11"/>
              <c:layout>
                <c:manualLayout>
                  <c:x val="4.164278944298629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41A-41B5-91C8-8999A054FBA2}"/>
                </c:ext>
              </c:extLst>
            </c:dLbl>
            <c:dLbl>
              <c:idx val="12"/>
              <c:layout>
                <c:manualLayout>
                  <c:x val="0.1692526975794692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41A-41B5-91C8-8999A054FBA2}"/>
                </c:ext>
              </c:extLst>
            </c:dLbl>
            <c:dLbl>
              <c:idx val="13"/>
              <c:layout>
                <c:manualLayout>
                  <c:x val="0.12198982939632545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41A-41B5-91C8-8999A054FBA2}"/>
                </c:ext>
              </c:extLst>
            </c:dLbl>
            <c:dLbl>
              <c:idx val="14"/>
              <c:layout>
                <c:manualLayout>
                  <c:x val="0.18106846019247594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41A-41B5-91C8-8999A054FBA2}"/>
                </c:ext>
              </c:extLst>
            </c:dLbl>
            <c:dLbl>
              <c:idx val="15"/>
              <c:layout>
                <c:manualLayout>
                  <c:x val="0.12198982939632545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41A-41B5-91C8-8999A054FBA2}"/>
                </c:ext>
              </c:extLst>
            </c:dLbl>
            <c:dLbl>
              <c:idx val="16"/>
              <c:layout>
                <c:manualLayout>
                  <c:x val="8.181630941965588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41A-41B5-91C8-8999A054FBA2}"/>
                </c:ext>
              </c:extLst>
            </c:dLbl>
            <c:dLbl>
              <c:idx val="17"/>
              <c:layout>
                <c:manualLayout>
                  <c:x val="3.927949110527850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41A-41B5-91C8-8999A054FBA2}"/>
                </c:ext>
              </c:extLst>
            </c:dLbl>
            <c:dLbl>
              <c:idx val="18"/>
              <c:layout>
                <c:manualLayout>
                  <c:x val="1.80112642169728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41A-41B5-91C8-8999A054FBA2}"/>
                </c:ext>
              </c:extLst>
            </c:dLbl>
            <c:dLbl>
              <c:idx val="19"/>
              <c:layout>
                <c:manualLayout>
                  <c:x val="7.000054680664917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41A-41B5-91C8-8999A054FB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20"/>
              <c:pt idx="0">
                <c:v>加拿大</c:v>
              </c:pt>
              <c:pt idx="1">
                <c:v>美国</c:v>
              </c:pt>
              <c:pt idx="2">
                <c:v>墨西哥</c:v>
              </c:pt>
              <c:pt idx="3">
                <c:v>秘鲁</c:v>
              </c:pt>
              <c:pt idx="4">
                <c:v>巴西</c:v>
              </c:pt>
              <c:pt idx="5">
                <c:v>英国</c:v>
              </c:pt>
              <c:pt idx="6">
                <c:v>希腊</c:v>
              </c:pt>
              <c:pt idx="7">
                <c:v>法国</c:v>
              </c:pt>
              <c:pt idx="8">
                <c:v>德国</c:v>
              </c:pt>
              <c:pt idx="9">
                <c:v>西班牙</c:v>
              </c:pt>
              <c:pt idx="10">
                <c:v>俄罗斯</c:v>
              </c:pt>
              <c:pt idx="11">
                <c:v>土耳其</c:v>
              </c:pt>
              <c:pt idx="12">
                <c:v>尼日利亚</c:v>
              </c:pt>
              <c:pt idx="13">
                <c:v>肯尼亚</c:v>
              </c:pt>
              <c:pt idx="14">
                <c:v>中国</c:v>
              </c:pt>
              <c:pt idx="15">
                <c:v>巴基斯坦</c:v>
              </c:pt>
              <c:pt idx="16">
                <c:v>澳大利亚</c:v>
              </c:pt>
              <c:pt idx="17">
                <c:v>印度尼西亚</c:v>
              </c:pt>
              <c:pt idx="18">
                <c:v>印度</c:v>
              </c:pt>
              <c:pt idx="19">
                <c:v>全球平均(中国除外)</c:v>
              </c:pt>
            </c:strLit>
          </c:cat>
          <c:val>
            <c:numLit>
              <c:formatCode>General</c:formatCode>
              <c:ptCount val="20"/>
              <c:pt idx="0">
                <c:v>37</c:v>
              </c:pt>
              <c:pt idx="1">
                <c:v>22</c:v>
              </c:pt>
              <c:pt idx="2">
                <c:v>55</c:v>
              </c:pt>
              <c:pt idx="3">
                <c:v>49</c:v>
              </c:pt>
              <c:pt idx="4">
                <c:v>45</c:v>
              </c:pt>
              <c:pt idx="5">
                <c:v>37</c:v>
              </c:pt>
              <c:pt idx="6">
                <c:v>37</c:v>
              </c:pt>
              <c:pt idx="7">
                <c:v>35</c:v>
              </c:pt>
              <c:pt idx="8">
                <c:v>20</c:v>
              </c:pt>
              <c:pt idx="9">
                <c:v>15</c:v>
              </c:pt>
              <c:pt idx="10">
                <c:v>44</c:v>
              </c:pt>
              <c:pt idx="11">
                <c:v>29</c:v>
              </c:pt>
              <c:pt idx="12">
                <c:v>83</c:v>
              </c:pt>
              <c:pt idx="13">
                <c:v>63</c:v>
              </c:pt>
              <c:pt idx="14">
                <c:v>88</c:v>
              </c:pt>
              <c:pt idx="15">
                <c:v>63</c:v>
              </c:pt>
              <c:pt idx="16">
                <c:v>46</c:v>
              </c:pt>
              <c:pt idx="17">
                <c:v>28</c:v>
              </c:pt>
              <c:pt idx="18">
                <c:v>19</c:v>
              </c:pt>
              <c:pt idx="19">
                <c:v>41</c:v>
              </c:pt>
            </c:numLit>
          </c:val>
          <c:extLst>
            <c:ext xmlns:c16="http://schemas.microsoft.com/office/drawing/2014/chart" uri="{C3380CC4-5D6E-409C-BE32-E72D297353CC}">
              <c16:uniqueId val="{00000015-441A-41B5-91C8-8999A054FBA2}"/>
            </c:ext>
          </c:extLst>
        </c:ser>
        <c:ser>
          <c:idx val="2"/>
          <c:order val="2"/>
          <c:tx>
            <c:v>辅助列1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加拿大</c:v>
              </c:pt>
              <c:pt idx="1">
                <c:v>美国</c:v>
              </c:pt>
              <c:pt idx="2">
                <c:v>墨西哥</c:v>
              </c:pt>
              <c:pt idx="3">
                <c:v>秘鲁</c:v>
              </c:pt>
              <c:pt idx="4">
                <c:v>巴西</c:v>
              </c:pt>
              <c:pt idx="5">
                <c:v>英国</c:v>
              </c:pt>
              <c:pt idx="6">
                <c:v>希腊</c:v>
              </c:pt>
              <c:pt idx="7">
                <c:v>法国</c:v>
              </c:pt>
              <c:pt idx="8">
                <c:v>德国</c:v>
              </c:pt>
              <c:pt idx="9">
                <c:v>西班牙</c:v>
              </c:pt>
              <c:pt idx="10">
                <c:v>俄罗斯</c:v>
              </c:pt>
              <c:pt idx="11">
                <c:v>土耳其</c:v>
              </c:pt>
              <c:pt idx="12">
                <c:v>尼日利亚</c:v>
              </c:pt>
              <c:pt idx="13">
                <c:v>肯尼亚</c:v>
              </c:pt>
              <c:pt idx="14">
                <c:v>中国</c:v>
              </c:pt>
              <c:pt idx="15">
                <c:v>巴基斯坦</c:v>
              </c:pt>
              <c:pt idx="16">
                <c:v>澳大利亚</c:v>
              </c:pt>
              <c:pt idx="17">
                <c:v>印度尼西亚</c:v>
              </c:pt>
              <c:pt idx="18">
                <c:v>印度</c:v>
              </c:pt>
              <c:pt idx="19">
                <c:v>全球平均(中国除外)</c:v>
              </c:pt>
            </c:strLit>
          </c:cat>
          <c:val>
            <c:numLit>
              <c:formatCode>General</c:formatCode>
              <c:ptCount val="20"/>
              <c:pt idx="0">
                <c:v>62</c:v>
              </c:pt>
              <c:pt idx="1">
                <c:v>58</c:v>
              </c:pt>
              <c:pt idx="2">
                <c:v>69</c:v>
              </c:pt>
              <c:pt idx="3">
                <c:v>67</c:v>
              </c:pt>
              <c:pt idx="4">
                <c:v>67</c:v>
              </c:pt>
              <c:pt idx="5">
                <c:v>55</c:v>
              </c:pt>
              <c:pt idx="6">
                <c:v>88</c:v>
              </c:pt>
              <c:pt idx="7">
                <c:v>55</c:v>
              </c:pt>
              <c:pt idx="8">
                <c:v>95</c:v>
              </c:pt>
              <c:pt idx="9">
                <c:v>67</c:v>
              </c:pt>
              <c:pt idx="10">
                <c:v>83</c:v>
              </c:pt>
              <c:pt idx="11">
                <c:v>67</c:v>
              </c:pt>
              <c:pt idx="12">
                <c:v>58</c:v>
              </c:pt>
              <c:pt idx="13">
                <c:v>60</c:v>
              </c:pt>
              <c:pt idx="14">
                <c:v>52</c:v>
              </c:pt>
              <c:pt idx="15">
                <c:v>75</c:v>
              </c:pt>
              <c:pt idx="16">
                <c:v>57</c:v>
              </c:pt>
              <c:pt idx="17">
                <c:v>72</c:v>
              </c:pt>
              <c:pt idx="18">
                <c:v>71</c:v>
              </c:pt>
              <c:pt idx="19">
                <c:v>67</c:v>
              </c:pt>
            </c:numLit>
          </c:val>
          <c:extLst>
            <c:ext xmlns:c16="http://schemas.microsoft.com/office/drawing/2014/chart" uri="{C3380CC4-5D6E-409C-BE32-E72D297353CC}">
              <c16:uniqueId val="{00000016-441A-41B5-91C8-8999A054FBA2}"/>
            </c:ext>
          </c:extLst>
        </c:ser>
        <c:ser>
          <c:idx val="3"/>
          <c:order val="3"/>
          <c:tx>
            <c:v>主要负面</c:v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0"/>
              <c:pt idx="0">
                <c:v>加拿大</c:v>
              </c:pt>
              <c:pt idx="1">
                <c:v>美国</c:v>
              </c:pt>
              <c:pt idx="2">
                <c:v>墨西哥</c:v>
              </c:pt>
              <c:pt idx="3">
                <c:v>秘鲁</c:v>
              </c:pt>
              <c:pt idx="4">
                <c:v>巴西</c:v>
              </c:pt>
              <c:pt idx="5">
                <c:v>英国</c:v>
              </c:pt>
              <c:pt idx="6">
                <c:v>希腊</c:v>
              </c:pt>
              <c:pt idx="7">
                <c:v>法国</c:v>
              </c:pt>
              <c:pt idx="8">
                <c:v>德国</c:v>
              </c:pt>
              <c:pt idx="9">
                <c:v>西班牙</c:v>
              </c:pt>
              <c:pt idx="10">
                <c:v>俄罗斯</c:v>
              </c:pt>
              <c:pt idx="11">
                <c:v>土耳其</c:v>
              </c:pt>
              <c:pt idx="12">
                <c:v>尼日利亚</c:v>
              </c:pt>
              <c:pt idx="13">
                <c:v>肯尼亚</c:v>
              </c:pt>
              <c:pt idx="14">
                <c:v>中国</c:v>
              </c:pt>
              <c:pt idx="15">
                <c:v>巴基斯坦</c:v>
              </c:pt>
              <c:pt idx="16">
                <c:v>澳大利亚</c:v>
              </c:pt>
              <c:pt idx="17">
                <c:v>印度尼西亚</c:v>
              </c:pt>
              <c:pt idx="18">
                <c:v>印度</c:v>
              </c:pt>
              <c:pt idx="19">
                <c:v>全球平均(中国除外)</c:v>
              </c:pt>
            </c:strLit>
          </c:cat>
          <c:val>
            <c:numLit>
              <c:formatCode>General</c:formatCode>
              <c:ptCount val="20"/>
              <c:pt idx="0">
                <c:v>51</c:v>
              </c:pt>
              <c:pt idx="1">
                <c:v>70</c:v>
              </c:pt>
              <c:pt idx="2">
                <c:v>26</c:v>
              </c:pt>
              <c:pt idx="3">
                <c:v>34</c:v>
              </c:pt>
              <c:pt idx="4">
                <c:v>38</c:v>
              </c:pt>
              <c:pt idx="5">
                <c:v>58</c:v>
              </c:pt>
              <c:pt idx="6">
                <c:v>25</c:v>
              </c:pt>
              <c:pt idx="7">
                <c:v>60</c:v>
              </c:pt>
              <c:pt idx="8">
                <c:v>35</c:v>
              </c:pt>
              <c:pt idx="9">
                <c:v>68</c:v>
              </c:pt>
              <c:pt idx="10">
                <c:v>23</c:v>
              </c:pt>
              <c:pt idx="11">
                <c:v>54</c:v>
              </c:pt>
              <c:pt idx="12">
                <c:v>9</c:v>
              </c:pt>
              <c:pt idx="13">
                <c:v>27</c:v>
              </c:pt>
              <c:pt idx="14">
                <c:v>10</c:v>
              </c:pt>
              <c:pt idx="15">
                <c:v>12</c:v>
              </c:pt>
              <c:pt idx="16">
                <c:v>47</c:v>
              </c:pt>
              <c:pt idx="17">
                <c:v>50</c:v>
              </c:pt>
              <c:pt idx="18">
                <c:v>60</c:v>
              </c:pt>
              <c:pt idx="19">
                <c:v>42</c:v>
              </c:pt>
            </c:numLit>
          </c:val>
          <c:extLst>
            <c:ext xmlns:c16="http://schemas.microsoft.com/office/drawing/2014/chart" uri="{C3380CC4-5D6E-409C-BE32-E72D297353CC}">
              <c16:uniqueId val="{00000017-441A-41B5-91C8-8999A054F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595035648"/>
        <c:axId val="595037568"/>
      </c:barChart>
      <c:catAx>
        <c:axId val="595035648"/>
        <c:scaling>
          <c:orientation val="maxMin"/>
        </c:scaling>
        <c:delete val="0"/>
        <c:axPos val="l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华文细黑" panose="02010600040101010101" pitchFamily="2" charset="-122"/>
                    <a:ea typeface="华文细黑" panose="02010600040101010101" pitchFamily="2" charset="-122"/>
                    <a:cs typeface="+mn-cs"/>
                  </a:defRPr>
                </a:pPr>
                <a:r>
                  <a:rPr lang="zh-CN" altLang="en-US">
                    <a:solidFill>
                      <a:schemeClr val="bg1"/>
                    </a:solidFill>
                    <a:latin typeface="华文细黑" panose="02010600040101010101" pitchFamily="2" charset="-122"/>
                    <a:ea typeface="华文细黑" panose="02010600040101010101" pitchFamily="2" charset="-122"/>
                  </a:rPr>
                  <a:t>主要正面</a:t>
                </a:r>
                <a:endParaRPr lang="en-US" altLang="zh-CN">
                  <a:solidFill>
                    <a:schemeClr val="bg1"/>
                  </a:solidFill>
                  <a:latin typeface="华文细黑" panose="02010600040101010101" pitchFamily="2" charset="-122"/>
                  <a:ea typeface="华文细黑" panose="02010600040101010101" pitchFamily="2" charset="-122"/>
                </a:endParaRPr>
              </a:p>
            </c:rich>
          </c:tx>
          <c:layout>
            <c:manualLayout>
              <c:xMode val="edge"/>
              <c:yMode val="edge"/>
              <c:x val="0.24639909594634005"/>
              <c:y val="8.772285486786062E-2"/>
            </c:manualLayout>
          </c:layout>
          <c:overlay val="0"/>
          <c:spPr>
            <a:solidFill>
              <a:schemeClr val="accent2"/>
            </a:solidFill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华文细黑" panose="02010600040101010101" pitchFamily="2" charset="-122"/>
                <a:ea typeface="华文细黑" panose="02010600040101010101" pitchFamily="2" charset="-122"/>
                <a:cs typeface="+mn-cs"/>
              </a:defRPr>
            </a:pPr>
            <a:endParaRPr lang="zh-CN"/>
          </a:p>
        </c:txPr>
        <c:crossAx val="595037568"/>
        <c:crosses val="autoZero"/>
        <c:auto val="1"/>
        <c:lblAlgn val="ctr"/>
        <c:lblOffset val="100"/>
        <c:noMultiLvlLbl val="0"/>
      </c:catAx>
      <c:valAx>
        <c:axId val="595037568"/>
        <c:scaling>
          <c:orientation val="minMax"/>
          <c:max val="150"/>
          <c:min val="1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华文细黑" panose="02010600040101010101" pitchFamily="2" charset="-122"/>
                    <a:ea typeface="华文细黑" panose="02010600040101010101" pitchFamily="2" charset="-122"/>
                    <a:cs typeface="+mn-cs"/>
                  </a:defRPr>
                </a:pPr>
                <a:r>
                  <a:rPr lang="zh-CN" altLang="en-US">
                    <a:solidFill>
                      <a:schemeClr val="bg1"/>
                    </a:solidFill>
                    <a:latin typeface="华文细黑" panose="02010600040101010101" pitchFamily="2" charset="-122"/>
                    <a:ea typeface="华文细黑" panose="02010600040101010101" pitchFamily="2" charset="-122"/>
                  </a:rPr>
                  <a:t>主要负面</a:t>
                </a:r>
              </a:p>
            </c:rich>
          </c:tx>
          <c:layout>
            <c:manualLayout>
              <c:xMode val="edge"/>
              <c:yMode val="edge"/>
              <c:x val="0.83085773458005252"/>
              <c:y val="8.6382460619388868E-2"/>
            </c:manualLayout>
          </c:layout>
          <c:overlay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503564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"Age and gender distributions for nativity groups: 2015"</c:f>
          <c:strCache>
            <c:ptCount val="1"/>
            <c:pt idx="0">
              <c:v>Age and gender distributions for nativity groups: 2015</c:v>
            </c:pt>
          </c:strCache>
        </c:strRef>
      </c:tx>
      <c:layout>
        <c:manualLayout>
          <c:xMode val="edge"/>
          <c:yMode val="edge"/>
          <c:x val="1.3256607020366922E-2"/>
          <c:y val="3.44285031137463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l"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2318275102420766"/>
          <c:y val="0.17958109075757761"/>
          <c:w val="0.65986571383313608"/>
          <c:h val="0.7245944756078122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strLit>
              <c:ptCount val="19"/>
              <c:pt idx="0">
                <c:v>Younger than 5</c:v>
              </c:pt>
              <c:pt idx="1">
                <c:v>5 to 9</c:v>
              </c:pt>
              <c:pt idx="2">
                <c:v>10 to 14</c:v>
              </c:pt>
              <c:pt idx="3">
                <c:v>15 to 19</c:v>
              </c:pt>
              <c:pt idx="4">
                <c:v>20 to 24</c:v>
              </c:pt>
              <c:pt idx="5">
                <c:v>25 to 29</c:v>
              </c:pt>
              <c:pt idx="6">
                <c:v>30 to 34</c:v>
              </c:pt>
              <c:pt idx="7">
                <c:v>35 to 39</c:v>
              </c:pt>
              <c:pt idx="8">
                <c:v>40 to 44</c:v>
              </c:pt>
              <c:pt idx="9">
                <c:v>45 to 49</c:v>
              </c:pt>
              <c:pt idx="10">
                <c:v>50 to 54</c:v>
              </c:pt>
              <c:pt idx="11">
                <c:v>55 to 59</c:v>
              </c:pt>
              <c:pt idx="12">
                <c:v>60 to 64</c:v>
              </c:pt>
              <c:pt idx="13">
                <c:v>65 to 69</c:v>
              </c:pt>
              <c:pt idx="14">
                <c:v>70 to 74</c:v>
              </c:pt>
              <c:pt idx="15">
                <c:v>75 to 79</c:v>
              </c:pt>
              <c:pt idx="16">
                <c:v>80 to 84</c:v>
              </c:pt>
              <c:pt idx="17">
                <c:v>85 to 89</c:v>
              </c:pt>
              <c:pt idx="18">
                <c:v>90 and older</c:v>
              </c:pt>
            </c:strLit>
          </c:cat>
          <c:val>
            <c:numLit>
              <c:formatCode>General</c:formatCode>
              <c:ptCount val="19"/>
              <c:pt idx="0">
                <c:v>0.3</c:v>
              </c:pt>
              <c:pt idx="1">
                <c:v>0.6</c:v>
              </c:pt>
              <c:pt idx="2">
                <c:v>1</c:v>
              </c:pt>
              <c:pt idx="3">
                <c:v>1.7</c:v>
              </c:pt>
              <c:pt idx="4">
                <c:v>2.6</c:v>
              </c:pt>
              <c:pt idx="5">
                <c:v>3.9</c:v>
              </c:pt>
              <c:pt idx="6">
                <c:v>4.8</c:v>
              </c:pt>
              <c:pt idx="7">
                <c:v>5.4</c:v>
              </c:pt>
              <c:pt idx="8">
                <c:v>5.6</c:v>
              </c:pt>
              <c:pt idx="9">
                <c:v>5.0999999999999996</c:v>
              </c:pt>
              <c:pt idx="10">
                <c:v>4.5999999999999996</c:v>
              </c:pt>
              <c:pt idx="11">
                <c:v>3.9</c:v>
              </c:pt>
              <c:pt idx="12">
                <c:v>3.4</c:v>
              </c:pt>
              <c:pt idx="13">
                <c:v>2.7</c:v>
              </c:pt>
              <c:pt idx="14">
                <c:v>2</c:v>
              </c:pt>
              <c:pt idx="15">
                <c:v>1.6</c:v>
              </c:pt>
              <c:pt idx="16">
                <c:v>1.1000000000000001</c:v>
              </c:pt>
              <c:pt idx="17">
                <c:v>0.7</c:v>
              </c:pt>
              <c:pt idx="18">
                <c:v>0.5</c:v>
              </c:pt>
            </c:numLit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19E-40F1-B910-EDB9BA7AC622}"/>
            </c:ext>
          </c:extLst>
        </c:ser>
        <c:ser>
          <c:idx val="1"/>
          <c:order val="1"/>
          <c:spPr>
            <a:solidFill>
              <a:schemeClr val="accent3"/>
            </a:solidFill>
            <a:ln w="3175">
              <a:solidFill>
                <a:schemeClr val="bg1">
                  <a:lumMod val="75000"/>
                </a:schemeClr>
              </a:solidFill>
            </a:ln>
            <a:effectLst/>
          </c:spPr>
          <c:invertIfNegative val="0"/>
          <c:cat>
            <c:strLit>
              <c:ptCount val="19"/>
              <c:pt idx="0">
                <c:v>Younger than 5</c:v>
              </c:pt>
              <c:pt idx="1">
                <c:v>5 to 9</c:v>
              </c:pt>
              <c:pt idx="2">
                <c:v>10 to 14</c:v>
              </c:pt>
              <c:pt idx="3">
                <c:v>15 to 19</c:v>
              </c:pt>
              <c:pt idx="4">
                <c:v>20 to 24</c:v>
              </c:pt>
              <c:pt idx="5">
                <c:v>25 to 29</c:v>
              </c:pt>
              <c:pt idx="6">
                <c:v>30 to 34</c:v>
              </c:pt>
              <c:pt idx="7">
                <c:v>35 to 39</c:v>
              </c:pt>
              <c:pt idx="8">
                <c:v>40 to 44</c:v>
              </c:pt>
              <c:pt idx="9">
                <c:v>45 to 49</c:v>
              </c:pt>
              <c:pt idx="10">
                <c:v>50 to 54</c:v>
              </c:pt>
              <c:pt idx="11">
                <c:v>55 to 59</c:v>
              </c:pt>
              <c:pt idx="12">
                <c:v>60 to 64</c:v>
              </c:pt>
              <c:pt idx="13">
                <c:v>65 to 69</c:v>
              </c:pt>
              <c:pt idx="14">
                <c:v>70 to 74</c:v>
              </c:pt>
              <c:pt idx="15">
                <c:v>75 to 79</c:v>
              </c:pt>
              <c:pt idx="16">
                <c:v>80 to 84</c:v>
              </c:pt>
              <c:pt idx="17">
                <c:v>85 to 89</c:v>
              </c:pt>
              <c:pt idx="18">
                <c:v>90 and older</c:v>
              </c:pt>
            </c:strLit>
          </c:cat>
          <c:val>
            <c:numLit>
              <c:formatCode>General</c:formatCode>
              <c:ptCount val="19"/>
              <c:pt idx="0">
                <c:v>-0.3</c:v>
              </c:pt>
              <c:pt idx="1">
                <c:v>-0.6</c:v>
              </c:pt>
              <c:pt idx="2">
                <c:v>-1</c:v>
              </c:pt>
              <c:pt idx="3">
                <c:v>-1.8</c:v>
              </c:pt>
              <c:pt idx="4">
                <c:v>-2.9</c:v>
              </c:pt>
              <c:pt idx="5">
                <c:v>-4.0999999999999996</c:v>
              </c:pt>
              <c:pt idx="6">
                <c:v>-5</c:v>
              </c:pt>
              <c:pt idx="7">
                <c:v>-5.3</c:v>
              </c:pt>
              <c:pt idx="8">
                <c:v>-5.4</c:v>
              </c:pt>
              <c:pt idx="9">
                <c:v>-4.9000000000000004</c:v>
              </c:pt>
              <c:pt idx="10">
                <c:v>-4.5</c:v>
              </c:pt>
              <c:pt idx="11">
                <c:v>-3.7</c:v>
              </c:pt>
              <c:pt idx="12">
                <c:v>-2.9</c:v>
              </c:pt>
              <c:pt idx="13">
                <c:v>-2.2999999999999998</c:v>
              </c:pt>
              <c:pt idx="14">
                <c:v>-1.5</c:v>
              </c:pt>
              <c:pt idx="15">
                <c:v>-1.1000000000000001</c:v>
              </c:pt>
              <c:pt idx="16">
                <c:v>-0.7</c:v>
              </c:pt>
              <c:pt idx="17">
                <c:v>-0.4</c:v>
              </c:pt>
              <c:pt idx="18">
                <c:v>-0.2</c:v>
              </c:pt>
            </c:numLit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19E-40F1-B910-EDB9BA7AC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678436584"/>
        <c:axId val="678436912"/>
      </c:barChart>
      <c:scatterChart>
        <c:scatterStyle val="lineMarker"/>
        <c:varyColors val="0"/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5C51B094-7141-405B-B2FA-007DFC17A37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19E-40F1-B910-EDB9BA7AC62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B7C4C67-067B-45E3-B740-C0163CF7063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19E-40F1-B910-EDB9BA7AC6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-6</c:v>
              </c:pt>
              <c:pt idx="1">
                <c:v>6</c:v>
              </c:pt>
            </c:numLit>
          </c:xVal>
          <c:yVal>
            <c:numLit>
              <c:formatCode>General</c:formatCode>
              <c:ptCount val="2"/>
              <c:pt idx="0">
                <c:v>17.5</c:v>
              </c:pt>
              <c:pt idx="1">
                <c:v>17.5</c:v>
              </c:pt>
            </c:numLit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5="http://schemas.microsoft.com/office/drawing/2012/chart" uri="{02D57815-91ED-43cb-92C2-25804820EDAC}">
              <c15:datalabelsRange>
                <c15:f>{"Males","Famales"}</c15:f>
                <c15:dlblRangeCache>
                  <c:ptCount val="2"/>
                  <c:pt idx="0">
                    <c:v>Males</c:v>
                  </c:pt>
                  <c:pt idx="1">
                    <c:v>Famales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B19E-40F1-B910-EDB9BA7AC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356072"/>
        <c:axId val="942346888"/>
      </c:scatterChart>
      <c:catAx>
        <c:axId val="678436584"/>
        <c:scaling>
          <c:orientation val="minMax"/>
        </c:scaling>
        <c:delete val="0"/>
        <c:axPos val="l"/>
        <c:title>
          <c:tx>
            <c:strRef>
              <c:f>" Age (years)                "</c:f>
              <c:strCache>
                <c:ptCount val="1"/>
                <c:pt idx="0">
                  <c:v> Age (years)                </c:v>
                </c:pt>
              </c:strCache>
            </c:strRef>
          </c:tx>
          <c:layout>
            <c:manualLayout>
              <c:xMode val="edge"/>
              <c:yMode val="edge"/>
              <c:x val="3.9879725817290143E-2"/>
              <c:y val="0.13336680398307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ITC Officina Sans Std Book" panose="020B0506040203020204" pitchFamily="34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78436912"/>
        <c:crosses val="autoZero"/>
        <c:auto val="1"/>
        <c:lblAlgn val="ctr"/>
        <c:lblOffset val="100"/>
        <c:noMultiLvlLbl val="0"/>
      </c:catAx>
      <c:valAx>
        <c:axId val="678436912"/>
        <c:scaling>
          <c:orientation val="minMax"/>
          <c:max val="10"/>
          <c:min val="-1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strRef>
              <c:f>" Foreign Born"</c:f>
              <c:strCache>
                <c:ptCount val="1"/>
                <c:pt idx="0">
                  <c:v> Foreign Born</c:v>
                </c:pt>
              </c:strCache>
            </c:strRef>
          </c:tx>
          <c:layout>
            <c:manualLayout>
              <c:xMode val="edge"/>
              <c:yMode val="edge"/>
              <c:x val="0.44212101525478015"/>
              <c:y val="0.135310794501415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ITC Officina Sans Std Book" panose="020B0506040203020204" pitchFamily="34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0;0;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78436584"/>
        <c:crosses val="autoZero"/>
        <c:crossBetween val="between"/>
        <c:majorUnit val="2"/>
      </c:valAx>
      <c:valAx>
        <c:axId val="942346888"/>
        <c:scaling>
          <c:orientation val="minMax"/>
          <c:max val="19"/>
          <c:min val="0"/>
        </c:scaling>
        <c:delete val="1"/>
        <c:axPos val="r"/>
        <c:numFmt formatCode="General" sourceLinked="1"/>
        <c:majorTickMark val="out"/>
        <c:minorTickMark val="none"/>
        <c:tickLblPos val="none"/>
        <c:crossAx val="942356072"/>
        <c:crosses val="max"/>
        <c:crossBetween val="midCat"/>
      </c:valAx>
      <c:valAx>
        <c:axId val="942356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2346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050" b="0" i="0" u="none" strike="noStrike" kern="1200" spc="0" baseline="0">
                <a:solidFill>
                  <a:schemeClr val="tx1"/>
                </a:solidFill>
                <a:latin typeface="思源宋体 CN Light" panose="02020300000000000000" pitchFamily="18" charset="-122"/>
                <a:ea typeface="思源宋体 CN Light" panose="02020300000000000000" pitchFamily="18" charset="-122"/>
                <a:cs typeface="+mn-cs"/>
              </a:defRPr>
            </a:pPr>
            <a:r>
              <a:rPr lang="zh-CN" altLang="en-US" sz="1050">
                <a:solidFill>
                  <a:schemeClr val="tx1"/>
                </a:solidFill>
                <a:latin typeface="思源宋体 CN Light" panose="02020300000000000000" pitchFamily="18" charset="-122"/>
                <a:ea typeface="思源宋体 CN Light" panose="02020300000000000000" pitchFamily="18" charset="-122"/>
              </a:rPr>
              <a:t>数字媒体正在吸引全世界的观众</a:t>
            </a:r>
            <a:endParaRPr lang="en-US" altLang="zh-CN" sz="1050">
              <a:solidFill>
                <a:schemeClr val="tx1"/>
              </a:solidFill>
              <a:latin typeface="思源宋体 CN Light" panose="02020300000000000000" pitchFamily="18" charset="-122"/>
              <a:ea typeface="思源宋体 CN Light" panose="02020300000000000000" pitchFamily="18" charset="-122"/>
            </a:endParaRPr>
          </a:p>
          <a:p>
            <a:pPr algn="l">
              <a:defRPr sz="1050">
                <a:solidFill>
                  <a:schemeClr val="tx1"/>
                </a:solidFill>
                <a:latin typeface="思源宋体 CN Light" panose="02020300000000000000" pitchFamily="18" charset="-122"/>
                <a:ea typeface="思源宋体 CN Light" panose="02020300000000000000" pitchFamily="18" charset="-122"/>
              </a:defRPr>
            </a:pPr>
            <a:r>
              <a:rPr lang="zh-CN" altLang="en-US" sz="1050">
                <a:solidFill>
                  <a:schemeClr val="tx1"/>
                </a:solidFill>
                <a:latin typeface="思源宋体 CN Light" panose="02020300000000000000" pitchFamily="18" charset="-122"/>
                <a:ea typeface="思源宋体 CN Light" panose="02020300000000000000" pitchFamily="18" charset="-122"/>
              </a:rPr>
              <a:t>来自国外的在线流量占总流量的份额</a:t>
            </a:r>
          </a:p>
        </c:rich>
      </c:tx>
      <c:layout>
        <c:manualLayout>
          <c:xMode val="edge"/>
          <c:yMode val="edge"/>
          <c:x val="1.6402116402116401E-2"/>
          <c:y val="2.526315231094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050" b="0" i="0" u="none" strike="noStrike" kern="1200" spc="0" baseline="0">
              <a:solidFill>
                <a:schemeClr val="tx1"/>
              </a:solidFill>
              <a:latin typeface="思源宋体 CN Light" panose="02020300000000000000" pitchFamily="18" charset="-122"/>
              <a:ea typeface="思源宋体 CN Light" panose="02020300000000000000" pitchFamily="18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455555555555557"/>
          <c:y val="0.17446811841688115"/>
          <c:w val="0.80488888888888888"/>
          <c:h val="0.7566096245776063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图15!$G$5</c:f>
              <c:strCache>
                <c:ptCount val="1"/>
                <c:pt idx="0">
                  <c:v>helper1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2592592592592587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B4-48F6-989B-33675821E75E}"/>
                </c:ext>
              </c:extLst>
            </c:dLbl>
            <c:dLbl>
              <c:idx val="1"/>
              <c:layout>
                <c:manualLayout>
                  <c:x val="-9.2592592592592587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B4-48F6-989B-33675821E75E}"/>
                </c:ext>
              </c:extLst>
            </c:dLbl>
            <c:dLbl>
              <c:idx val="2"/>
              <c:layout>
                <c:manualLayout>
                  <c:x val="-9.2592592592592587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B4-48F6-989B-33675821E75E}"/>
                </c:ext>
              </c:extLst>
            </c:dLbl>
            <c:dLbl>
              <c:idx val="3"/>
              <c:layout>
                <c:manualLayout>
                  <c:x val="-9.2592592592592587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B4-48F6-989B-33675821E75E}"/>
                </c:ext>
              </c:extLst>
            </c:dLbl>
            <c:dLbl>
              <c:idx val="4"/>
              <c:layout>
                <c:manualLayout>
                  <c:x val="-9.2367620714077406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DB4-48F6-989B-33675821E75E}"/>
                </c:ext>
              </c:extLst>
            </c:dLbl>
            <c:dLbl>
              <c:idx val="5"/>
              <c:layout>
                <c:manualLayout>
                  <c:x val="-9.2592592592592587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B4-48F6-989B-33675821E75E}"/>
                </c:ext>
              </c:extLst>
            </c:dLbl>
            <c:dLbl>
              <c:idx val="6"/>
              <c:layout>
                <c:manualLayout>
                  <c:x val="-8.812815064783569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B4-48F6-989B-33675821E75E}"/>
                </c:ext>
              </c:extLst>
            </c:dLbl>
            <c:dLbl>
              <c:idx val="7"/>
              <c:layout>
                <c:manualLayout>
                  <c:x val="-9.2592592592592587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B4-48F6-989B-33675821E75E}"/>
                </c:ext>
              </c:extLst>
            </c:dLbl>
            <c:dLbl>
              <c:idx val="8"/>
              <c:layout>
                <c:manualLayout>
                  <c:x val="-0.1011838103570387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B4-48F6-989B-33675821E75E}"/>
                </c:ext>
              </c:extLst>
            </c:dLbl>
            <c:dLbl>
              <c:idx val="9"/>
              <c:layout>
                <c:manualLayout>
                  <c:x val="-9.2592592592592587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B4-48F6-989B-33675821E75E}"/>
                </c:ext>
              </c:extLst>
            </c:dLbl>
            <c:dLbl>
              <c:idx val="10"/>
              <c:layout>
                <c:manualLayout>
                  <c:x val="-8.0687830687830683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DB4-48F6-989B-33675821E75E}"/>
                </c:ext>
              </c:extLst>
            </c:dLbl>
            <c:dLbl>
              <c:idx val="11"/>
              <c:layout>
                <c:manualLayout>
                  <c:x val="-9.2592592592592587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DB4-48F6-989B-33675821E7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思源宋体 CN Light" panose="02020300000000000000" pitchFamily="18" charset="-122"/>
                    <a:ea typeface="思源宋体 CN Light" panose="02020300000000000000" pitchFamily="18" charset="-122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图15!$F$6:$F$17</c:f>
              <c:strCache>
                <c:ptCount val="12"/>
                <c:pt idx="0">
                  <c:v>经济学人</c:v>
                </c:pt>
                <c:pt idx="1">
                  <c:v>金融时报</c:v>
                </c:pt>
                <c:pt idx="2">
                  <c:v>英国卫报</c:v>
                </c:pt>
                <c:pt idx="3">
                  <c:v>雅虎体育</c:v>
                </c:pt>
                <c:pt idx="4">
                  <c:v>BBC新闻</c:v>
                </c:pt>
                <c:pt idx="5">
                  <c:v>时尚杂志</c:v>
                </c:pt>
                <c:pt idx="6">
                  <c:v>Buzzfeed</c:v>
                </c:pt>
                <c:pt idx="7">
                  <c:v>泰晤士报</c:v>
                </c:pt>
                <c:pt idx="8">
                  <c:v>Netflix</c:v>
                </c:pt>
                <c:pt idx="9">
                  <c:v>商业周刊</c:v>
                </c:pt>
                <c:pt idx="10">
                  <c:v>华尔街日报</c:v>
                </c:pt>
                <c:pt idx="11">
                  <c:v>纽约时报</c:v>
                </c:pt>
              </c:strCache>
            </c:strRef>
          </c:cat>
          <c:val>
            <c:numRef>
              <c:f>图15!$G$6:$G$17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4-48F6-989B-33675821E75E}"/>
            </c:ext>
          </c:extLst>
        </c:ser>
        <c:ser>
          <c:idx val="1"/>
          <c:order val="1"/>
          <c:tx>
            <c:strRef>
              <c:f>图15!$H$5</c:f>
              <c:strCache>
                <c:ptCount val="1"/>
                <c:pt idx="0">
                  <c:v>2013年10月</c:v>
                </c:pt>
              </c:strCache>
            </c:strRef>
          </c:tx>
          <c:spPr>
            <a:solidFill>
              <a:srgbClr val="98DBF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图15!$F$6:$F$17</c:f>
              <c:strCache>
                <c:ptCount val="12"/>
                <c:pt idx="0">
                  <c:v>经济学人</c:v>
                </c:pt>
                <c:pt idx="1">
                  <c:v>金融时报</c:v>
                </c:pt>
                <c:pt idx="2">
                  <c:v>英国卫报</c:v>
                </c:pt>
                <c:pt idx="3">
                  <c:v>雅虎体育</c:v>
                </c:pt>
                <c:pt idx="4">
                  <c:v>BBC新闻</c:v>
                </c:pt>
                <c:pt idx="5">
                  <c:v>时尚杂志</c:v>
                </c:pt>
                <c:pt idx="6">
                  <c:v>Buzzfeed</c:v>
                </c:pt>
                <c:pt idx="7">
                  <c:v>泰晤士报</c:v>
                </c:pt>
                <c:pt idx="8">
                  <c:v>Netflix</c:v>
                </c:pt>
                <c:pt idx="9">
                  <c:v>商业周刊</c:v>
                </c:pt>
                <c:pt idx="10">
                  <c:v>华尔街日报</c:v>
                </c:pt>
                <c:pt idx="11">
                  <c:v>纽约时报</c:v>
                </c:pt>
              </c:strCache>
            </c:strRef>
          </c:cat>
          <c:val>
            <c:numRef>
              <c:f>图15!$H$6:$H$17</c:f>
              <c:numCache>
                <c:formatCode>General</c:formatCode>
                <c:ptCount val="12"/>
                <c:pt idx="0">
                  <c:v>91</c:v>
                </c:pt>
                <c:pt idx="1">
                  <c:v>77</c:v>
                </c:pt>
                <c:pt idx="2">
                  <c:v>73</c:v>
                </c:pt>
                <c:pt idx="3">
                  <c:v>27</c:v>
                </c:pt>
                <c:pt idx="4">
                  <c:v>40</c:v>
                </c:pt>
                <c:pt idx="5">
                  <c:v>27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24</c:v>
                </c:pt>
                <c:pt idx="10">
                  <c:v>21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B4-48F6-989B-33675821E75E}"/>
            </c:ext>
          </c:extLst>
        </c:ser>
        <c:ser>
          <c:idx val="2"/>
          <c:order val="2"/>
          <c:tx>
            <c:strRef>
              <c:f>图15!$I$5</c:f>
              <c:strCache>
                <c:ptCount val="1"/>
                <c:pt idx="0">
                  <c:v>2015年10月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DB4-48F6-989B-33675821E75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ADB4-48F6-989B-33675821E75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DB4-48F6-989B-33675821E75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ADB4-48F6-989B-33675821E75E}"/>
              </c:ext>
            </c:extLst>
          </c:dPt>
          <c:cat>
            <c:strRef>
              <c:f>图15!$F$6:$F$17</c:f>
              <c:strCache>
                <c:ptCount val="12"/>
                <c:pt idx="0">
                  <c:v>经济学人</c:v>
                </c:pt>
                <c:pt idx="1">
                  <c:v>金融时报</c:v>
                </c:pt>
                <c:pt idx="2">
                  <c:v>英国卫报</c:v>
                </c:pt>
                <c:pt idx="3">
                  <c:v>雅虎体育</c:v>
                </c:pt>
                <c:pt idx="4">
                  <c:v>BBC新闻</c:v>
                </c:pt>
                <c:pt idx="5">
                  <c:v>时尚杂志</c:v>
                </c:pt>
                <c:pt idx="6">
                  <c:v>Buzzfeed</c:v>
                </c:pt>
                <c:pt idx="7">
                  <c:v>泰晤士报</c:v>
                </c:pt>
                <c:pt idx="8">
                  <c:v>Netflix</c:v>
                </c:pt>
                <c:pt idx="9">
                  <c:v>商业周刊</c:v>
                </c:pt>
                <c:pt idx="10">
                  <c:v>华尔街日报</c:v>
                </c:pt>
                <c:pt idx="11">
                  <c:v>纽约时报</c:v>
                </c:pt>
              </c:strCache>
            </c:strRef>
          </c:cat>
          <c:val>
            <c:numRef>
              <c:f>图15!$I$6:$I$17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34</c:v>
                </c:pt>
                <c:pt idx="4">
                  <c:v>20</c:v>
                </c:pt>
                <c:pt idx="5">
                  <c:v>29</c:v>
                </c:pt>
                <c:pt idx="6">
                  <c:v>21</c:v>
                </c:pt>
                <c:pt idx="7">
                  <c:v>17</c:v>
                </c:pt>
                <c:pt idx="8">
                  <c:v>19</c:v>
                </c:pt>
                <c:pt idx="9">
                  <c:v>15</c:v>
                </c:pt>
                <c:pt idx="10">
                  <c:v>12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B4-48F6-989B-33675821E75E}"/>
            </c:ext>
          </c:extLst>
        </c:ser>
        <c:ser>
          <c:idx val="3"/>
          <c:order val="3"/>
          <c:tx>
            <c:strRef>
              <c:f>图15!$J$5</c:f>
              <c:strCache>
                <c:ptCount val="1"/>
                <c:pt idx="0">
                  <c:v>helper2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8806C2B-9DA2-44D7-897C-130811029C7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ADB4-48F6-989B-33675821E7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A13B442-6CFC-4D67-9810-F8E072132A5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DB4-48F6-989B-33675821E7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576F6B1-0394-474E-9AC4-5D1DDDE95D9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DB4-48F6-989B-33675821E75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DBC09F1-3798-47EA-9AB2-B014CE0C066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DB4-48F6-989B-33675821E75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5254433-D0BD-4FA9-8433-032B7706335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DB4-48F6-989B-33675821E75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44F9E01-24CF-4D00-AFA8-58CE40C9166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DB4-48F6-989B-33675821E75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2AD4654-3DD0-42A4-BC3D-D4757C25F18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DB4-48F6-989B-33675821E75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5E80609-8450-45CC-8CA8-58F01124982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DB4-48F6-989B-33675821E75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379C669-3624-41A2-BC24-A7DE7D9AD4A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DB4-48F6-989B-33675821E75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154162E-19AD-44C0-966A-DA5315059B7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DB4-48F6-989B-33675821E75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27F14C0-1224-4C22-800B-23358C166B7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DB4-48F6-989B-33675821E75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9919053-A5BC-403E-A5C2-E9653C4D1E1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DB4-48F6-989B-33675821E7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图15!$F$6:$F$17</c:f>
              <c:strCache>
                <c:ptCount val="12"/>
                <c:pt idx="0">
                  <c:v>经济学人</c:v>
                </c:pt>
                <c:pt idx="1">
                  <c:v>金融时报</c:v>
                </c:pt>
                <c:pt idx="2">
                  <c:v>英国卫报</c:v>
                </c:pt>
                <c:pt idx="3">
                  <c:v>雅虎体育</c:v>
                </c:pt>
                <c:pt idx="4">
                  <c:v>BBC新闻</c:v>
                </c:pt>
                <c:pt idx="5">
                  <c:v>时尚杂志</c:v>
                </c:pt>
                <c:pt idx="6">
                  <c:v>Buzzfeed</c:v>
                </c:pt>
                <c:pt idx="7">
                  <c:v>泰晤士报</c:v>
                </c:pt>
                <c:pt idx="8">
                  <c:v>Netflix</c:v>
                </c:pt>
                <c:pt idx="9">
                  <c:v>商业周刊</c:v>
                </c:pt>
                <c:pt idx="10">
                  <c:v>华尔街日报</c:v>
                </c:pt>
                <c:pt idx="11">
                  <c:v>纽约时报</c:v>
                </c:pt>
              </c:strCache>
            </c:strRef>
          </c:cat>
          <c:val>
            <c:numRef>
              <c:f>图15!$J$6:$J$17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图15!$D$6:$D$17</c15:f>
                <c15:dlblRangeCache>
                  <c:ptCount val="12"/>
                  <c:pt idx="0">
                    <c:v>92</c:v>
                  </c:pt>
                  <c:pt idx="1">
                    <c:v>78</c:v>
                  </c:pt>
                  <c:pt idx="2">
                    <c:v>75</c:v>
                  </c:pt>
                  <c:pt idx="3">
                    <c:v>61</c:v>
                  </c:pt>
                  <c:pt idx="4">
                    <c:v>60</c:v>
                  </c:pt>
                  <c:pt idx="5">
                    <c:v>56</c:v>
                  </c:pt>
                  <c:pt idx="6">
                    <c:v>50</c:v>
                  </c:pt>
                  <c:pt idx="7">
                    <c:v>41</c:v>
                  </c:pt>
                  <c:pt idx="8">
                    <c:v>41</c:v>
                  </c:pt>
                  <c:pt idx="9">
                    <c:v>39</c:v>
                  </c:pt>
                  <c:pt idx="10">
                    <c:v>33</c:v>
                  </c:pt>
                  <c:pt idx="11">
                    <c:v>25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ADB4-48F6-989B-33675821E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753837232"/>
        <c:axId val="753839856"/>
      </c:barChart>
      <c:catAx>
        <c:axId val="753837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839856"/>
        <c:crosses val="autoZero"/>
        <c:auto val="1"/>
        <c:lblAlgn val="ctr"/>
        <c:lblOffset val="100"/>
        <c:noMultiLvlLbl val="0"/>
      </c:catAx>
      <c:valAx>
        <c:axId val="75383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837232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5141644794400702"/>
          <c:y val="0.12197372632159661"/>
          <c:w val="0.37765966754155733"/>
          <c:h val="4.3825491073244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ITC Officina Sans Std Book" panose="020B0506040203020204" pitchFamily="34" charset="0"/>
              <a:ea typeface="思源宋体 CN Light" panose="02020300000000000000" pitchFamily="18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ITC Officina Sans Std Book" panose="020B0506040203020204" pitchFamily="34" charset="0"/>
                <a:ea typeface="+mn-ea"/>
                <a:cs typeface="Vrinda" panose="020B0502040204020203" pitchFamily="34" charset="0"/>
              </a:defRPr>
            </a:pPr>
            <a:r>
              <a:rPr lang="zh-CN" altLang="en-US" sz="1200">
                <a:solidFill>
                  <a:schemeClr val="tx1">
                    <a:lumMod val="95000"/>
                    <a:lumOff val="5000"/>
                  </a:schemeClr>
                </a:solidFill>
                <a:latin typeface="ITC Officina Sans Std Book" panose="020B0506040203020204" pitchFamily="34" charset="0"/>
                <a:cs typeface="Vrinda" panose="020B0502040204020203" pitchFamily="34" charset="0"/>
              </a:rPr>
              <a:t>越南的人口增长</a:t>
            </a:r>
            <a:endParaRPr lang="en-US" altLang="zh-CN" sz="1200">
              <a:solidFill>
                <a:schemeClr val="tx1">
                  <a:lumMod val="95000"/>
                  <a:lumOff val="5000"/>
                </a:schemeClr>
              </a:solidFill>
              <a:latin typeface="ITC Officina Sans Std Book" panose="020B0506040203020204" pitchFamily="34" charset="0"/>
              <a:cs typeface="Vrinda" panose="020B0502040204020203" pitchFamily="34" charset="0"/>
            </a:endParaRPr>
          </a:p>
          <a:p>
            <a:pPr algn="l">
              <a:defRPr sz="1200">
                <a:solidFill>
                  <a:schemeClr val="tx1">
                    <a:lumMod val="95000"/>
                    <a:lumOff val="5000"/>
                  </a:schemeClr>
                </a:solidFill>
                <a:latin typeface="ITC Officina Sans Std Book" panose="020B0506040203020204" pitchFamily="34" charset="0"/>
                <a:cs typeface="Vrinda" panose="020B0502040204020203" pitchFamily="34" charset="0"/>
              </a:defRPr>
            </a:pPr>
            <a:r>
              <a:rPr lang="zh-CN" altLang="en-US" sz="1050">
                <a:solidFill>
                  <a:schemeClr val="tx1">
                    <a:lumMod val="95000"/>
                    <a:lumOff val="5000"/>
                  </a:schemeClr>
                </a:solidFill>
                <a:latin typeface="ITC Officina Sans Std Book" panose="020B0506040203020204" pitchFamily="34" charset="0"/>
                <a:cs typeface="Vrinda" panose="020B0502040204020203" pitchFamily="34" charset="0"/>
              </a:rPr>
              <a:t>按收入阶层划分，</a:t>
            </a:r>
            <a:r>
              <a:rPr lang="en-US" altLang="zh-CN" sz="1050">
                <a:solidFill>
                  <a:schemeClr val="tx1">
                    <a:lumMod val="95000"/>
                    <a:lumOff val="5000"/>
                  </a:schemeClr>
                </a:solidFill>
                <a:latin typeface="ITC Officina Sans Std Book" panose="020B0506040203020204" pitchFamily="34" charset="0"/>
                <a:cs typeface="Vrinda" panose="020B0502040204020203" pitchFamily="34" charset="0"/>
              </a:rPr>
              <a:t>2006-2016</a:t>
            </a:r>
            <a:r>
              <a:rPr lang="zh-CN" altLang="en-US" sz="1050">
                <a:solidFill>
                  <a:schemeClr val="tx1">
                    <a:lumMod val="95000"/>
                    <a:lumOff val="5000"/>
                  </a:schemeClr>
                </a:solidFill>
                <a:latin typeface="ITC Officina Sans Std Book" panose="020B0506040203020204" pitchFamily="34" charset="0"/>
                <a:cs typeface="Vrinda" panose="020B0502040204020203" pitchFamily="34" charset="0"/>
              </a:rPr>
              <a:t>年，单位：百万人口</a:t>
            </a:r>
          </a:p>
        </c:rich>
      </c:tx>
      <c:layout>
        <c:manualLayout>
          <c:xMode val="edge"/>
          <c:yMode val="edge"/>
          <c:x val="1.3888888888888888E-2"/>
          <c:y val="2.53364940775945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ITC Officina Sans Std Book" panose="020B0506040203020204" pitchFamily="34" charset="0"/>
              <a:ea typeface="+mn-ea"/>
              <a:cs typeface="Vrinda" panose="020B0502040204020203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324074074074073"/>
          <c:y val="0.172161227882313"/>
          <c:w val="0.83046296296296296"/>
          <c:h val="0.71943224308271314"/>
        </c:manualLayout>
      </c:layout>
      <c:barChart>
        <c:barDir val="bar"/>
        <c:grouping val="stacked"/>
        <c:varyColors val="0"/>
        <c:ser>
          <c:idx val="5"/>
          <c:order val="0"/>
          <c:tx>
            <c:strRef>
              <c:f>图16!$F$4</c:f>
              <c:strCache>
                <c:ptCount val="1"/>
                <c:pt idx="0">
                  <c:v>helper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7.5601851851851851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3E-401F-AAB1-043535A08978}"/>
                </c:ext>
              </c:extLst>
            </c:dLbl>
            <c:dLbl>
              <c:idx val="1"/>
              <c:layout>
                <c:manualLayout>
                  <c:x val="-7.8703703703703706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3E-401F-AAB1-043535A08978}"/>
                </c:ext>
              </c:extLst>
            </c:dLbl>
            <c:dLbl>
              <c:idx val="2"/>
              <c:layout>
                <c:manualLayout>
                  <c:x val="-6.7129629629629636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3E-401F-AAB1-043535A08978}"/>
                </c:ext>
              </c:extLst>
            </c:dLbl>
            <c:dLbl>
              <c:idx val="3"/>
              <c:layout>
                <c:manualLayout>
                  <c:x val="-5.5555555555555552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3E-401F-AAB1-043535A08978}"/>
                </c:ext>
              </c:extLst>
            </c:dLbl>
            <c:dLbl>
              <c:idx val="4"/>
              <c:layout>
                <c:manualLayout>
                  <c:x val="-5.5555555555555552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3E-401F-AAB1-043535A08978}"/>
                </c:ext>
              </c:extLst>
            </c:dLbl>
            <c:dLbl>
              <c:idx val="5"/>
              <c:layout>
                <c:manualLayout>
                  <c:x val="-5.5555555555555552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3E-401F-AAB1-043535A08978}"/>
                </c:ext>
              </c:extLst>
            </c:dLbl>
            <c:dLbl>
              <c:idx val="6"/>
              <c:layout>
                <c:manualLayout>
                  <c:x val="-6.7129629629629636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3E-401F-AAB1-043535A08978}"/>
                </c:ext>
              </c:extLst>
            </c:dLbl>
            <c:dLbl>
              <c:idx val="7"/>
              <c:layout>
                <c:manualLayout>
                  <c:x val="-7.7592592592592588E-2"/>
                  <c:y val="0"/>
                </c:manualLayout>
              </c:layout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3E-401F-AAB1-043535A089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Vrinda" panose="020B0502040204020203" pitchFamily="34" charset="0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图16!$F$5:$F$12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3E-401F-AAB1-043535A08978}"/>
            </c:ext>
          </c:extLst>
        </c:ser>
        <c:ser>
          <c:idx val="0"/>
          <c:order val="1"/>
          <c:tx>
            <c:strRef>
              <c:f>图16!$G$4</c:f>
              <c:strCache>
                <c:ptCount val="1"/>
                <c:pt idx="0">
                  <c:v>起始序列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图16!$E$5:$E$12</c:f>
              <c:strCache>
                <c:ptCount val="8"/>
                <c:pt idx="0">
                  <c:v>2006</c:v>
                </c:pt>
                <c:pt idx="1">
                  <c:v>贫困</c:v>
                </c:pt>
                <c:pt idx="2">
                  <c:v>低收入</c:v>
                </c:pt>
                <c:pt idx="3">
                  <c:v>中低收入</c:v>
                </c:pt>
                <c:pt idx="4">
                  <c:v>中等收入</c:v>
                </c:pt>
                <c:pt idx="5">
                  <c:v>中高收入</c:v>
                </c:pt>
                <c:pt idx="6">
                  <c:v>高收入</c:v>
                </c:pt>
                <c:pt idx="7">
                  <c:v>2016</c:v>
                </c:pt>
              </c:strCache>
            </c:strRef>
          </c:cat>
          <c:val>
            <c:numRef>
              <c:f>图16!$G$5:$G$12</c:f>
              <c:numCache>
                <c:formatCode>General</c:formatCode>
                <c:ptCount val="8"/>
                <c:pt idx="0" formatCode="0.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E-401F-AAB1-043535A08978}"/>
            </c:ext>
          </c:extLst>
        </c:ser>
        <c:ser>
          <c:idx val="1"/>
          <c:order val="2"/>
          <c:tx>
            <c:strRef>
              <c:f>图16!$H$4</c:f>
              <c:strCache>
                <c:ptCount val="1"/>
                <c:pt idx="0">
                  <c:v>辅助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图16!$E$5:$E$12</c:f>
              <c:strCache>
                <c:ptCount val="8"/>
                <c:pt idx="0">
                  <c:v>2006</c:v>
                </c:pt>
                <c:pt idx="1">
                  <c:v>贫困</c:v>
                </c:pt>
                <c:pt idx="2">
                  <c:v>低收入</c:v>
                </c:pt>
                <c:pt idx="3">
                  <c:v>中低收入</c:v>
                </c:pt>
                <c:pt idx="4">
                  <c:v>中等收入</c:v>
                </c:pt>
                <c:pt idx="5">
                  <c:v>中高收入</c:v>
                </c:pt>
                <c:pt idx="6">
                  <c:v>高收入</c:v>
                </c:pt>
                <c:pt idx="7">
                  <c:v>2016</c:v>
                </c:pt>
              </c:strCache>
            </c:strRef>
          </c:cat>
          <c:val>
            <c:numRef>
              <c:f>图16!$H$5:$H$12</c:f>
              <c:numCache>
                <c:formatCode>General</c:formatCode>
                <c:ptCount val="8"/>
                <c:pt idx="1">
                  <c:v>70.400000000000006</c:v>
                </c:pt>
                <c:pt idx="2">
                  <c:v>70.400000000000006</c:v>
                </c:pt>
                <c:pt idx="3">
                  <c:v>83.800000000000011</c:v>
                </c:pt>
                <c:pt idx="4">
                  <c:v>91.000000000000014</c:v>
                </c:pt>
                <c:pt idx="5">
                  <c:v>93.200000000000017</c:v>
                </c:pt>
                <c:pt idx="6">
                  <c:v>94.100000000000023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3E-401F-AAB1-043535A08978}"/>
            </c:ext>
          </c:extLst>
        </c:ser>
        <c:ser>
          <c:idx val="4"/>
          <c:order val="3"/>
          <c:tx>
            <c:strRef>
              <c:f>图16!$J$4</c:f>
              <c:strCache>
                <c:ptCount val="1"/>
                <c:pt idx="0">
                  <c:v>负值</c:v>
                </c:pt>
              </c:strCache>
            </c:strRef>
          </c:tx>
          <c:spPr>
            <a:solidFill>
              <a:schemeClr val="accent5"/>
            </a:solidFill>
            <a:ln w="1587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图16!$J$5:$J$12</c:f>
              <c:numCache>
                <c:formatCode>General</c:formatCode>
                <c:ptCount val="8"/>
                <c:pt idx="1">
                  <c:v>14.6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3E-401F-AAB1-043535A08978}"/>
            </c:ext>
          </c:extLst>
        </c:ser>
        <c:ser>
          <c:idx val="2"/>
          <c:order val="4"/>
          <c:tx>
            <c:strRef>
              <c:f>图16!$I$4</c:f>
              <c:strCache>
                <c:ptCount val="1"/>
                <c:pt idx="0">
                  <c:v>正值</c:v>
                </c:pt>
              </c:strCache>
            </c:strRef>
          </c:tx>
          <c:spPr>
            <a:solidFill>
              <a:schemeClr val="accent3"/>
            </a:solidFill>
            <a:ln w="15875">
              <a:noFill/>
            </a:ln>
            <a:effectLst/>
          </c:spPr>
          <c:invertIfNegative val="0"/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733E-401F-AAB1-043535A0897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733E-401F-AAB1-043535A0897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733E-401F-AAB1-043535A089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图16!$E$5:$E$12</c:f>
              <c:strCache>
                <c:ptCount val="8"/>
                <c:pt idx="0">
                  <c:v>2006</c:v>
                </c:pt>
                <c:pt idx="1">
                  <c:v>贫困</c:v>
                </c:pt>
                <c:pt idx="2">
                  <c:v>低收入</c:v>
                </c:pt>
                <c:pt idx="3">
                  <c:v>中低收入</c:v>
                </c:pt>
                <c:pt idx="4">
                  <c:v>中等收入</c:v>
                </c:pt>
                <c:pt idx="5">
                  <c:v>中高收入</c:v>
                </c:pt>
                <c:pt idx="6">
                  <c:v>高收入</c:v>
                </c:pt>
                <c:pt idx="7">
                  <c:v>2016</c:v>
                </c:pt>
              </c:strCache>
            </c:strRef>
          </c:cat>
          <c:val>
            <c:numRef>
              <c:f>图16!$I$5:$I$12</c:f>
              <c:numCache>
                <c:formatCode>General</c:formatCode>
                <c:ptCount val="8"/>
                <c:pt idx="2">
                  <c:v>13.4</c:v>
                </c:pt>
                <c:pt idx="3">
                  <c:v>7.2</c:v>
                </c:pt>
                <c:pt idx="4">
                  <c:v>2.2000000000000002</c:v>
                </c:pt>
                <c:pt idx="5">
                  <c:v>0.9</c:v>
                </c:pt>
                <c:pt idx="6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3E-401F-AAB1-043535A08978}"/>
            </c:ext>
          </c:extLst>
        </c:ser>
        <c:ser>
          <c:idx val="3"/>
          <c:order val="5"/>
          <c:tx>
            <c:strRef>
              <c:f>图16!$K$4</c:f>
              <c:strCache>
                <c:ptCount val="1"/>
                <c:pt idx="0">
                  <c:v>结束序列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图16!$E$5:$E$12</c:f>
              <c:strCache>
                <c:ptCount val="8"/>
                <c:pt idx="0">
                  <c:v>2006</c:v>
                </c:pt>
                <c:pt idx="1">
                  <c:v>贫困</c:v>
                </c:pt>
                <c:pt idx="2">
                  <c:v>低收入</c:v>
                </c:pt>
                <c:pt idx="3">
                  <c:v>中低收入</c:v>
                </c:pt>
                <c:pt idx="4">
                  <c:v>中等收入</c:v>
                </c:pt>
                <c:pt idx="5">
                  <c:v>中高收入</c:v>
                </c:pt>
                <c:pt idx="6">
                  <c:v>高收入</c:v>
                </c:pt>
                <c:pt idx="7">
                  <c:v>2016</c:v>
                </c:pt>
              </c:strCache>
            </c:strRef>
          </c:cat>
          <c:val>
            <c:numRef>
              <c:f>图16!$K$5:$K$12</c:f>
              <c:numCache>
                <c:formatCode>General</c:formatCode>
                <c:ptCount val="8"/>
                <c:pt idx="7">
                  <c:v>94.4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3E-401F-AAB1-043535A0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07511448"/>
        <c:axId val="807512104"/>
      </c:barChart>
      <c:catAx>
        <c:axId val="8075114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158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7512104"/>
        <c:crosses val="autoZero"/>
        <c:auto val="1"/>
        <c:lblAlgn val="ctr"/>
        <c:lblOffset val="100"/>
        <c:noMultiLvlLbl val="0"/>
      </c:catAx>
      <c:valAx>
        <c:axId val="80751210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751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0</xdr:row>
      <xdr:rowOff>144780</xdr:rowOff>
    </xdr:from>
    <xdr:to>
      <xdr:col>12</xdr:col>
      <xdr:colOff>434340</xdr:colOff>
      <xdr:row>33</xdr:row>
      <xdr:rowOff>144780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7F8B063-17AF-4843-AF44-1D445014F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</xdr:colOff>
      <xdr:row>33</xdr:row>
      <xdr:rowOff>95250</xdr:rowOff>
    </xdr:from>
    <xdr:to>
      <xdr:col>14</xdr:col>
      <xdr:colOff>123825</xdr:colOff>
      <xdr:row>34</xdr:row>
      <xdr:rowOff>104775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F3E185D-C25C-46CD-A119-0A7896E5DE20}"/>
            </a:ext>
          </a:extLst>
        </xdr:cNvPr>
        <xdr:cNvSpPr/>
      </xdr:nvSpPr>
      <xdr:spPr>
        <a:xfrm>
          <a:off x="6619875" y="6067425"/>
          <a:ext cx="2543175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>
              <a:solidFill>
                <a:sysClr val="windowText" lastClr="000000"/>
              </a:solidFill>
              <a:latin typeface="+mn-lt"/>
              <a:ea typeface="华文细黑" panose="02010600040101010101" pitchFamily="2" charset="-122"/>
            </a:rPr>
            <a:t>资料来源：</a:t>
          </a:r>
          <a:r>
            <a:rPr lang="en-US" altLang="zh-CN" sz="900">
              <a:solidFill>
                <a:sysClr val="windowText" lastClr="000000"/>
              </a:solidFill>
              <a:latin typeface="+mn-lt"/>
              <a:ea typeface="华文细黑" panose="02010600040101010101" pitchFamily="2" charset="-122"/>
            </a:rPr>
            <a:t>BBC</a:t>
          </a:r>
          <a:r>
            <a:rPr lang="zh-CN" altLang="en-US" sz="900">
              <a:solidFill>
                <a:sysClr val="windowText" lastClr="000000"/>
              </a:solidFill>
              <a:latin typeface="+mn-lt"/>
              <a:ea typeface="华文细黑" panose="02010600040101010101" pitchFamily="2" charset="-122"/>
            </a:rPr>
            <a:t>民意调查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180974</xdr:rowOff>
    </xdr:from>
    <xdr:to>
      <xdr:col>14</xdr:col>
      <xdr:colOff>0</xdr:colOff>
      <xdr:row>35</xdr:row>
      <xdr:rowOff>180974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CB0EA4F-1D4C-4DA6-822E-B2FA16E73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17</xdr:row>
      <xdr:rowOff>180974</xdr:rowOff>
    </xdr:from>
    <xdr:to>
      <xdr:col>12</xdr:col>
      <xdr:colOff>0</xdr:colOff>
      <xdr:row>43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53B2359-D91C-4199-AD2B-963CEA951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352424</xdr:colOff>
      <xdr:row>4</xdr:row>
      <xdr:rowOff>95250</xdr:rowOff>
    </xdr:from>
    <xdr:to>
      <xdr:col>11</xdr:col>
      <xdr:colOff>462824</xdr:colOff>
      <xdr:row>5</xdr:row>
      <xdr:rowOff>95250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11DC2E93-369B-4B6A-B8AF-E7E69435458E}"/>
            </a:ext>
          </a:extLst>
        </xdr:cNvPr>
        <xdr:cNvGrpSpPr/>
      </xdr:nvGrpSpPr>
      <xdr:grpSpPr>
        <a:xfrm>
          <a:off x="7286624" y="819150"/>
          <a:ext cx="720000" cy="180975"/>
          <a:chOff x="7229474" y="819150"/>
          <a:chExt cx="720000" cy="180975"/>
        </a:xfrm>
      </xdr:grpSpPr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4FD5E1DA-DB99-4551-BB36-599D637693E5}"/>
              </a:ext>
            </a:extLst>
          </xdr:cNvPr>
          <xdr:cNvSpPr/>
        </xdr:nvSpPr>
        <xdr:spPr>
          <a:xfrm>
            <a:off x="7229474" y="819150"/>
            <a:ext cx="720000" cy="180975"/>
          </a:xfrm>
          <a:prstGeom prst="rect">
            <a:avLst/>
          </a:prstGeom>
          <a:solidFill>
            <a:schemeClr val="accent3"/>
          </a:solidFill>
          <a:ln>
            <a:noFill/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" name="箭头: 右 3">
            <a:extLst>
              <a:ext uri="{FF2B5EF4-FFF2-40B4-BE49-F238E27FC236}">
                <a16:creationId xmlns:a16="http://schemas.microsoft.com/office/drawing/2014/main" id="{AB93BB21-C8CD-43D1-ADD3-44284ED01135}"/>
              </a:ext>
            </a:extLst>
          </xdr:cNvPr>
          <xdr:cNvSpPr/>
        </xdr:nvSpPr>
        <xdr:spPr>
          <a:xfrm>
            <a:off x="7229474" y="828674"/>
            <a:ext cx="720000" cy="162000"/>
          </a:xfrm>
          <a:prstGeom prst="rightArrow">
            <a:avLst/>
          </a:prstGeom>
          <a:ln>
            <a:noFill/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7</xdr:col>
      <xdr:colOff>398907</xdr:colOff>
      <xdr:row>40</xdr:row>
      <xdr:rowOff>29718</xdr:rowOff>
    </xdr:from>
    <xdr:to>
      <xdr:col>7</xdr:col>
      <xdr:colOff>503682</xdr:colOff>
      <xdr:row>40</xdr:row>
      <xdr:rowOff>151257</xdr:rowOff>
    </xdr:to>
    <xdr:sp macro="" textlink="">
      <xdr:nvSpPr>
        <xdr:cNvPr id="6" name="等腰三角形 5">
          <a:extLst>
            <a:ext uri="{FF2B5EF4-FFF2-40B4-BE49-F238E27FC236}">
              <a16:creationId xmlns:a16="http://schemas.microsoft.com/office/drawing/2014/main" id="{A36B0FB8-6382-4E77-9B52-E43ED26A96F2}"/>
            </a:ext>
          </a:extLst>
        </xdr:cNvPr>
        <xdr:cNvSpPr/>
      </xdr:nvSpPr>
      <xdr:spPr>
        <a:xfrm rot="5400000">
          <a:off x="5000625" y="7277100"/>
          <a:ext cx="121539" cy="104775"/>
        </a:xfrm>
        <a:prstGeom prst="triangle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76200</xdr:colOff>
      <xdr:row>22</xdr:row>
      <xdr:rowOff>142875</xdr:rowOff>
    </xdr:from>
    <xdr:to>
      <xdr:col>11</xdr:col>
      <xdr:colOff>180975</xdr:colOff>
      <xdr:row>23</xdr:row>
      <xdr:rowOff>83439</xdr:rowOff>
    </xdr:to>
    <xdr:sp macro="" textlink="">
      <xdr:nvSpPr>
        <xdr:cNvPr id="7" name="等腰三角形 6">
          <a:extLst>
            <a:ext uri="{FF2B5EF4-FFF2-40B4-BE49-F238E27FC236}">
              <a16:creationId xmlns:a16="http://schemas.microsoft.com/office/drawing/2014/main" id="{134B7B58-F9C4-492C-BC43-4A4AD23FB2D1}"/>
            </a:ext>
          </a:extLst>
        </xdr:cNvPr>
        <xdr:cNvSpPr/>
      </xdr:nvSpPr>
      <xdr:spPr>
        <a:xfrm rot="5400000">
          <a:off x="7611618" y="4132707"/>
          <a:ext cx="121539" cy="104775"/>
        </a:xfrm>
        <a:prstGeom prst="triangle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133350</xdr:colOff>
      <xdr:row>24</xdr:row>
      <xdr:rowOff>66675</xdr:rowOff>
    </xdr:from>
    <xdr:to>
      <xdr:col>10</xdr:col>
      <xdr:colOff>238125</xdr:colOff>
      <xdr:row>25</xdr:row>
      <xdr:rowOff>7239</xdr:rowOff>
    </xdr:to>
    <xdr:sp macro="" textlink="">
      <xdr:nvSpPr>
        <xdr:cNvPr id="8" name="等腰三角形 7">
          <a:extLst>
            <a:ext uri="{FF2B5EF4-FFF2-40B4-BE49-F238E27FC236}">
              <a16:creationId xmlns:a16="http://schemas.microsoft.com/office/drawing/2014/main" id="{27C809DF-7072-4354-A4AC-3BF6F37623D9}"/>
            </a:ext>
          </a:extLst>
        </xdr:cNvPr>
        <xdr:cNvSpPr/>
      </xdr:nvSpPr>
      <xdr:spPr>
        <a:xfrm rot="5400000">
          <a:off x="7059168" y="4418457"/>
          <a:ext cx="121539" cy="104775"/>
        </a:xfrm>
        <a:prstGeom prst="triangle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19050</xdr:colOff>
      <xdr:row>26</xdr:row>
      <xdr:rowOff>0</xdr:rowOff>
    </xdr:from>
    <xdr:to>
      <xdr:col>10</xdr:col>
      <xdr:colOff>123825</xdr:colOff>
      <xdr:row>26</xdr:row>
      <xdr:rowOff>121539</xdr:rowOff>
    </xdr:to>
    <xdr:sp macro="" textlink="">
      <xdr:nvSpPr>
        <xdr:cNvPr id="9" name="等腰三角形 8">
          <a:extLst>
            <a:ext uri="{FF2B5EF4-FFF2-40B4-BE49-F238E27FC236}">
              <a16:creationId xmlns:a16="http://schemas.microsoft.com/office/drawing/2014/main" id="{AF9F2CE8-148B-4FE1-AD2F-66672C5A424F}"/>
            </a:ext>
          </a:extLst>
        </xdr:cNvPr>
        <xdr:cNvSpPr/>
      </xdr:nvSpPr>
      <xdr:spPr>
        <a:xfrm rot="5400000">
          <a:off x="6944868" y="4713732"/>
          <a:ext cx="121539" cy="104775"/>
        </a:xfrm>
        <a:prstGeom prst="triangle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19050</xdr:colOff>
      <xdr:row>41</xdr:row>
      <xdr:rowOff>114300</xdr:rowOff>
    </xdr:from>
    <xdr:to>
      <xdr:col>9</xdr:col>
      <xdr:colOff>228600</xdr:colOff>
      <xdr:row>42</xdr:row>
      <xdr:rowOff>104775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33BC6F71-3B92-46A0-9FF8-8B2C5E0129A4}"/>
            </a:ext>
          </a:extLst>
        </xdr:cNvPr>
        <xdr:cNvSpPr/>
      </xdr:nvSpPr>
      <xdr:spPr>
        <a:xfrm>
          <a:off x="3371850" y="7534275"/>
          <a:ext cx="314325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>
              <a:solidFill>
                <a:schemeClr val="tx1"/>
              </a:solidFill>
              <a:latin typeface="思源宋体 CN Light" panose="02020300000000000000" pitchFamily="18" charset="-122"/>
              <a:ea typeface="思源宋体 CN Light" panose="02020300000000000000" pitchFamily="18" charset="-122"/>
            </a:rPr>
            <a:t>数据来源：麦肯锡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12</xdr:row>
      <xdr:rowOff>152400</xdr:rowOff>
    </xdr:from>
    <xdr:to>
      <xdr:col>16</xdr:col>
      <xdr:colOff>0</xdr:colOff>
      <xdr:row>35</xdr:row>
      <xdr:rowOff>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196075B-130E-4B05-9CA0-18EF3AB6A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33</xdr:row>
      <xdr:rowOff>57150</xdr:rowOff>
    </xdr:from>
    <xdr:to>
      <xdr:col>11</xdr:col>
      <xdr:colOff>333375</xdr:colOff>
      <xdr:row>34</xdr:row>
      <xdr:rowOff>76200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19A34FBB-9265-40DD-9843-05CD474FE0B9}"/>
            </a:ext>
          </a:extLst>
        </xdr:cNvPr>
        <xdr:cNvSpPr/>
      </xdr:nvSpPr>
      <xdr:spPr>
        <a:xfrm>
          <a:off x="3857625" y="6029325"/>
          <a:ext cx="2647950" cy="2000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>
              <a:solidFill>
                <a:schemeClr val="tx1">
                  <a:lumMod val="85000"/>
                  <a:lumOff val="15000"/>
                </a:schemeClr>
              </a:solidFill>
            </a:rPr>
            <a:t>数据来源：经济学人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09AFF7A-CE12-46FB-BDDF-5123758CB93F}" name="表25" displayName="表25" ref="B3:D23" totalsRowShown="0">
  <tableColumns count="3">
    <tableColumn id="1" xr3:uid="{47F8A16F-3682-4DB1-BADC-8057E370183E}" name="国家" dataDxfId="20"/>
    <tableColumn id="2" xr3:uid="{9A09B527-DF1C-462E-BF31-2B7AB5BB073B}" name="主要正面" dataDxfId="19"/>
    <tableColumn id="3" xr3:uid="{8ADAE0FF-0860-4ADE-B0D8-4FFED567F890}" name="主要负面" dataDxfId="18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E79A686-979F-4FD9-9D43-7F95E33B76A8}" name="表26" displayName="表26" ref="F3:I23" totalsRowShown="0" headerRowDxfId="17" dataDxfId="16">
  <tableColumns count="4">
    <tableColumn id="1" xr3:uid="{AA179D8E-31CD-4AA0-BF89-0B1F5B3E69DB}" name="国家" dataDxfId="15"/>
    <tableColumn id="2" xr3:uid="{37B1DFBB-D02E-4237-A25F-11731DBBB946}" name="主要正面" dataDxfId="14"/>
    <tableColumn id="3" xr3:uid="{528F159D-36FF-40FF-963C-D6D72A7C6FC6}" name="辅助列" dataDxfId="13">
      <calculatedColumnFormula>150-G4-I4</calculatedColumnFormula>
    </tableColumn>
    <tableColumn id="4" xr3:uid="{E957694F-656F-4CD7-A316-EF0E9B69E7C2}" name="主要负面" dataDxfId="12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00B6A89-80E4-445E-9536-177659DEC347}" name="表27" displayName="表27" ref="B5:D23" totalsRowShown="0">
  <tableColumns count="3">
    <tableColumn id="1" xr3:uid="{C1ED1CEC-4A7E-4569-B686-0A04434328C0}" name="Younger than 5"/>
    <tableColumn id="2" xr3:uid="{8EB41380-A739-49B3-BCE1-03949DA991EC}" name="0.3" dataDxfId="11"/>
    <tableColumn id="3" xr3:uid="{92B55745-644B-4205-9D12-0D187E18AE23}" name="0.32" dataDxfId="10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190D9C5-9C68-4AFA-913A-BC147F56DEB1}" name="表28" displayName="表28" ref="B5:D17" totalsRowShown="0">
  <tableColumns count="3">
    <tableColumn id="1" xr3:uid="{1045760D-2C86-4909-B3C8-1B19E1B151C6}" name="列1"/>
    <tableColumn id="2" xr3:uid="{922F3356-C783-4340-9A0D-2B3BD7753BA4}" name="2013年10月"/>
    <tableColumn id="3" xr3:uid="{82321C4A-39AC-4002-B858-F24C1A871162}" name="2015年10月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4577088-6E2F-4D7C-8083-43CAC592CFD5}" name="表29" displayName="表29" ref="F5:J17" totalsRowShown="0">
  <tableColumns count="5">
    <tableColumn id="1" xr3:uid="{3578AE85-8EAF-4A2E-BFF6-648E53D9C2E3}" name=" "/>
    <tableColumn id="2" xr3:uid="{72FE0FB4-549A-41A9-B724-76690ABC911D}" name="helper1" dataDxfId="9"/>
    <tableColumn id="3" xr3:uid="{3EF464E1-C47D-424A-8CD6-E1816B5939F9}" name="2013年10月"/>
    <tableColumn id="4" xr3:uid="{17D167B8-7AF0-42FC-BC76-8345B36ADF20}" name="2015年10月">
      <calculatedColumnFormula>D6-C6</calculatedColumnFormula>
    </tableColumn>
    <tableColumn id="5" xr3:uid="{0EBD7F5A-D635-4228-883F-ED0D2AE82625}" name="helper2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C8E970D-0C28-4AED-98AC-03D740E0AC23}" name="表30" displayName="表30" ref="B4:C12" totalsRowShown="0">
  <tableColumns count="2">
    <tableColumn id="1" xr3:uid="{43BA491F-8C77-42F5-901F-A79735136404}" name=" "/>
    <tableColumn id="2" xr3:uid="{1BF528D8-2879-40F4-BC39-CA9C2C3861E8}" name="人口" dataDxfId="8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7058F5A-8452-47C0-A675-BE1A23669C84}" name="表31" displayName="表31" ref="E4:K12" totalsRowShown="0" headerRowDxfId="7" dataDxfId="6">
  <tableColumns count="7">
    <tableColumn id="1" xr3:uid="{433114AF-2CAB-4CCE-8069-94CB976711F6}" name="  "/>
    <tableColumn id="2" xr3:uid="{C32EFFE7-068C-469A-8274-F34CDC9DED12}" name="helper" dataDxfId="5"/>
    <tableColumn id="3" xr3:uid="{3DE7A867-8321-453B-B922-65CF451F88C6}" name="起始序列" dataDxfId="4"/>
    <tableColumn id="4" xr3:uid="{4CECA029-8B3E-431A-8333-4778061FD6DF}" name="辅助" dataDxfId="3"/>
    <tableColumn id="5" xr3:uid="{86A60BFF-B376-4C9F-928E-DBB395812958}" name="正值" dataDxfId="2"/>
    <tableColumn id="6" xr3:uid="{165C3D0A-B1D4-4E3C-A5C5-D6FB4C7FC90D}" name="负值" dataDxfId="1"/>
    <tableColumn id="7" xr3:uid="{7C0FCF9E-C7AD-477D-B97C-7DEEF4EE9B79}" name="结束序列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McKinsey1">
      <a:dk1>
        <a:sysClr val="windowText" lastClr="000000"/>
      </a:dk1>
      <a:lt1>
        <a:sysClr val="window" lastClr="FFFFFF"/>
      </a:lt1>
      <a:dk2>
        <a:srgbClr val="FFF9F1"/>
      </a:dk2>
      <a:lt2>
        <a:srgbClr val="F1F1F1"/>
      </a:lt2>
      <a:accent1>
        <a:srgbClr val="00828F"/>
      </a:accent1>
      <a:accent2>
        <a:srgbClr val="65C6CC"/>
      </a:accent2>
      <a:accent3>
        <a:srgbClr val="25A7DB"/>
      </a:accent3>
      <a:accent4>
        <a:srgbClr val="E06D26"/>
      </a:accent4>
      <a:accent5>
        <a:srgbClr val="9EB1BB"/>
      </a:accent5>
      <a:accent6>
        <a:srgbClr val="E2DFCA"/>
      </a:accent6>
      <a:hlink>
        <a:srgbClr val="0563C1"/>
      </a:hlink>
      <a:folHlink>
        <a:srgbClr val="954F72"/>
      </a:folHlink>
    </a:clrScheme>
    <a:fontScheme name="自定义字体1">
      <a:majorFont>
        <a:latin typeface="Arial"/>
        <a:ea typeface="黑体"/>
        <a:cs typeface=""/>
      </a:majorFont>
      <a:minorFont>
        <a:latin typeface="Arial"/>
        <a:ea typeface="华文细黑"/>
        <a:cs typeface=""/>
      </a:minorFont>
    </a:fontScheme>
    <a:fmtScheme name="奥斯汀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DC4E0-AC3C-4CBB-96B2-3306EC15B834}">
  <dimension ref="B2:I23"/>
  <sheetViews>
    <sheetView showGridLines="0" tabSelected="1" workbookViewId="0">
      <selection activeCell="O10" sqref="O10"/>
    </sheetView>
  </sheetViews>
  <sheetFormatPr defaultColWidth="9.109375" defaultRowHeight="13.2" x14ac:dyDescent="0.3"/>
  <cols>
    <col min="1" max="1" width="3.6640625" style="4" customWidth="1"/>
    <col min="2" max="2" width="18.33203125" style="4" bestFit="1" customWidth="1"/>
    <col min="3" max="4" width="10" style="5" customWidth="1"/>
    <col min="5" max="5" width="2.6640625" style="4" customWidth="1"/>
    <col min="6" max="6" width="17.44140625" style="4" bestFit="1" customWidth="1"/>
    <col min="7" max="9" width="8.6640625" style="5" customWidth="1"/>
    <col min="10" max="10" width="3.6640625" style="4" customWidth="1"/>
    <col min="11" max="16384" width="9.109375" style="4"/>
  </cols>
  <sheetData>
    <row r="2" spans="2:9" x14ac:dyDescent="0.3">
      <c r="B2" s="4" t="s">
        <v>42</v>
      </c>
      <c r="F2" s="4" t="s">
        <v>18</v>
      </c>
    </row>
    <row r="3" spans="2:9" x14ac:dyDescent="0.3">
      <c r="B3" s="4" t="s">
        <v>43</v>
      </c>
      <c r="C3" s="5" t="s">
        <v>44</v>
      </c>
      <c r="D3" s="5" t="s">
        <v>45</v>
      </c>
      <c r="F3" s="4" t="s">
        <v>46</v>
      </c>
      <c r="G3" s="5" t="s">
        <v>47</v>
      </c>
      <c r="H3" s="23" t="s">
        <v>69</v>
      </c>
      <c r="I3" s="5" t="s">
        <v>45</v>
      </c>
    </row>
    <row r="4" spans="2:9" x14ac:dyDescent="0.3">
      <c r="B4" s="4" t="s">
        <v>48</v>
      </c>
      <c r="C4" s="5">
        <v>37</v>
      </c>
      <c r="D4" s="5">
        <v>51</v>
      </c>
      <c r="F4" s="4" t="s">
        <v>48</v>
      </c>
      <c r="G4" s="5">
        <v>37</v>
      </c>
      <c r="H4" s="5">
        <f>150-G4-I4</f>
        <v>62</v>
      </c>
      <c r="I4" s="5">
        <v>51</v>
      </c>
    </row>
    <row r="5" spans="2:9" x14ac:dyDescent="0.3">
      <c r="B5" s="4" t="s">
        <v>49</v>
      </c>
      <c r="C5" s="5">
        <v>22</v>
      </c>
      <c r="D5" s="5">
        <v>70</v>
      </c>
      <c r="F5" s="4" t="s">
        <v>49</v>
      </c>
      <c r="G5" s="5">
        <v>22</v>
      </c>
      <c r="H5" s="5">
        <f t="shared" ref="H5:H23" si="0">150-G5-I5</f>
        <v>58</v>
      </c>
      <c r="I5" s="5">
        <v>70</v>
      </c>
    </row>
    <row r="6" spans="2:9" x14ac:dyDescent="0.3">
      <c r="B6" s="4" t="s">
        <v>50</v>
      </c>
      <c r="C6" s="5">
        <v>55</v>
      </c>
      <c r="D6" s="5">
        <v>26</v>
      </c>
      <c r="F6" s="4" t="s">
        <v>50</v>
      </c>
      <c r="G6" s="5">
        <v>55</v>
      </c>
      <c r="H6" s="5">
        <f t="shared" si="0"/>
        <v>69</v>
      </c>
      <c r="I6" s="5">
        <v>26</v>
      </c>
    </row>
    <row r="7" spans="2:9" x14ac:dyDescent="0.3">
      <c r="B7" s="4" t="s">
        <v>51</v>
      </c>
      <c r="C7" s="5">
        <v>49</v>
      </c>
      <c r="D7" s="5">
        <v>34</v>
      </c>
      <c r="F7" s="4" t="s">
        <v>51</v>
      </c>
      <c r="G7" s="5">
        <v>49</v>
      </c>
      <c r="H7" s="5">
        <f t="shared" si="0"/>
        <v>67</v>
      </c>
      <c r="I7" s="5">
        <v>34</v>
      </c>
    </row>
    <row r="8" spans="2:9" x14ac:dyDescent="0.3">
      <c r="B8" s="4" t="s">
        <v>52</v>
      </c>
      <c r="C8" s="5">
        <v>45</v>
      </c>
      <c r="D8" s="5">
        <v>38</v>
      </c>
      <c r="F8" s="4" t="s">
        <v>52</v>
      </c>
      <c r="G8" s="5">
        <v>45</v>
      </c>
      <c r="H8" s="5">
        <f t="shared" si="0"/>
        <v>67</v>
      </c>
      <c r="I8" s="5">
        <v>38</v>
      </c>
    </row>
    <row r="9" spans="2:9" x14ac:dyDescent="0.3">
      <c r="B9" s="4" t="s">
        <v>53</v>
      </c>
      <c r="C9" s="5">
        <v>37</v>
      </c>
      <c r="D9" s="5">
        <v>58</v>
      </c>
      <c r="F9" s="4" t="s">
        <v>53</v>
      </c>
      <c r="G9" s="5">
        <v>37</v>
      </c>
      <c r="H9" s="5">
        <f t="shared" si="0"/>
        <v>55</v>
      </c>
      <c r="I9" s="5">
        <v>58</v>
      </c>
    </row>
    <row r="10" spans="2:9" x14ac:dyDescent="0.3">
      <c r="B10" s="4" t="s">
        <v>54</v>
      </c>
      <c r="C10" s="5">
        <v>37</v>
      </c>
      <c r="D10" s="5">
        <v>25</v>
      </c>
      <c r="F10" s="4" t="s">
        <v>54</v>
      </c>
      <c r="G10" s="5">
        <v>37</v>
      </c>
      <c r="H10" s="5">
        <f t="shared" si="0"/>
        <v>88</v>
      </c>
      <c r="I10" s="5">
        <v>25</v>
      </c>
    </row>
    <row r="11" spans="2:9" x14ac:dyDescent="0.3">
      <c r="B11" s="4" t="s">
        <v>55</v>
      </c>
      <c r="C11" s="5">
        <v>35</v>
      </c>
      <c r="D11" s="5">
        <v>60</v>
      </c>
      <c r="F11" s="4" t="s">
        <v>55</v>
      </c>
      <c r="G11" s="5">
        <v>35</v>
      </c>
      <c r="H11" s="5">
        <f t="shared" si="0"/>
        <v>55</v>
      </c>
      <c r="I11" s="5">
        <v>60</v>
      </c>
    </row>
    <row r="12" spans="2:9" x14ac:dyDescent="0.3">
      <c r="B12" s="4" t="s">
        <v>56</v>
      </c>
      <c r="C12" s="5">
        <v>20</v>
      </c>
      <c r="D12" s="5">
        <v>35</v>
      </c>
      <c r="F12" s="4" t="s">
        <v>56</v>
      </c>
      <c r="G12" s="5">
        <v>20</v>
      </c>
      <c r="H12" s="5">
        <f t="shared" si="0"/>
        <v>95</v>
      </c>
      <c r="I12" s="5">
        <v>35</v>
      </c>
    </row>
    <row r="13" spans="2:9" x14ac:dyDescent="0.3">
      <c r="B13" s="4" t="s">
        <v>57</v>
      </c>
      <c r="C13" s="5">
        <v>15</v>
      </c>
      <c r="D13" s="5">
        <v>68</v>
      </c>
      <c r="F13" s="4" t="s">
        <v>57</v>
      </c>
      <c r="G13" s="5">
        <v>15</v>
      </c>
      <c r="H13" s="5">
        <f t="shared" si="0"/>
        <v>67</v>
      </c>
      <c r="I13" s="5">
        <v>68</v>
      </c>
    </row>
    <row r="14" spans="2:9" x14ac:dyDescent="0.3">
      <c r="B14" s="4" t="s">
        <v>58</v>
      </c>
      <c r="C14" s="5">
        <v>44</v>
      </c>
      <c r="D14" s="5">
        <v>23</v>
      </c>
      <c r="F14" s="4" t="s">
        <v>58</v>
      </c>
      <c r="G14" s="5">
        <v>44</v>
      </c>
      <c r="H14" s="5">
        <f t="shared" si="0"/>
        <v>83</v>
      </c>
      <c r="I14" s="5">
        <v>23</v>
      </c>
    </row>
    <row r="15" spans="2:9" x14ac:dyDescent="0.3">
      <c r="B15" s="4" t="s">
        <v>59</v>
      </c>
      <c r="C15" s="5">
        <v>29</v>
      </c>
      <c r="D15" s="5">
        <v>54</v>
      </c>
      <c r="F15" s="4" t="s">
        <v>59</v>
      </c>
      <c r="G15" s="5">
        <v>29</v>
      </c>
      <c r="H15" s="5">
        <f t="shared" si="0"/>
        <v>67</v>
      </c>
      <c r="I15" s="5">
        <v>54</v>
      </c>
    </row>
    <row r="16" spans="2:9" x14ac:dyDescent="0.3">
      <c r="B16" s="4" t="s">
        <v>60</v>
      </c>
      <c r="C16" s="5">
        <v>83</v>
      </c>
      <c r="D16" s="5">
        <v>9</v>
      </c>
      <c r="F16" s="4" t="s">
        <v>60</v>
      </c>
      <c r="G16" s="5">
        <v>83</v>
      </c>
      <c r="H16" s="5">
        <f t="shared" si="0"/>
        <v>58</v>
      </c>
      <c r="I16" s="5">
        <v>9</v>
      </c>
    </row>
    <row r="17" spans="2:9" x14ac:dyDescent="0.3">
      <c r="B17" s="4" t="s">
        <v>61</v>
      </c>
      <c r="C17" s="5">
        <v>63</v>
      </c>
      <c r="D17" s="5">
        <v>27</v>
      </c>
      <c r="F17" s="4" t="s">
        <v>61</v>
      </c>
      <c r="G17" s="5">
        <v>63</v>
      </c>
      <c r="H17" s="5">
        <f t="shared" si="0"/>
        <v>60</v>
      </c>
      <c r="I17" s="5">
        <v>27</v>
      </c>
    </row>
    <row r="18" spans="2:9" x14ac:dyDescent="0.3">
      <c r="B18" s="4" t="s">
        <v>62</v>
      </c>
      <c r="C18" s="5">
        <v>88</v>
      </c>
      <c r="D18" s="5">
        <v>10</v>
      </c>
      <c r="F18" s="4" t="s">
        <v>62</v>
      </c>
      <c r="G18" s="5">
        <v>88</v>
      </c>
      <c r="H18" s="5">
        <f t="shared" si="0"/>
        <v>52</v>
      </c>
      <c r="I18" s="5">
        <v>10</v>
      </c>
    </row>
    <row r="19" spans="2:9" x14ac:dyDescent="0.3">
      <c r="B19" s="4" t="s">
        <v>63</v>
      </c>
      <c r="C19" s="5">
        <v>63</v>
      </c>
      <c r="D19" s="5">
        <v>12</v>
      </c>
      <c r="F19" s="4" t="s">
        <v>63</v>
      </c>
      <c r="G19" s="5">
        <v>63</v>
      </c>
      <c r="H19" s="5">
        <f t="shared" si="0"/>
        <v>75</v>
      </c>
      <c r="I19" s="5">
        <v>12</v>
      </c>
    </row>
    <row r="20" spans="2:9" x14ac:dyDescent="0.3">
      <c r="B20" s="4" t="s">
        <v>64</v>
      </c>
      <c r="C20" s="5">
        <v>46</v>
      </c>
      <c r="D20" s="5">
        <v>47</v>
      </c>
      <c r="F20" s="4" t="s">
        <v>64</v>
      </c>
      <c r="G20" s="5">
        <v>46</v>
      </c>
      <c r="H20" s="5">
        <f t="shared" si="0"/>
        <v>57</v>
      </c>
      <c r="I20" s="5">
        <v>47</v>
      </c>
    </row>
    <row r="21" spans="2:9" x14ac:dyDescent="0.3">
      <c r="B21" s="4" t="s">
        <v>65</v>
      </c>
      <c r="C21" s="5">
        <v>28</v>
      </c>
      <c r="D21" s="5">
        <v>50</v>
      </c>
      <c r="F21" s="4" t="s">
        <v>65</v>
      </c>
      <c r="G21" s="5">
        <v>28</v>
      </c>
      <c r="H21" s="5">
        <f t="shared" si="0"/>
        <v>72</v>
      </c>
      <c r="I21" s="5">
        <v>50</v>
      </c>
    </row>
    <row r="22" spans="2:9" x14ac:dyDescent="0.3">
      <c r="B22" s="4" t="s">
        <v>66</v>
      </c>
      <c r="C22" s="5">
        <v>19</v>
      </c>
      <c r="D22" s="5">
        <v>60</v>
      </c>
      <c r="F22" s="4" t="s">
        <v>66</v>
      </c>
      <c r="G22" s="5">
        <v>19</v>
      </c>
      <c r="H22" s="5">
        <f t="shared" si="0"/>
        <v>71</v>
      </c>
      <c r="I22" s="5">
        <v>60</v>
      </c>
    </row>
    <row r="23" spans="2:9" x14ac:dyDescent="0.3">
      <c r="B23" s="4" t="s">
        <v>67</v>
      </c>
      <c r="C23" s="5">
        <v>41</v>
      </c>
      <c r="D23" s="5">
        <v>42</v>
      </c>
      <c r="F23" s="4" t="s">
        <v>68</v>
      </c>
      <c r="G23" s="5">
        <v>41</v>
      </c>
      <c r="H23" s="5">
        <f t="shared" si="0"/>
        <v>67</v>
      </c>
      <c r="I23" s="5">
        <v>42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C4FC-1D46-4251-9E40-BF2DB2430730}">
  <dimension ref="B2:F22"/>
  <sheetViews>
    <sheetView showGridLines="0" workbookViewId="0"/>
  </sheetViews>
  <sheetFormatPr defaultColWidth="9.109375" defaultRowHeight="15.6" x14ac:dyDescent="0.3"/>
  <cols>
    <col min="1" max="1" width="3.6640625" style="7" customWidth="1"/>
    <col min="2" max="2" width="19.6640625" style="7" customWidth="1"/>
    <col min="3" max="3" width="9.6640625" style="6" customWidth="1"/>
    <col min="4" max="5" width="16.6640625" style="7" customWidth="1"/>
    <col min="6" max="6" width="9.6640625" style="6" customWidth="1"/>
    <col min="7" max="16384" width="9.109375" style="7"/>
  </cols>
  <sheetData>
    <row r="2" spans="2:6" s="8" customFormat="1" ht="18" customHeight="1" thickBot="1" x14ac:dyDescent="0.4">
      <c r="B2" s="9" t="s">
        <v>43</v>
      </c>
      <c r="C2" s="9" t="s">
        <v>44</v>
      </c>
      <c r="D2" s="10"/>
      <c r="E2" s="10"/>
      <c r="F2" s="10" t="s">
        <v>45</v>
      </c>
    </row>
    <row r="3" spans="2:6" ht="16.5" customHeight="1" x14ac:dyDescent="0.3">
      <c r="B3" s="11" t="s">
        <v>48</v>
      </c>
      <c r="C3" s="12">
        <v>37</v>
      </c>
      <c r="D3" s="13">
        <v>37</v>
      </c>
      <c r="E3" s="13">
        <v>51</v>
      </c>
      <c r="F3" s="14">
        <v>51</v>
      </c>
    </row>
    <row r="4" spans="2:6" ht="16.5" customHeight="1" x14ac:dyDescent="0.3">
      <c r="B4" s="15" t="s">
        <v>49</v>
      </c>
      <c r="C4" s="16">
        <v>22</v>
      </c>
      <c r="D4" s="17">
        <v>22</v>
      </c>
      <c r="E4" s="17">
        <v>70</v>
      </c>
      <c r="F4" s="18">
        <v>70</v>
      </c>
    </row>
    <row r="5" spans="2:6" ht="16.5" customHeight="1" x14ac:dyDescent="0.3">
      <c r="B5" s="15" t="s">
        <v>50</v>
      </c>
      <c r="C5" s="16">
        <v>55</v>
      </c>
      <c r="D5" s="17">
        <v>55</v>
      </c>
      <c r="E5" s="17">
        <v>26</v>
      </c>
      <c r="F5" s="18">
        <v>26</v>
      </c>
    </row>
    <row r="6" spans="2:6" ht="16.5" customHeight="1" x14ac:dyDescent="0.3">
      <c r="B6" s="15" t="s">
        <v>51</v>
      </c>
      <c r="C6" s="16">
        <v>49</v>
      </c>
      <c r="D6" s="17">
        <v>49</v>
      </c>
      <c r="E6" s="17">
        <v>34</v>
      </c>
      <c r="F6" s="18">
        <v>34</v>
      </c>
    </row>
    <row r="7" spans="2:6" ht="16.5" customHeight="1" x14ac:dyDescent="0.3">
      <c r="B7" s="15" t="s">
        <v>52</v>
      </c>
      <c r="C7" s="16">
        <v>45</v>
      </c>
      <c r="D7" s="17">
        <v>45</v>
      </c>
      <c r="E7" s="17">
        <v>38</v>
      </c>
      <c r="F7" s="18">
        <v>38</v>
      </c>
    </row>
    <row r="8" spans="2:6" ht="16.5" customHeight="1" x14ac:dyDescent="0.3">
      <c r="B8" s="15" t="s">
        <v>53</v>
      </c>
      <c r="C8" s="16">
        <v>37</v>
      </c>
      <c r="D8" s="17">
        <v>37</v>
      </c>
      <c r="E8" s="17">
        <v>58</v>
      </c>
      <c r="F8" s="18">
        <v>58</v>
      </c>
    </row>
    <row r="9" spans="2:6" ht="16.5" customHeight="1" x14ac:dyDescent="0.3">
      <c r="B9" s="15" t="s">
        <v>54</v>
      </c>
      <c r="C9" s="16">
        <v>37</v>
      </c>
      <c r="D9" s="17">
        <v>37</v>
      </c>
      <c r="E9" s="17">
        <v>25</v>
      </c>
      <c r="F9" s="18">
        <v>25</v>
      </c>
    </row>
    <row r="10" spans="2:6" ht="16.5" customHeight="1" x14ac:dyDescent="0.3">
      <c r="B10" s="15" t="s">
        <v>55</v>
      </c>
      <c r="C10" s="16">
        <v>35</v>
      </c>
      <c r="D10" s="17">
        <v>35</v>
      </c>
      <c r="E10" s="17">
        <v>60</v>
      </c>
      <c r="F10" s="18">
        <v>60</v>
      </c>
    </row>
    <row r="11" spans="2:6" ht="16.5" customHeight="1" x14ac:dyDescent="0.3">
      <c r="B11" s="15" t="s">
        <v>56</v>
      </c>
      <c r="C11" s="16">
        <v>20</v>
      </c>
      <c r="D11" s="17">
        <v>20</v>
      </c>
      <c r="E11" s="17">
        <v>35</v>
      </c>
      <c r="F11" s="18">
        <v>35</v>
      </c>
    </row>
    <row r="12" spans="2:6" ht="16.5" customHeight="1" x14ac:dyDescent="0.3">
      <c r="B12" s="15" t="s">
        <v>57</v>
      </c>
      <c r="C12" s="16">
        <v>15</v>
      </c>
      <c r="D12" s="17">
        <v>15</v>
      </c>
      <c r="E12" s="17">
        <v>68</v>
      </c>
      <c r="F12" s="18">
        <v>68</v>
      </c>
    </row>
    <row r="13" spans="2:6" ht="16.5" customHeight="1" x14ac:dyDescent="0.3">
      <c r="B13" s="15" t="s">
        <v>58</v>
      </c>
      <c r="C13" s="16">
        <v>44</v>
      </c>
      <c r="D13" s="17">
        <v>44</v>
      </c>
      <c r="E13" s="17">
        <v>23</v>
      </c>
      <c r="F13" s="18">
        <v>23</v>
      </c>
    </row>
    <row r="14" spans="2:6" ht="16.5" customHeight="1" x14ac:dyDescent="0.3">
      <c r="B14" s="15" t="s">
        <v>59</v>
      </c>
      <c r="C14" s="16">
        <v>29</v>
      </c>
      <c r="D14" s="17">
        <v>29</v>
      </c>
      <c r="E14" s="17">
        <v>54</v>
      </c>
      <c r="F14" s="18">
        <v>54</v>
      </c>
    </row>
    <row r="15" spans="2:6" ht="16.5" customHeight="1" x14ac:dyDescent="0.3">
      <c r="B15" s="15" t="s">
        <v>60</v>
      </c>
      <c r="C15" s="16">
        <v>83</v>
      </c>
      <c r="D15" s="17">
        <v>83</v>
      </c>
      <c r="E15" s="17">
        <v>9</v>
      </c>
      <c r="F15" s="18">
        <v>9</v>
      </c>
    </row>
    <row r="16" spans="2:6" ht="16.5" customHeight="1" x14ac:dyDescent="0.3">
      <c r="B16" s="15" t="s">
        <v>61</v>
      </c>
      <c r="C16" s="16">
        <v>63</v>
      </c>
      <c r="D16" s="17">
        <v>63</v>
      </c>
      <c r="E16" s="17">
        <v>27</v>
      </c>
      <c r="F16" s="18">
        <v>27</v>
      </c>
    </row>
    <row r="17" spans="2:6" ht="16.5" customHeight="1" x14ac:dyDescent="0.3">
      <c r="B17" s="15" t="s">
        <v>62</v>
      </c>
      <c r="C17" s="16">
        <v>88</v>
      </c>
      <c r="D17" s="17">
        <v>88</v>
      </c>
      <c r="E17" s="17">
        <v>10</v>
      </c>
      <c r="F17" s="18">
        <v>10</v>
      </c>
    </row>
    <row r="18" spans="2:6" ht="16.5" customHeight="1" x14ac:dyDescent="0.3">
      <c r="B18" s="15" t="s">
        <v>63</v>
      </c>
      <c r="C18" s="16">
        <v>63</v>
      </c>
      <c r="D18" s="17">
        <v>63</v>
      </c>
      <c r="E18" s="17">
        <v>12</v>
      </c>
      <c r="F18" s="18">
        <v>12</v>
      </c>
    </row>
    <row r="19" spans="2:6" ht="16.5" customHeight="1" x14ac:dyDescent="0.3">
      <c r="B19" s="15" t="s">
        <v>64</v>
      </c>
      <c r="C19" s="16">
        <v>46</v>
      </c>
      <c r="D19" s="17">
        <v>46</v>
      </c>
      <c r="E19" s="17">
        <v>47</v>
      </c>
      <c r="F19" s="18">
        <v>47</v>
      </c>
    </row>
    <row r="20" spans="2:6" ht="16.5" customHeight="1" x14ac:dyDescent="0.3">
      <c r="B20" s="15" t="s">
        <v>65</v>
      </c>
      <c r="C20" s="16">
        <v>28</v>
      </c>
      <c r="D20" s="17">
        <v>28</v>
      </c>
      <c r="E20" s="17">
        <v>50</v>
      </c>
      <c r="F20" s="18">
        <v>50</v>
      </c>
    </row>
    <row r="21" spans="2:6" ht="16.5" customHeight="1" x14ac:dyDescent="0.3">
      <c r="B21" s="15" t="s">
        <v>66</v>
      </c>
      <c r="C21" s="16">
        <v>19</v>
      </c>
      <c r="D21" s="17">
        <v>19</v>
      </c>
      <c r="E21" s="17">
        <v>60</v>
      </c>
      <c r="F21" s="18">
        <v>60</v>
      </c>
    </row>
    <row r="22" spans="2:6" ht="16.5" customHeight="1" thickBot="1" x14ac:dyDescent="0.35">
      <c r="B22" s="19" t="s">
        <v>67</v>
      </c>
      <c r="C22" s="20">
        <v>41</v>
      </c>
      <c r="D22" s="21">
        <v>41</v>
      </c>
      <c r="E22" s="21">
        <v>42</v>
      </c>
      <c r="F22" s="22">
        <v>42</v>
      </c>
    </row>
  </sheetData>
  <phoneticPr fontId="1" type="noConversion"/>
  <conditionalFormatting sqref="D3:D22">
    <cfRule type="dataBar" priority="2">
      <dataBar showValue="0">
        <cfvo type="num" val="0"/>
        <cfvo type="num" val="80"/>
        <color theme="5"/>
      </dataBar>
      <extLst>
        <ext xmlns:x14="http://schemas.microsoft.com/office/spreadsheetml/2009/9/main" uri="{B025F937-C7B1-47D3-B67F-A62EFF666E3E}">
          <x14:id>{7B37EA29-AFA4-4851-9680-8E590B3F3F02}</x14:id>
        </ext>
      </extLst>
    </cfRule>
  </conditionalFormatting>
  <conditionalFormatting sqref="E3:E22">
    <cfRule type="dataBar" priority="1">
      <dataBar showValue="0">
        <cfvo type="num" val="0"/>
        <cfvo type="num" val="80"/>
        <color theme="3" tint="-0.499984740745262"/>
      </dataBar>
      <extLst>
        <ext xmlns:x14="http://schemas.microsoft.com/office/spreadsheetml/2009/9/main" uri="{B025F937-C7B1-47D3-B67F-A62EFF666E3E}">
          <x14:id>{2E3B9B55-F921-4A31-952A-6881299F642E}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37EA29-AFA4-4851-9680-8E590B3F3F02}">
            <x14:dataBar minLength="0" maxLength="100" gradient="0" direction="leftToRight">
              <x14:cfvo type="num">
                <xm:f>0</xm:f>
              </x14:cfvo>
              <x14:cfvo type="num">
                <xm:f>80</xm:f>
              </x14:cfvo>
              <x14:negativeFillColor rgb="FFFF0000"/>
              <x14:axisColor rgb="FF000000"/>
            </x14:dataBar>
          </x14:cfRule>
          <xm:sqref>D3:D22</xm:sqref>
        </x14:conditionalFormatting>
        <x14:conditionalFormatting xmlns:xm="http://schemas.microsoft.com/office/excel/2006/main">
          <x14:cfRule type="dataBar" id="{2E3B9B55-F921-4A31-952A-6881299F642E}">
            <x14:dataBar minLength="0" maxLength="100" gradient="0" direction="rightToLeft">
              <x14:cfvo type="num">
                <xm:f>0</xm:f>
              </x14:cfvo>
              <x14:cfvo type="num">
                <xm:f>80</xm:f>
              </x14:cfvo>
              <x14:negativeFillColor rgb="FFFF0000"/>
              <x14:axisColor rgb="FF000000"/>
            </x14:dataBar>
          </x14:cfRule>
          <xm:sqref>E3:E22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8631-D09B-4D04-A414-42497B3A51FB}">
  <dimension ref="B2:D23"/>
  <sheetViews>
    <sheetView showGridLines="0" zoomScaleNormal="100" workbookViewId="0">
      <selection activeCell="E28" sqref="E28"/>
    </sheetView>
  </sheetViews>
  <sheetFormatPr defaultRowHeight="13.2" x14ac:dyDescent="0.3"/>
  <cols>
    <col min="1" max="1" width="3.6640625" customWidth="1"/>
    <col min="2" max="2" width="16.6640625" customWidth="1"/>
    <col min="3" max="4" width="8.6640625" style="1" customWidth="1"/>
  </cols>
  <sheetData>
    <row r="2" spans="2:4" x14ac:dyDescent="0.3">
      <c r="B2" t="s">
        <v>39</v>
      </c>
    </row>
    <row r="4" spans="2:4" x14ac:dyDescent="0.3">
      <c r="C4" s="1" t="s">
        <v>19</v>
      </c>
      <c r="D4" s="1" t="s">
        <v>92</v>
      </c>
    </row>
    <row r="5" spans="2:4" x14ac:dyDescent="0.3">
      <c r="B5" t="s">
        <v>20</v>
      </c>
      <c r="C5" s="1" t="s">
        <v>73</v>
      </c>
      <c r="D5" s="1" t="s">
        <v>74</v>
      </c>
    </row>
    <row r="6" spans="2:4" x14ac:dyDescent="0.3">
      <c r="B6" t="s">
        <v>21</v>
      </c>
      <c r="C6" s="1">
        <v>0.6</v>
      </c>
      <c r="D6" s="1">
        <v>0.6</v>
      </c>
    </row>
    <row r="7" spans="2:4" x14ac:dyDescent="0.3">
      <c r="B7" t="s">
        <v>22</v>
      </c>
      <c r="C7" s="1">
        <v>1</v>
      </c>
      <c r="D7" s="1">
        <v>1</v>
      </c>
    </row>
    <row r="8" spans="2:4" x14ac:dyDescent="0.3">
      <c r="B8" t="s">
        <v>23</v>
      </c>
      <c r="C8" s="1">
        <v>1.7</v>
      </c>
      <c r="D8" s="1">
        <v>1.8</v>
      </c>
    </row>
    <row r="9" spans="2:4" x14ac:dyDescent="0.3">
      <c r="B9" t="s">
        <v>24</v>
      </c>
      <c r="C9" s="1">
        <v>2.6</v>
      </c>
      <c r="D9" s="1">
        <v>2.9</v>
      </c>
    </row>
    <row r="10" spans="2:4" x14ac:dyDescent="0.3">
      <c r="B10" t="s">
        <v>25</v>
      </c>
      <c r="C10" s="1">
        <v>3.9</v>
      </c>
      <c r="D10" s="1">
        <v>4.0999999999999996</v>
      </c>
    </row>
    <row r="11" spans="2:4" x14ac:dyDescent="0.3">
      <c r="B11" t="s">
        <v>26</v>
      </c>
      <c r="C11" s="1">
        <v>4.8</v>
      </c>
      <c r="D11" s="1">
        <v>5</v>
      </c>
    </row>
    <row r="12" spans="2:4" x14ac:dyDescent="0.3">
      <c r="B12" t="s">
        <v>27</v>
      </c>
      <c r="C12" s="1">
        <v>5.4</v>
      </c>
      <c r="D12" s="1">
        <v>5.3</v>
      </c>
    </row>
    <row r="13" spans="2:4" x14ac:dyDescent="0.3">
      <c r="B13" t="s">
        <v>28</v>
      </c>
      <c r="C13" s="1">
        <v>5.6</v>
      </c>
      <c r="D13" s="1">
        <v>5.4</v>
      </c>
    </row>
    <row r="14" spans="2:4" x14ac:dyDescent="0.3">
      <c r="B14" t="s">
        <v>29</v>
      </c>
      <c r="C14" s="1">
        <v>5.0999999999999996</v>
      </c>
      <c r="D14" s="1">
        <v>4.9000000000000004</v>
      </c>
    </row>
    <row r="15" spans="2:4" x14ac:dyDescent="0.3">
      <c r="B15" t="s">
        <v>30</v>
      </c>
      <c r="C15" s="1">
        <v>4.5999999999999996</v>
      </c>
      <c r="D15" s="1">
        <v>4.5</v>
      </c>
    </row>
    <row r="16" spans="2:4" x14ac:dyDescent="0.3">
      <c r="B16" t="s">
        <v>31</v>
      </c>
      <c r="C16" s="1">
        <v>3.9</v>
      </c>
      <c r="D16" s="1">
        <v>3.7</v>
      </c>
    </row>
    <row r="17" spans="2:4" x14ac:dyDescent="0.3">
      <c r="B17" t="s">
        <v>32</v>
      </c>
      <c r="C17" s="1">
        <v>3.4</v>
      </c>
      <c r="D17" s="1">
        <v>2.9</v>
      </c>
    </row>
    <row r="18" spans="2:4" x14ac:dyDescent="0.3">
      <c r="B18" t="s">
        <v>33</v>
      </c>
      <c r="C18" s="1">
        <v>2.7</v>
      </c>
      <c r="D18" s="1">
        <v>2.2999999999999998</v>
      </c>
    </row>
    <row r="19" spans="2:4" x14ac:dyDescent="0.3">
      <c r="B19" t="s">
        <v>34</v>
      </c>
      <c r="C19" s="1">
        <v>2</v>
      </c>
      <c r="D19" s="1">
        <v>1.5</v>
      </c>
    </row>
    <row r="20" spans="2:4" x14ac:dyDescent="0.3">
      <c r="B20" t="s">
        <v>35</v>
      </c>
      <c r="C20" s="1">
        <v>1.6</v>
      </c>
      <c r="D20" s="1">
        <v>1.1000000000000001</v>
      </c>
    </row>
    <row r="21" spans="2:4" x14ac:dyDescent="0.3">
      <c r="B21" t="s">
        <v>36</v>
      </c>
      <c r="C21" s="1">
        <v>1.1000000000000001</v>
      </c>
      <c r="D21" s="1">
        <v>0.7</v>
      </c>
    </row>
    <row r="22" spans="2:4" x14ac:dyDescent="0.3">
      <c r="B22" t="s">
        <v>37</v>
      </c>
      <c r="C22" s="1">
        <v>0.7</v>
      </c>
      <c r="D22" s="1">
        <v>0.4</v>
      </c>
    </row>
    <row r="23" spans="2:4" x14ac:dyDescent="0.3">
      <c r="B23" t="s">
        <v>38</v>
      </c>
      <c r="C23" s="1">
        <v>0.5</v>
      </c>
      <c r="D23" s="1">
        <v>0.2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A807-9406-4E5E-85C4-CDA1472B2FA4}">
  <dimension ref="B2:J17"/>
  <sheetViews>
    <sheetView showGridLines="0" workbookViewId="0">
      <selection activeCell="Q38" sqref="Q38"/>
    </sheetView>
  </sheetViews>
  <sheetFormatPr defaultRowHeight="13.2" x14ac:dyDescent="0.3"/>
  <cols>
    <col min="1" max="1" width="3.6640625" customWidth="1"/>
    <col min="2" max="2" width="12.33203125" customWidth="1"/>
    <col min="3" max="4" width="12.5546875" customWidth="1"/>
    <col min="7" max="7" width="9.6640625" style="1" customWidth="1"/>
    <col min="8" max="9" width="12.5546875" customWidth="1"/>
    <col min="10" max="10" width="9.6640625" customWidth="1"/>
  </cols>
  <sheetData>
    <row r="2" spans="2:10" x14ac:dyDescent="0.3">
      <c r="B2" t="s">
        <v>5</v>
      </c>
    </row>
    <row r="4" spans="2:10" x14ac:dyDescent="0.3">
      <c r="B4" t="s">
        <v>4</v>
      </c>
      <c r="F4" t="s">
        <v>0</v>
      </c>
    </row>
    <row r="5" spans="2:10" x14ac:dyDescent="0.3">
      <c r="B5" t="s">
        <v>70</v>
      </c>
      <c r="C5" s="3" t="s">
        <v>75</v>
      </c>
      <c r="D5" s="3" t="s">
        <v>76</v>
      </c>
      <c r="F5" t="s">
        <v>71</v>
      </c>
      <c r="G5" s="1" t="s">
        <v>1</v>
      </c>
      <c r="H5" s="3" t="s">
        <v>75</v>
      </c>
      <c r="I5" s="3" t="s">
        <v>76</v>
      </c>
      <c r="J5" s="1" t="s">
        <v>2</v>
      </c>
    </row>
    <row r="6" spans="2:10" x14ac:dyDescent="0.3">
      <c r="B6" t="s">
        <v>6</v>
      </c>
      <c r="C6">
        <v>91</v>
      </c>
      <c r="D6">
        <v>92</v>
      </c>
      <c r="F6" t="s">
        <v>6</v>
      </c>
      <c r="G6" s="1">
        <v>0</v>
      </c>
      <c r="H6">
        <v>91</v>
      </c>
      <c r="I6">
        <f>D6-C6</f>
        <v>1</v>
      </c>
      <c r="J6">
        <v>0</v>
      </c>
    </row>
    <row r="7" spans="2:10" x14ac:dyDescent="0.3">
      <c r="B7" t="s">
        <v>7</v>
      </c>
      <c r="C7">
        <v>77</v>
      </c>
      <c r="D7">
        <v>78</v>
      </c>
      <c r="F7" t="s">
        <v>7</v>
      </c>
      <c r="G7" s="1">
        <v>0</v>
      </c>
      <c r="H7">
        <v>77</v>
      </c>
      <c r="I7">
        <f t="shared" ref="I7:I17" si="0">D7-C7</f>
        <v>1</v>
      </c>
      <c r="J7">
        <v>0</v>
      </c>
    </row>
    <row r="8" spans="2:10" x14ac:dyDescent="0.3">
      <c r="B8" t="s">
        <v>8</v>
      </c>
      <c r="C8">
        <v>73</v>
      </c>
      <c r="D8">
        <v>75</v>
      </c>
      <c r="F8" t="s">
        <v>8</v>
      </c>
      <c r="G8" s="1">
        <v>0</v>
      </c>
      <c r="H8">
        <v>73</v>
      </c>
      <c r="I8">
        <f t="shared" si="0"/>
        <v>2</v>
      </c>
      <c r="J8">
        <v>0</v>
      </c>
    </row>
    <row r="9" spans="2:10" x14ac:dyDescent="0.3">
      <c r="B9" t="s">
        <v>9</v>
      </c>
      <c r="C9">
        <v>27</v>
      </c>
      <c r="D9">
        <v>61</v>
      </c>
      <c r="F9" t="s">
        <v>9</v>
      </c>
      <c r="G9" s="1">
        <v>0</v>
      </c>
      <c r="H9">
        <v>27</v>
      </c>
      <c r="I9">
        <f t="shared" si="0"/>
        <v>34</v>
      </c>
      <c r="J9">
        <v>0</v>
      </c>
    </row>
    <row r="10" spans="2:10" x14ac:dyDescent="0.3">
      <c r="B10" t="s">
        <v>10</v>
      </c>
      <c r="C10">
        <v>40</v>
      </c>
      <c r="D10">
        <v>60</v>
      </c>
      <c r="F10" t="s">
        <v>10</v>
      </c>
      <c r="G10" s="1">
        <v>0</v>
      </c>
      <c r="H10">
        <v>40</v>
      </c>
      <c r="I10">
        <f t="shared" si="0"/>
        <v>20</v>
      </c>
      <c r="J10">
        <v>0</v>
      </c>
    </row>
    <row r="11" spans="2:10" x14ac:dyDescent="0.3">
      <c r="B11" t="s">
        <v>11</v>
      </c>
      <c r="C11">
        <v>27</v>
      </c>
      <c r="D11">
        <v>56</v>
      </c>
      <c r="F11" t="s">
        <v>11</v>
      </c>
      <c r="G11" s="1">
        <v>0</v>
      </c>
      <c r="H11">
        <v>27</v>
      </c>
      <c r="I11">
        <f t="shared" si="0"/>
        <v>29</v>
      </c>
      <c r="J11">
        <v>0</v>
      </c>
    </row>
    <row r="12" spans="2:10" x14ac:dyDescent="0.3">
      <c r="B12" t="s">
        <v>12</v>
      </c>
      <c r="C12">
        <v>29</v>
      </c>
      <c r="D12">
        <v>50</v>
      </c>
      <c r="F12" t="s">
        <v>12</v>
      </c>
      <c r="G12" s="1">
        <v>0</v>
      </c>
      <c r="H12">
        <v>29</v>
      </c>
      <c r="I12">
        <f t="shared" si="0"/>
        <v>21</v>
      </c>
      <c r="J12">
        <v>0</v>
      </c>
    </row>
    <row r="13" spans="2:10" x14ac:dyDescent="0.3">
      <c r="B13" t="s">
        <v>13</v>
      </c>
      <c r="C13">
        <v>24</v>
      </c>
      <c r="D13">
        <v>41</v>
      </c>
      <c r="F13" t="s">
        <v>13</v>
      </c>
      <c r="G13" s="1">
        <v>0</v>
      </c>
      <c r="H13">
        <v>24</v>
      </c>
      <c r="I13">
        <f t="shared" si="0"/>
        <v>17</v>
      </c>
      <c r="J13">
        <v>0</v>
      </c>
    </row>
    <row r="14" spans="2:10" x14ac:dyDescent="0.3">
      <c r="B14" t="s">
        <v>14</v>
      </c>
      <c r="C14">
        <v>22</v>
      </c>
      <c r="D14">
        <v>41</v>
      </c>
      <c r="F14" t="s">
        <v>14</v>
      </c>
      <c r="G14" s="1">
        <v>0</v>
      </c>
      <c r="H14">
        <v>22</v>
      </c>
      <c r="I14">
        <f t="shared" si="0"/>
        <v>19</v>
      </c>
      <c r="J14">
        <v>0</v>
      </c>
    </row>
    <row r="15" spans="2:10" x14ac:dyDescent="0.3">
      <c r="B15" t="s">
        <v>15</v>
      </c>
      <c r="C15">
        <v>24</v>
      </c>
      <c r="D15">
        <v>39</v>
      </c>
      <c r="F15" t="s">
        <v>15</v>
      </c>
      <c r="G15" s="1">
        <v>0</v>
      </c>
      <c r="H15">
        <v>24</v>
      </c>
      <c r="I15">
        <f t="shared" si="0"/>
        <v>15</v>
      </c>
      <c r="J15">
        <v>0</v>
      </c>
    </row>
    <row r="16" spans="2:10" x14ac:dyDescent="0.3">
      <c r="B16" t="s">
        <v>16</v>
      </c>
      <c r="C16">
        <v>21</v>
      </c>
      <c r="D16">
        <v>33</v>
      </c>
      <c r="F16" t="s">
        <v>16</v>
      </c>
      <c r="G16" s="1">
        <v>0</v>
      </c>
      <c r="H16">
        <v>21</v>
      </c>
      <c r="I16">
        <f t="shared" si="0"/>
        <v>12</v>
      </c>
      <c r="J16">
        <v>0</v>
      </c>
    </row>
    <row r="17" spans="2:10" x14ac:dyDescent="0.3">
      <c r="B17" t="s">
        <v>17</v>
      </c>
      <c r="C17">
        <v>22</v>
      </c>
      <c r="D17">
        <v>25</v>
      </c>
      <c r="F17" t="s">
        <v>17</v>
      </c>
      <c r="G17" s="1">
        <v>0</v>
      </c>
      <c r="H17">
        <v>22</v>
      </c>
      <c r="I17">
        <f t="shared" si="0"/>
        <v>3</v>
      </c>
      <c r="J17"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6DF94-B91D-42A3-A495-8E5C8BA7091D}">
  <dimension ref="B2:K12"/>
  <sheetViews>
    <sheetView showGridLines="0" workbookViewId="0"/>
  </sheetViews>
  <sheetFormatPr defaultRowHeight="13.2" x14ac:dyDescent="0.3"/>
  <cols>
    <col min="1" max="1" width="3.6640625" customWidth="1"/>
    <col min="6" max="6" width="8.6640625" style="1" customWidth="1"/>
    <col min="7" max="11" width="8.6640625" customWidth="1"/>
  </cols>
  <sheetData>
    <row r="2" spans="2:11" x14ac:dyDescent="0.3">
      <c r="B2" t="s">
        <v>77</v>
      </c>
    </row>
    <row r="3" spans="2:11" x14ac:dyDescent="0.3">
      <c r="B3" t="s">
        <v>78</v>
      </c>
      <c r="E3" t="s">
        <v>0</v>
      </c>
    </row>
    <row r="4" spans="2:11" x14ac:dyDescent="0.3">
      <c r="B4" t="s">
        <v>3</v>
      </c>
      <c r="C4" s="1" t="s">
        <v>86</v>
      </c>
      <c r="E4" t="s">
        <v>72</v>
      </c>
      <c r="F4" s="1" t="s">
        <v>40</v>
      </c>
      <c r="G4" s="1" t="s">
        <v>87</v>
      </c>
      <c r="H4" s="1" t="s">
        <v>41</v>
      </c>
      <c r="I4" s="1" t="s">
        <v>90</v>
      </c>
      <c r="J4" s="1" t="s">
        <v>91</v>
      </c>
      <c r="K4" s="1" t="s">
        <v>88</v>
      </c>
    </row>
    <row r="5" spans="2:11" x14ac:dyDescent="0.3">
      <c r="B5" s="24" t="s">
        <v>79</v>
      </c>
      <c r="C5" s="2">
        <v>85</v>
      </c>
      <c r="E5" s="24" t="s">
        <v>79</v>
      </c>
      <c r="F5" s="25">
        <v>0</v>
      </c>
      <c r="G5" s="2">
        <v>85</v>
      </c>
      <c r="H5" s="1"/>
      <c r="I5" s="1"/>
      <c r="J5" s="1"/>
      <c r="K5" s="1"/>
    </row>
    <row r="6" spans="2:11" x14ac:dyDescent="0.3">
      <c r="B6" t="s">
        <v>80</v>
      </c>
      <c r="C6" s="2">
        <v>-14.6</v>
      </c>
      <c r="E6" t="s">
        <v>80</v>
      </c>
      <c r="F6" s="1">
        <v>0</v>
      </c>
      <c r="G6" s="1"/>
      <c r="H6" s="1">
        <f>G5-J6</f>
        <v>70.400000000000006</v>
      </c>
      <c r="I6" s="1"/>
      <c r="J6" s="1">
        <v>14.6</v>
      </c>
      <c r="K6" s="1"/>
    </row>
    <row r="7" spans="2:11" x14ac:dyDescent="0.3">
      <c r="B7" t="s">
        <v>81</v>
      </c>
      <c r="C7" s="2">
        <v>13.4</v>
      </c>
      <c r="E7" t="s">
        <v>81</v>
      </c>
      <c r="F7" s="1">
        <v>0</v>
      </c>
      <c r="G7" s="1"/>
      <c r="H7" s="1">
        <v>70.400000000000006</v>
      </c>
      <c r="I7" s="1">
        <v>13.4</v>
      </c>
      <c r="J7" s="1"/>
      <c r="K7" s="1"/>
    </row>
    <row r="8" spans="2:11" x14ac:dyDescent="0.3">
      <c r="B8" t="s">
        <v>82</v>
      </c>
      <c r="C8" s="2">
        <v>7.2</v>
      </c>
      <c r="E8" t="s">
        <v>82</v>
      </c>
      <c r="F8" s="1">
        <v>0</v>
      </c>
      <c r="G8" s="1"/>
      <c r="H8" s="1">
        <f>H7+I7</f>
        <v>83.800000000000011</v>
      </c>
      <c r="I8" s="1">
        <v>7.2</v>
      </c>
      <c r="J8" s="1"/>
      <c r="K8" s="1"/>
    </row>
    <row r="9" spans="2:11" x14ac:dyDescent="0.3">
      <c r="B9" t="s">
        <v>83</v>
      </c>
      <c r="C9" s="2">
        <v>2.2000000000000002</v>
      </c>
      <c r="E9" t="s">
        <v>83</v>
      </c>
      <c r="F9" s="1">
        <v>0</v>
      </c>
      <c r="G9" s="1"/>
      <c r="H9" s="1">
        <f t="shared" ref="H9:H11" si="0">H8+I8</f>
        <v>91.000000000000014</v>
      </c>
      <c r="I9" s="1">
        <v>2.2000000000000002</v>
      </c>
      <c r="J9" s="1"/>
      <c r="K9" s="1"/>
    </row>
    <row r="10" spans="2:11" x14ac:dyDescent="0.3">
      <c r="B10" t="s">
        <v>84</v>
      </c>
      <c r="C10" s="2">
        <v>0.9</v>
      </c>
      <c r="E10" t="s">
        <v>84</v>
      </c>
      <c r="F10" s="1">
        <v>0</v>
      </c>
      <c r="G10" s="1"/>
      <c r="H10" s="1">
        <f t="shared" si="0"/>
        <v>93.200000000000017</v>
      </c>
      <c r="I10" s="1">
        <v>0.9</v>
      </c>
      <c r="J10" s="1"/>
      <c r="K10" s="1"/>
    </row>
    <row r="11" spans="2:11" x14ac:dyDescent="0.3">
      <c r="B11" t="s">
        <v>85</v>
      </c>
      <c r="C11" s="2">
        <v>0.3</v>
      </c>
      <c r="E11" t="s">
        <v>85</v>
      </c>
      <c r="F11" s="1">
        <v>0</v>
      </c>
      <c r="G11" s="1"/>
      <c r="H11" s="1">
        <f t="shared" si="0"/>
        <v>94.100000000000023</v>
      </c>
      <c r="I11" s="1">
        <v>0.3</v>
      </c>
      <c r="J11" s="1"/>
      <c r="K11" s="1"/>
    </row>
    <row r="12" spans="2:11" x14ac:dyDescent="0.3">
      <c r="B12" s="24" t="s">
        <v>89</v>
      </c>
      <c r="C12" s="2">
        <v>94.4</v>
      </c>
      <c r="E12" s="24" t="s">
        <v>89</v>
      </c>
      <c r="F12" s="25">
        <v>0</v>
      </c>
      <c r="G12" s="1"/>
      <c r="H12" s="1"/>
      <c r="I12" s="1"/>
      <c r="J12" s="1"/>
      <c r="K12" s="1">
        <v>94.4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D12 B5:C12 E5:K13" numberStoredAsText="1"/>
  </ignoredErrors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图12</vt:lpstr>
      <vt:lpstr>图13</vt:lpstr>
      <vt:lpstr>图14</vt:lpstr>
      <vt:lpstr>图15</vt:lpstr>
      <vt:lpstr>图16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SU, Tarzan 苏华侨</dc:creator>
  <cp:lastModifiedBy>拉登Dony</cp:lastModifiedBy>
  <dcterms:created xsi:type="dcterms:W3CDTF">2016-11-16T03:25:06Z</dcterms:created>
  <dcterms:modified xsi:type="dcterms:W3CDTF">2019-03-08T02:32:02Z</dcterms:modified>
</cp:coreProperties>
</file>